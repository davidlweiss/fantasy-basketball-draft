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weiss/Documents/Fantasy rankings/"/>
    </mc:Choice>
  </mc:AlternateContent>
  <xr:revisionPtr revIDLastSave="0" documentId="13_ncr:1_{528994BF-F065-2140-9209-D961F0E50702}" xr6:coauthVersionLast="47" xr6:coauthVersionMax="47" xr10:uidLastSave="{00000000-0000-0000-0000-000000000000}"/>
  <bookViews>
    <workbookView xWindow="1980" yWindow="1060" windowWidth="22540" windowHeight="15680" xr2:uid="{BE4BC8F5-FB3E-C345-B1B9-6977093A8CF9}"/>
  </bookViews>
  <sheets>
    <sheet name="real draft" sheetId="17" r:id="rId1"/>
    <sheet name="2026-2027 means" sheetId="23" r:id="rId2"/>
    <sheet name="2026-2027 projections" sheetId="20" r:id="rId3"/>
    <sheet name="2025-2026 actuals" sheetId="29" r:id="rId4"/>
    <sheet name="shortlist" sheetId="27" r:id="rId5"/>
    <sheet name="team planning" sheetId="24" r:id="rId6"/>
    <sheet name="2026-2027 adp" sheetId="22" r:id="rId7"/>
    <sheet name="202526 draft" sheetId="26" r:id="rId8"/>
  </sheets>
  <definedNames>
    <definedName name="_xlnm._FilterDatabase" localSheetId="7" hidden="1">'202526 draft'!$Q$35:$Y$35</definedName>
    <definedName name="_xlnm._FilterDatabase" localSheetId="2" hidden="1">'2026-2027 projections'!$A$1:$AP$201</definedName>
    <definedName name="_xlnm._FilterDatabase" localSheetId="0" hidden="1">'real draft'!$L$31:$N$31</definedName>
    <definedName name="_xlnm._FilterDatabase" localSheetId="4" hidden="1">shortlist!$A$1:$B$1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26" l="1"/>
  <c r="AK12" i="17"/>
  <c r="AJ12" i="17"/>
  <c r="AI12" i="17"/>
  <c r="AH12" i="17"/>
  <c r="AG12" i="17"/>
  <c r="AF12" i="17"/>
  <c r="AE12" i="17"/>
  <c r="AD12" i="17"/>
  <c r="AC12" i="17"/>
  <c r="AK18" i="17"/>
  <c r="AJ18" i="17"/>
  <c r="AI18" i="17"/>
  <c r="AH18" i="17"/>
  <c r="AG18" i="17"/>
  <c r="AF18" i="17"/>
  <c r="AE18" i="17"/>
  <c r="AK13" i="17"/>
  <c r="AJ13" i="17"/>
  <c r="AI13" i="17"/>
  <c r="AH13" i="17"/>
  <c r="AG13" i="17"/>
  <c r="AF13" i="17"/>
  <c r="AE13" i="17"/>
  <c r="AD13" i="17"/>
  <c r="AC13" i="17"/>
  <c r="AD18" i="17"/>
  <c r="AD17" i="17" s="1"/>
  <c r="AA11" i="17"/>
  <c r="AC18" i="17"/>
  <c r="AK6" i="17"/>
  <c r="AK16" i="17" s="1"/>
  <c r="AK17" i="17" s="1"/>
  <c r="AJ6" i="17"/>
  <c r="AJ16" i="17" s="1"/>
  <c r="AI6" i="17"/>
  <c r="AI16" i="17" s="1"/>
  <c r="AH6" i="17"/>
  <c r="AH16" i="17" s="1"/>
  <c r="AG6" i="17"/>
  <c r="AG16" i="17" s="1"/>
  <c r="AF6" i="17"/>
  <c r="AF16" i="17" s="1"/>
  <c r="AE6" i="17"/>
  <c r="AE16" i="17" s="1"/>
  <c r="AD6" i="17"/>
  <c r="AD16" i="17" s="1"/>
  <c r="AC6" i="17"/>
  <c r="AC16" i="17" s="1"/>
  <c r="AK4" i="17"/>
  <c r="AJ4" i="17"/>
  <c r="AK3" i="17"/>
  <c r="AJ3" i="17"/>
  <c r="AI3" i="17"/>
  <c r="AH3" i="17"/>
  <c r="AG3" i="17"/>
  <c r="AF3" i="17"/>
  <c r="AE3" i="17"/>
  <c r="AD3" i="17"/>
  <c r="AC3" i="17"/>
  <c r="M97" i="17"/>
  <c r="N97" i="17"/>
  <c r="O97" i="17"/>
  <c r="P97" i="17"/>
  <c r="Q97" i="17"/>
  <c r="R97" i="17"/>
  <c r="S97" i="17"/>
  <c r="T97" i="17"/>
  <c r="U97" i="17"/>
  <c r="V97" i="17"/>
  <c r="W97" i="17"/>
  <c r="M98" i="17"/>
  <c r="N98" i="17"/>
  <c r="O98" i="17"/>
  <c r="P98" i="17"/>
  <c r="Q98" i="17"/>
  <c r="R98" i="17"/>
  <c r="S98" i="17"/>
  <c r="T98" i="17"/>
  <c r="U98" i="17"/>
  <c r="V98" i="17"/>
  <c r="W98" i="17"/>
  <c r="M99" i="17"/>
  <c r="N99" i="17"/>
  <c r="O99" i="17"/>
  <c r="P99" i="17"/>
  <c r="Q99" i="17"/>
  <c r="R99" i="17"/>
  <c r="S99" i="17"/>
  <c r="T99" i="17"/>
  <c r="U99" i="17"/>
  <c r="V99" i="17"/>
  <c r="W99" i="17"/>
  <c r="M100" i="17"/>
  <c r="N100" i="17"/>
  <c r="O100" i="17"/>
  <c r="P100" i="17"/>
  <c r="Q100" i="17"/>
  <c r="R100" i="17"/>
  <c r="S100" i="17"/>
  <c r="T100" i="17"/>
  <c r="U100" i="17"/>
  <c r="V100" i="17"/>
  <c r="W100" i="17"/>
  <c r="M101" i="17"/>
  <c r="N101" i="17"/>
  <c r="O101" i="17"/>
  <c r="P101" i="17"/>
  <c r="Q101" i="17"/>
  <c r="R101" i="17"/>
  <c r="S101" i="17"/>
  <c r="T101" i="17"/>
  <c r="U101" i="17"/>
  <c r="V101" i="17"/>
  <c r="W101" i="17"/>
  <c r="M102" i="17"/>
  <c r="N102" i="17"/>
  <c r="O102" i="17"/>
  <c r="P102" i="17"/>
  <c r="Q102" i="17"/>
  <c r="R102" i="17"/>
  <c r="S102" i="17"/>
  <c r="T102" i="17"/>
  <c r="U102" i="17"/>
  <c r="V102" i="17"/>
  <c r="W102" i="17"/>
  <c r="M103" i="17"/>
  <c r="N103" i="17"/>
  <c r="O103" i="17"/>
  <c r="P103" i="17"/>
  <c r="Q103" i="17"/>
  <c r="R103" i="17"/>
  <c r="S103" i="17"/>
  <c r="T103" i="17"/>
  <c r="U103" i="17"/>
  <c r="V103" i="17"/>
  <c r="W103" i="17"/>
  <c r="M104" i="17"/>
  <c r="N104" i="17"/>
  <c r="O104" i="17"/>
  <c r="P104" i="17"/>
  <c r="Q104" i="17"/>
  <c r="R104" i="17"/>
  <c r="S104" i="17"/>
  <c r="T104" i="17"/>
  <c r="U104" i="17"/>
  <c r="V104" i="17"/>
  <c r="W104" i="17"/>
  <c r="M105" i="17"/>
  <c r="N105" i="17"/>
  <c r="O105" i="17"/>
  <c r="P105" i="17"/>
  <c r="Q105" i="17"/>
  <c r="R105" i="17"/>
  <c r="S105" i="17"/>
  <c r="T105" i="17"/>
  <c r="U105" i="17"/>
  <c r="V105" i="17"/>
  <c r="W105" i="17"/>
  <c r="M106" i="17"/>
  <c r="N106" i="17"/>
  <c r="O106" i="17"/>
  <c r="P106" i="17"/>
  <c r="Q106" i="17"/>
  <c r="R106" i="17"/>
  <c r="S106" i="17"/>
  <c r="T106" i="17"/>
  <c r="U106" i="17"/>
  <c r="V106" i="17"/>
  <c r="W106" i="17"/>
  <c r="M107" i="17"/>
  <c r="N107" i="17"/>
  <c r="O107" i="17"/>
  <c r="P107" i="17"/>
  <c r="Q107" i="17"/>
  <c r="R107" i="17"/>
  <c r="S107" i="17"/>
  <c r="T107" i="17"/>
  <c r="U107" i="17"/>
  <c r="V107" i="17"/>
  <c r="W107" i="17"/>
  <c r="M108" i="17"/>
  <c r="N108" i="17"/>
  <c r="O108" i="17"/>
  <c r="P108" i="17"/>
  <c r="Q108" i="17"/>
  <c r="R108" i="17"/>
  <c r="S108" i="17"/>
  <c r="T108" i="17"/>
  <c r="U108" i="17"/>
  <c r="V108" i="17"/>
  <c r="W108" i="17"/>
  <c r="W96" i="17"/>
  <c r="V96" i="17"/>
  <c r="U96" i="17"/>
  <c r="T96" i="17"/>
  <c r="S96" i="17"/>
  <c r="R96" i="17"/>
  <c r="Q96" i="17"/>
  <c r="P96" i="17"/>
  <c r="O96" i="17"/>
  <c r="N96" i="17"/>
  <c r="M96" i="17"/>
  <c r="M77" i="17"/>
  <c r="N77" i="17"/>
  <c r="O77" i="17"/>
  <c r="P77" i="17"/>
  <c r="Q77" i="17"/>
  <c r="R77" i="17"/>
  <c r="S77" i="17"/>
  <c r="T77" i="17"/>
  <c r="U77" i="17"/>
  <c r="V77" i="17"/>
  <c r="W77" i="17"/>
  <c r="M78" i="17"/>
  <c r="N78" i="17"/>
  <c r="O78" i="17"/>
  <c r="P78" i="17"/>
  <c r="Q78" i="17"/>
  <c r="R78" i="17"/>
  <c r="S78" i="17"/>
  <c r="T78" i="17"/>
  <c r="U78" i="17"/>
  <c r="V78" i="17"/>
  <c r="W78" i="17"/>
  <c r="M79" i="17"/>
  <c r="N79" i="17"/>
  <c r="O79" i="17"/>
  <c r="P79" i="17"/>
  <c r="Q79" i="17"/>
  <c r="R79" i="17"/>
  <c r="S79" i="17"/>
  <c r="T79" i="17"/>
  <c r="U79" i="17"/>
  <c r="V79" i="17"/>
  <c r="W79" i="17"/>
  <c r="M80" i="17"/>
  <c r="N80" i="17"/>
  <c r="O80" i="17"/>
  <c r="P80" i="17"/>
  <c r="Q80" i="17"/>
  <c r="R80" i="17"/>
  <c r="S80" i="17"/>
  <c r="T80" i="17"/>
  <c r="U80" i="17"/>
  <c r="V80" i="17"/>
  <c r="W80" i="17"/>
  <c r="M81" i="17"/>
  <c r="N81" i="17"/>
  <c r="O81" i="17"/>
  <c r="P81" i="17"/>
  <c r="Q81" i="17"/>
  <c r="R81" i="17"/>
  <c r="S81" i="17"/>
  <c r="T81" i="17"/>
  <c r="U81" i="17"/>
  <c r="V81" i="17"/>
  <c r="W81" i="17"/>
  <c r="M82" i="17"/>
  <c r="N82" i="17"/>
  <c r="O82" i="17"/>
  <c r="P82" i="17"/>
  <c r="Q82" i="17"/>
  <c r="R82" i="17"/>
  <c r="S82" i="17"/>
  <c r="T82" i="17"/>
  <c r="U82" i="17"/>
  <c r="V82" i="17"/>
  <c r="W82" i="17"/>
  <c r="M83" i="17"/>
  <c r="N83" i="17"/>
  <c r="O83" i="17"/>
  <c r="P83" i="17"/>
  <c r="Q83" i="17"/>
  <c r="R83" i="17"/>
  <c r="S83" i="17"/>
  <c r="T83" i="17"/>
  <c r="U83" i="17"/>
  <c r="V83" i="17"/>
  <c r="W83" i="17"/>
  <c r="M84" i="17"/>
  <c r="N84" i="17"/>
  <c r="O84" i="17"/>
  <c r="P84" i="17"/>
  <c r="Q84" i="17"/>
  <c r="R84" i="17"/>
  <c r="S84" i="17"/>
  <c r="T84" i="17"/>
  <c r="U84" i="17"/>
  <c r="V84" i="17"/>
  <c r="W84" i="17"/>
  <c r="M85" i="17"/>
  <c r="N85" i="17"/>
  <c r="O85" i="17"/>
  <c r="P85" i="17"/>
  <c r="Q85" i="17"/>
  <c r="R85" i="17"/>
  <c r="S85" i="17"/>
  <c r="T85" i="17"/>
  <c r="U85" i="17"/>
  <c r="V85" i="17"/>
  <c r="W85" i="17"/>
  <c r="M86" i="17"/>
  <c r="N86" i="17"/>
  <c r="O86" i="17"/>
  <c r="P86" i="17"/>
  <c r="Q86" i="17"/>
  <c r="R86" i="17"/>
  <c r="S86" i="17"/>
  <c r="T86" i="17"/>
  <c r="U86" i="17"/>
  <c r="V86" i="17"/>
  <c r="W86" i="17"/>
  <c r="M87" i="17"/>
  <c r="N87" i="17"/>
  <c r="O87" i="17"/>
  <c r="P87" i="17"/>
  <c r="Q87" i="17"/>
  <c r="R87" i="17"/>
  <c r="S87" i="17"/>
  <c r="T87" i="17"/>
  <c r="U87" i="17"/>
  <c r="V87" i="17"/>
  <c r="W87" i="17"/>
  <c r="M88" i="17"/>
  <c r="N88" i="17"/>
  <c r="O88" i="17"/>
  <c r="P88" i="17"/>
  <c r="Q88" i="17"/>
  <c r="R88" i="17"/>
  <c r="S88" i="17"/>
  <c r="T88" i="17"/>
  <c r="U88" i="17"/>
  <c r="V88" i="17"/>
  <c r="W88" i="17"/>
  <c r="M89" i="17"/>
  <c r="N89" i="17"/>
  <c r="O89" i="17"/>
  <c r="P89" i="17"/>
  <c r="Q89" i="17"/>
  <c r="R89" i="17"/>
  <c r="S89" i="17"/>
  <c r="T89" i="17"/>
  <c r="U89" i="17"/>
  <c r="V89" i="17"/>
  <c r="W89" i="17"/>
  <c r="M90" i="17"/>
  <c r="N90" i="17"/>
  <c r="O90" i="17"/>
  <c r="P90" i="17"/>
  <c r="Q90" i="17"/>
  <c r="R90" i="17"/>
  <c r="S90" i="17"/>
  <c r="T90" i="17"/>
  <c r="U90" i="17"/>
  <c r="V90" i="17"/>
  <c r="W90" i="17"/>
  <c r="M91" i="17"/>
  <c r="N91" i="17"/>
  <c r="O91" i="17"/>
  <c r="P91" i="17"/>
  <c r="Q91" i="17"/>
  <c r="R91" i="17"/>
  <c r="S91" i="17"/>
  <c r="T91" i="17"/>
  <c r="U91" i="17"/>
  <c r="V91" i="17"/>
  <c r="W91" i="17"/>
  <c r="M92" i="17"/>
  <c r="N92" i="17"/>
  <c r="O92" i="17"/>
  <c r="P92" i="17"/>
  <c r="Q92" i="17"/>
  <c r="R92" i="17"/>
  <c r="S92" i="17"/>
  <c r="T92" i="17"/>
  <c r="U92" i="17"/>
  <c r="V92" i="17"/>
  <c r="W92" i="17"/>
  <c r="W76" i="17"/>
  <c r="V76" i="17"/>
  <c r="U76" i="17"/>
  <c r="T76" i="17"/>
  <c r="S76" i="17"/>
  <c r="R76" i="17"/>
  <c r="Q76" i="17"/>
  <c r="P76" i="17"/>
  <c r="O76" i="17"/>
  <c r="N76" i="17"/>
  <c r="M76" i="17"/>
  <c r="M60" i="17"/>
  <c r="N60" i="17"/>
  <c r="O60" i="17"/>
  <c r="P60" i="17"/>
  <c r="Q60" i="17"/>
  <c r="R60" i="17"/>
  <c r="S60" i="17"/>
  <c r="T60" i="17"/>
  <c r="U60" i="17"/>
  <c r="V60" i="17"/>
  <c r="W60" i="17"/>
  <c r="M61" i="17"/>
  <c r="N61" i="17"/>
  <c r="O61" i="17"/>
  <c r="P61" i="17"/>
  <c r="Q61" i="17"/>
  <c r="R61" i="17"/>
  <c r="S61" i="17"/>
  <c r="T61" i="17"/>
  <c r="U61" i="17"/>
  <c r="V61" i="17"/>
  <c r="W61" i="17"/>
  <c r="M62" i="17"/>
  <c r="N62" i="17"/>
  <c r="O62" i="17"/>
  <c r="P62" i="17"/>
  <c r="Q62" i="17"/>
  <c r="R62" i="17"/>
  <c r="S62" i="17"/>
  <c r="T62" i="17"/>
  <c r="U62" i="17"/>
  <c r="V62" i="17"/>
  <c r="W62" i="17"/>
  <c r="M63" i="17"/>
  <c r="N63" i="17"/>
  <c r="O63" i="17"/>
  <c r="P63" i="17"/>
  <c r="Q63" i="17"/>
  <c r="R63" i="17"/>
  <c r="S63" i="17"/>
  <c r="T63" i="17"/>
  <c r="U63" i="17"/>
  <c r="V63" i="17"/>
  <c r="W63" i="17"/>
  <c r="M64" i="17"/>
  <c r="N64" i="17"/>
  <c r="O64" i="17"/>
  <c r="P64" i="17"/>
  <c r="Q64" i="17"/>
  <c r="R64" i="17"/>
  <c r="S64" i="17"/>
  <c r="T64" i="17"/>
  <c r="U64" i="17"/>
  <c r="V64" i="17"/>
  <c r="W64" i="17"/>
  <c r="M65" i="17"/>
  <c r="N65" i="17"/>
  <c r="O65" i="17"/>
  <c r="P65" i="17"/>
  <c r="Q65" i="17"/>
  <c r="R65" i="17"/>
  <c r="S65" i="17"/>
  <c r="T65" i="17"/>
  <c r="U65" i="17"/>
  <c r="V65" i="17"/>
  <c r="W65" i="17"/>
  <c r="M66" i="17"/>
  <c r="N66" i="17"/>
  <c r="O66" i="17"/>
  <c r="P66" i="17"/>
  <c r="Q66" i="17"/>
  <c r="R66" i="17"/>
  <c r="S66" i="17"/>
  <c r="T66" i="17"/>
  <c r="U66" i="17"/>
  <c r="V66" i="17"/>
  <c r="W66" i="17"/>
  <c r="M67" i="17"/>
  <c r="N67" i="17"/>
  <c r="O67" i="17"/>
  <c r="P67" i="17"/>
  <c r="Q67" i="17"/>
  <c r="R67" i="17"/>
  <c r="S67" i="17"/>
  <c r="T67" i="17"/>
  <c r="U67" i="17"/>
  <c r="V67" i="17"/>
  <c r="W67" i="17"/>
  <c r="M68" i="17"/>
  <c r="N68" i="17"/>
  <c r="O68" i="17"/>
  <c r="P68" i="17"/>
  <c r="Q68" i="17"/>
  <c r="R68" i="17"/>
  <c r="S68" i="17"/>
  <c r="T68" i="17"/>
  <c r="U68" i="17"/>
  <c r="V68" i="17"/>
  <c r="W68" i="17"/>
  <c r="M69" i="17"/>
  <c r="N69" i="17"/>
  <c r="O69" i="17"/>
  <c r="P69" i="17"/>
  <c r="Q69" i="17"/>
  <c r="R69" i="17"/>
  <c r="S69" i="17"/>
  <c r="T69" i="17"/>
  <c r="U69" i="17"/>
  <c r="V69" i="17"/>
  <c r="W69" i="17"/>
  <c r="M70" i="17"/>
  <c r="N70" i="17"/>
  <c r="O70" i="17"/>
  <c r="P70" i="17"/>
  <c r="Q70" i="17"/>
  <c r="R70" i="17"/>
  <c r="S70" i="17"/>
  <c r="T70" i="17"/>
  <c r="U70" i="17"/>
  <c r="V70" i="17"/>
  <c r="W70" i="17"/>
  <c r="M71" i="17"/>
  <c r="N71" i="17"/>
  <c r="O71" i="17"/>
  <c r="P71" i="17"/>
  <c r="Q71" i="17"/>
  <c r="R71" i="17"/>
  <c r="S71" i="17"/>
  <c r="T71" i="17"/>
  <c r="U71" i="17"/>
  <c r="V71" i="17"/>
  <c r="W71" i="17"/>
  <c r="M72" i="17"/>
  <c r="N72" i="17"/>
  <c r="O72" i="17"/>
  <c r="P72" i="17"/>
  <c r="Q72" i="17"/>
  <c r="R72" i="17"/>
  <c r="S72" i="17"/>
  <c r="T72" i="17"/>
  <c r="U72" i="17"/>
  <c r="V72" i="17"/>
  <c r="W72" i="17"/>
  <c r="M73" i="17"/>
  <c r="N73" i="17"/>
  <c r="O73" i="17"/>
  <c r="P73" i="17"/>
  <c r="Q73" i="17"/>
  <c r="R73" i="17"/>
  <c r="S73" i="17"/>
  <c r="T73" i="17"/>
  <c r="U73" i="17"/>
  <c r="V73" i="17"/>
  <c r="W73" i="17"/>
  <c r="W59" i="17"/>
  <c r="V59" i="17"/>
  <c r="U59" i="17"/>
  <c r="T59" i="17"/>
  <c r="S59" i="17"/>
  <c r="R59" i="17"/>
  <c r="Q59" i="17"/>
  <c r="P59" i="17"/>
  <c r="O59" i="17"/>
  <c r="N59" i="17"/>
  <c r="M59" i="17"/>
  <c r="M47" i="17"/>
  <c r="N47" i="17"/>
  <c r="O47" i="17"/>
  <c r="P47" i="17"/>
  <c r="Q47" i="17"/>
  <c r="R47" i="17"/>
  <c r="S47" i="17"/>
  <c r="T47" i="17"/>
  <c r="U47" i="17"/>
  <c r="V47" i="17"/>
  <c r="W47" i="17"/>
  <c r="M48" i="17"/>
  <c r="N48" i="17"/>
  <c r="O48" i="17"/>
  <c r="P48" i="17"/>
  <c r="Q48" i="17"/>
  <c r="R48" i="17"/>
  <c r="S48" i="17"/>
  <c r="T48" i="17"/>
  <c r="U48" i="17"/>
  <c r="V48" i="17"/>
  <c r="W48" i="17"/>
  <c r="M49" i="17"/>
  <c r="N49" i="17"/>
  <c r="O49" i="17"/>
  <c r="P49" i="17"/>
  <c r="Q49" i="17"/>
  <c r="R49" i="17"/>
  <c r="S49" i="17"/>
  <c r="T49" i="17"/>
  <c r="U49" i="17"/>
  <c r="V49" i="17"/>
  <c r="W49" i="17"/>
  <c r="M50" i="17"/>
  <c r="N50" i="17"/>
  <c r="O50" i="17"/>
  <c r="P50" i="17"/>
  <c r="Q50" i="17"/>
  <c r="R50" i="17"/>
  <c r="S50" i="17"/>
  <c r="T50" i="17"/>
  <c r="U50" i="17"/>
  <c r="V50" i="17"/>
  <c r="W50" i="17"/>
  <c r="M51" i="17"/>
  <c r="N51" i="17"/>
  <c r="O51" i="17"/>
  <c r="P51" i="17"/>
  <c r="Q51" i="17"/>
  <c r="R51" i="17"/>
  <c r="S51" i="17"/>
  <c r="T51" i="17"/>
  <c r="U51" i="17"/>
  <c r="V51" i="17"/>
  <c r="W51" i="17"/>
  <c r="M52" i="17"/>
  <c r="N52" i="17"/>
  <c r="O52" i="17"/>
  <c r="P52" i="17"/>
  <c r="Q52" i="17"/>
  <c r="R52" i="17"/>
  <c r="S52" i="17"/>
  <c r="T52" i="17"/>
  <c r="U52" i="17"/>
  <c r="V52" i="17"/>
  <c r="W52" i="17"/>
  <c r="M53" i="17"/>
  <c r="N53" i="17"/>
  <c r="O53" i="17"/>
  <c r="P53" i="17"/>
  <c r="Q53" i="17"/>
  <c r="R53" i="17"/>
  <c r="S53" i="17"/>
  <c r="T53" i="17"/>
  <c r="U53" i="17"/>
  <c r="V53" i="17"/>
  <c r="W53" i="17"/>
  <c r="M54" i="17"/>
  <c r="N54" i="17"/>
  <c r="O54" i="17"/>
  <c r="P54" i="17"/>
  <c r="Q54" i="17"/>
  <c r="R54" i="17"/>
  <c r="S54" i="17"/>
  <c r="T54" i="17"/>
  <c r="U54" i="17"/>
  <c r="V54" i="17"/>
  <c r="W54" i="17"/>
  <c r="M55" i="17"/>
  <c r="N55" i="17"/>
  <c r="O55" i="17"/>
  <c r="P55" i="17"/>
  <c r="Q55" i="17"/>
  <c r="R55" i="17"/>
  <c r="S55" i="17"/>
  <c r="T55" i="17"/>
  <c r="U55" i="17"/>
  <c r="V55" i="17"/>
  <c r="W55" i="17"/>
  <c r="M56" i="17"/>
  <c r="N56" i="17"/>
  <c r="O56" i="17"/>
  <c r="P56" i="17"/>
  <c r="Q56" i="17"/>
  <c r="R56" i="17"/>
  <c r="S56" i="17"/>
  <c r="T56" i="17"/>
  <c r="U56" i="17"/>
  <c r="V56" i="17"/>
  <c r="W56" i="17"/>
  <c r="W46" i="17"/>
  <c r="V46" i="17"/>
  <c r="U46" i="17"/>
  <c r="T46" i="17"/>
  <c r="S46" i="17"/>
  <c r="R46" i="17"/>
  <c r="Q46" i="17"/>
  <c r="P46" i="17"/>
  <c r="O46" i="17"/>
  <c r="N46" i="17"/>
  <c r="M46" i="17"/>
  <c r="M33" i="17"/>
  <c r="N33" i="17"/>
  <c r="O33" i="17"/>
  <c r="P33" i="17"/>
  <c r="Q33" i="17"/>
  <c r="R33" i="17"/>
  <c r="S33" i="17"/>
  <c r="T33" i="17"/>
  <c r="U33" i="17"/>
  <c r="V33" i="17"/>
  <c r="W33" i="17"/>
  <c r="M34" i="17"/>
  <c r="N34" i="17"/>
  <c r="O34" i="17"/>
  <c r="P34" i="17"/>
  <c r="Q34" i="17"/>
  <c r="R34" i="17"/>
  <c r="S34" i="17"/>
  <c r="T34" i="17"/>
  <c r="U34" i="17"/>
  <c r="V34" i="17"/>
  <c r="W34" i="17"/>
  <c r="M35" i="17"/>
  <c r="N35" i="17"/>
  <c r="O35" i="17"/>
  <c r="P35" i="17"/>
  <c r="Q35" i="17"/>
  <c r="R35" i="17"/>
  <c r="S35" i="17"/>
  <c r="T35" i="17"/>
  <c r="U35" i="17"/>
  <c r="V35" i="17"/>
  <c r="W35" i="17"/>
  <c r="M36" i="17"/>
  <c r="N36" i="17"/>
  <c r="O36" i="17"/>
  <c r="P36" i="17"/>
  <c r="Q36" i="17"/>
  <c r="R36" i="17"/>
  <c r="S36" i="17"/>
  <c r="T36" i="17"/>
  <c r="U36" i="17"/>
  <c r="V36" i="17"/>
  <c r="W36" i="17"/>
  <c r="M37" i="17"/>
  <c r="N37" i="17"/>
  <c r="O37" i="17"/>
  <c r="P37" i="17"/>
  <c r="Q37" i="17"/>
  <c r="R37" i="17"/>
  <c r="S37" i="17"/>
  <c r="T37" i="17"/>
  <c r="U37" i="17"/>
  <c r="V37" i="17"/>
  <c r="W37" i="17"/>
  <c r="M38" i="17"/>
  <c r="N38" i="17"/>
  <c r="O38" i="17"/>
  <c r="P38" i="17"/>
  <c r="Q38" i="17"/>
  <c r="R38" i="17"/>
  <c r="S38" i="17"/>
  <c r="T38" i="17"/>
  <c r="U38" i="17"/>
  <c r="V38" i="17"/>
  <c r="W38" i="17"/>
  <c r="M39" i="17"/>
  <c r="N39" i="17"/>
  <c r="O39" i="17"/>
  <c r="P39" i="17"/>
  <c r="Q39" i="17"/>
  <c r="R39" i="17"/>
  <c r="S39" i="17"/>
  <c r="T39" i="17"/>
  <c r="U39" i="17"/>
  <c r="V39" i="17"/>
  <c r="W39" i="17"/>
  <c r="M40" i="17"/>
  <c r="N40" i="17"/>
  <c r="O40" i="17"/>
  <c r="P40" i="17"/>
  <c r="Q40" i="17"/>
  <c r="R40" i="17"/>
  <c r="S40" i="17"/>
  <c r="T40" i="17"/>
  <c r="U40" i="17"/>
  <c r="V40" i="17"/>
  <c r="W40" i="17"/>
  <c r="M41" i="17"/>
  <c r="N41" i="17"/>
  <c r="O41" i="17"/>
  <c r="P41" i="17"/>
  <c r="Q41" i="17"/>
  <c r="R41" i="17"/>
  <c r="S41" i="17"/>
  <c r="T41" i="17"/>
  <c r="U41" i="17"/>
  <c r="V41" i="17"/>
  <c r="W41" i="17"/>
  <c r="M42" i="17"/>
  <c r="N42" i="17"/>
  <c r="O42" i="17"/>
  <c r="P42" i="17"/>
  <c r="Q42" i="17"/>
  <c r="R42" i="17"/>
  <c r="S42" i="17"/>
  <c r="T42" i="17"/>
  <c r="U42" i="17"/>
  <c r="V42" i="17"/>
  <c r="W42" i="17"/>
  <c r="M43" i="17"/>
  <c r="N43" i="17"/>
  <c r="O43" i="17"/>
  <c r="P43" i="17"/>
  <c r="Q43" i="17"/>
  <c r="R43" i="17"/>
  <c r="S43" i="17"/>
  <c r="T43" i="17"/>
  <c r="U43" i="17"/>
  <c r="V43" i="17"/>
  <c r="W43" i="17"/>
  <c r="W32" i="17"/>
  <c r="V32" i="17"/>
  <c r="U32" i="17"/>
  <c r="T32" i="17"/>
  <c r="S32" i="17"/>
  <c r="R32" i="17"/>
  <c r="Q32" i="17"/>
  <c r="P32" i="17"/>
  <c r="O32" i="17"/>
  <c r="N32" i="17"/>
  <c r="M32" i="17"/>
  <c r="M15" i="17"/>
  <c r="N15" i="17"/>
  <c r="O15" i="17"/>
  <c r="P15" i="17"/>
  <c r="Q15" i="17"/>
  <c r="R15" i="17"/>
  <c r="S15" i="17"/>
  <c r="T15" i="17"/>
  <c r="U15" i="17"/>
  <c r="V15" i="17"/>
  <c r="W15" i="17"/>
  <c r="M16" i="17"/>
  <c r="N16" i="17"/>
  <c r="O16" i="17"/>
  <c r="P16" i="17"/>
  <c r="Q16" i="17"/>
  <c r="R16" i="17"/>
  <c r="S16" i="17"/>
  <c r="T16" i="17"/>
  <c r="U16" i="17"/>
  <c r="V16" i="17"/>
  <c r="W16" i="17"/>
  <c r="M17" i="17"/>
  <c r="N17" i="17"/>
  <c r="O17" i="17"/>
  <c r="P17" i="17"/>
  <c r="Q17" i="17"/>
  <c r="R17" i="17"/>
  <c r="S17" i="17"/>
  <c r="T17" i="17"/>
  <c r="U17" i="17"/>
  <c r="V17" i="17"/>
  <c r="W17" i="17"/>
  <c r="M18" i="17"/>
  <c r="N18" i="17"/>
  <c r="O18" i="17"/>
  <c r="P18" i="17"/>
  <c r="Q18" i="17"/>
  <c r="R18" i="17"/>
  <c r="S18" i="17"/>
  <c r="T18" i="17"/>
  <c r="U18" i="17"/>
  <c r="V18" i="17"/>
  <c r="W18" i="17"/>
  <c r="M19" i="17"/>
  <c r="N19" i="17"/>
  <c r="O19" i="17"/>
  <c r="P19" i="17"/>
  <c r="Q19" i="17"/>
  <c r="R19" i="17"/>
  <c r="S19" i="17"/>
  <c r="T19" i="17"/>
  <c r="U19" i="17"/>
  <c r="V19" i="17"/>
  <c r="W19" i="17"/>
  <c r="M20" i="17"/>
  <c r="N20" i="17"/>
  <c r="O20" i="17"/>
  <c r="P20" i="17"/>
  <c r="Q20" i="17"/>
  <c r="R20" i="17"/>
  <c r="S20" i="17"/>
  <c r="T20" i="17"/>
  <c r="U20" i="17"/>
  <c r="V20" i="17"/>
  <c r="W20" i="17"/>
  <c r="M21" i="17"/>
  <c r="N21" i="17"/>
  <c r="O21" i="17"/>
  <c r="P21" i="17"/>
  <c r="Q21" i="17"/>
  <c r="R21" i="17"/>
  <c r="S21" i="17"/>
  <c r="T21" i="17"/>
  <c r="U21" i="17"/>
  <c r="V21" i="17"/>
  <c r="W21" i="17"/>
  <c r="M22" i="17"/>
  <c r="N22" i="17"/>
  <c r="O22" i="17"/>
  <c r="P22" i="17"/>
  <c r="Q22" i="17"/>
  <c r="R22" i="17"/>
  <c r="S22" i="17"/>
  <c r="T22" i="17"/>
  <c r="U22" i="17"/>
  <c r="V22" i="17"/>
  <c r="W22" i="17"/>
  <c r="M23" i="17"/>
  <c r="N23" i="17"/>
  <c r="O23" i="17"/>
  <c r="P23" i="17"/>
  <c r="Q23" i="17"/>
  <c r="R23" i="17"/>
  <c r="S23" i="17"/>
  <c r="T23" i="17"/>
  <c r="U23" i="17"/>
  <c r="V23" i="17"/>
  <c r="W23" i="17"/>
  <c r="M24" i="17"/>
  <c r="N24" i="17"/>
  <c r="O24" i="17"/>
  <c r="P24" i="17"/>
  <c r="Q24" i="17"/>
  <c r="R24" i="17"/>
  <c r="S24" i="17"/>
  <c r="T24" i="17"/>
  <c r="U24" i="17"/>
  <c r="V24" i="17"/>
  <c r="W24" i="17"/>
  <c r="M25" i="17"/>
  <c r="N25" i="17"/>
  <c r="O25" i="17"/>
  <c r="P25" i="17"/>
  <c r="Q25" i="17"/>
  <c r="R25" i="17"/>
  <c r="S25" i="17"/>
  <c r="T25" i="17"/>
  <c r="U25" i="17"/>
  <c r="V25" i="17"/>
  <c r="W25" i="17"/>
  <c r="M26" i="17"/>
  <c r="N26" i="17"/>
  <c r="O26" i="17"/>
  <c r="P26" i="17"/>
  <c r="Q26" i="17"/>
  <c r="R26" i="17"/>
  <c r="S26" i="17"/>
  <c r="T26" i="17"/>
  <c r="U26" i="17"/>
  <c r="V26" i="17"/>
  <c r="W26" i="17"/>
  <c r="M27" i="17"/>
  <c r="N27" i="17"/>
  <c r="O27" i="17"/>
  <c r="P27" i="17"/>
  <c r="Q27" i="17"/>
  <c r="R27" i="17"/>
  <c r="S27" i="17"/>
  <c r="T27" i="17"/>
  <c r="U27" i="17"/>
  <c r="V27" i="17"/>
  <c r="W27" i="17"/>
  <c r="M28" i="17"/>
  <c r="N28" i="17"/>
  <c r="O28" i="17"/>
  <c r="P28" i="17"/>
  <c r="Q28" i="17"/>
  <c r="R28" i="17"/>
  <c r="S28" i="17"/>
  <c r="T28" i="17"/>
  <c r="U28" i="17"/>
  <c r="V28" i="17"/>
  <c r="W28" i="17"/>
  <c r="W14" i="17"/>
  <c r="V14" i="17"/>
  <c r="U14" i="17"/>
  <c r="T14" i="17"/>
  <c r="S14" i="17"/>
  <c r="R14" i="17"/>
  <c r="Q14" i="17"/>
  <c r="P14" i="17"/>
  <c r="O14" i="17"/>
  <c r="N14" i="17"/>
  <c r="M14" i="17"/>
  <c r="O3" i="17"/>
  <c r="P3" i="17"/>
  <c r="Q3" i="17"/>
  <c r="R3" i="17"/>
  <c r="S3" i="17"/>
  <c r="T3" i="17"/>
  <c r="U3" i="17"/>
  <c r="V3" i="17"/>
  <c r="W3" i="17"/>
  <c r="O4" i="17"/>
  <c r="P4" i="17"/>
  <c r="Q4" i="17"/>
  <c r="R4" i="17"/>
  <c r="S4" i="17"/>
  <c r="T4" i="17"/>
  <c r="U4" i="17"/>
  <c r="V4" i="17"/>
  <c r="W4" i="17"/>
  <c r="O5" i="17"/>
  <c r="P5" i="17"/>
  <c r="Q5" i="17"/>
  <c r="R5" i="17"/>
  <c r="S5" i="17"/>
  <c r="T5" i="17"/>
  <c r="U5" i="17"/>
  <c r="V5" i="17"/>
  <c r="W5" i="17"/>
  <c r="O6" i="17"/>
  <c r="P6" i="17"/>
  <c r="Q6" i="17"/>
  <c r="R6" i="17"/>
  <c r="S6" i="17"/>
  <c r="T6" i="17"/>
  <c r="U6" i="17"/>
  <c r="V6" i="17"/>
  <c r="W6" i="17"/>
  <c r="O7" i="17"/>
  <c r="P7" i="17"/>
  <c r="Q7" i="17"/>
  <c r="R7" i="17"/>
  <c r="S7" i="17"/>
  <c r="T7" i="17"/>
  <c r="U7" i="17"/>
  <c r="V7" i="17"/>
  <c r="W7" i="17"/>
  <c r="O8" i="17"/>
  <c r="P8" i="17"/>
  <c r="Q8" i="17"/>
  <c r="R8" i="17"/>
  <c r="S8" i="17"/>
  <c r="T8" i="17"/>
  <c r="U8" i="17"/>
  <c r="V8" i="17"/>
  <c r="W8" i="17"/>
  <c r="O9" i="17"/>
  <c r="P9" i="17"/>
  <c r="Q9" i="17"/>
  <c r="R9" i="17"/>
  <c r="S9" i="17"/>
  <c r="T9" i="17"/>
  <c r="U9" i="17"/>
  <c r="V9" i="17"/>
  <c r="W9" i="17"/>
  <c r="O10" i="17"/>
  <c r="P10" i="17"/>
  <c r="Q10" i="17"/>
  <c r="R10" i="17"/>
  <c r="S10" i="17"/>
  <c r="T10" i="17"/>
  <c r="U10" i="17"/>
  <c r="V10" i="17"/>
  <c r="W10" i="17"/>
  <c r="W2" i="17"/>
  <c r="V2" i="17"/>
  <c r="U2" i="17"/>
  <c r="T2" i="17"/>
  <c r="S2" i="17"/>
  <c r="R2" i="17"/>
  <c r="Q2" i="17"/>
  <c r="P2" i="17"/>
  <c r="O2" i="17"/>
  <c r="J69" i="17"/>
  <c r="I69" i="17"/>
  <c r="H69" i="17"/>
  <c r="G69" i="17"/>
  <c r="F69" i="17"/>
  <c r="E69" i="17"/>
  <c r="D69" i="17"/>
  <c r="C69" i="17"/>
  <c r="B69" i="17"/>
  <c r="J68" i="17"/>
  <c r="I68" i="17"/>
  <c r="H68" i="17"/>
  <c r="G68" i="17"/>
  <c r="F68" i="17"/>
  <c r="E68" i="17"/>
  <c r="D68" i="17"/>
  <c r="C68" i="17"/>
  <c r="B68" i="17"/>
  <c r="J67" i="17"/>
  <c r="I67" i="17"/>
  <c r="H67" i="17"/>
  <c r="G67" i="17"/>
  <c r="F67" i="17"/>
  <c r="E67" i="17"/>
  <c r="D67" i="17"/>
  <c r="C67" i="17"/>
  <c r="B67" i="17"/>
  <c r="J38" i="17"/>
  <c r="I38" i="17"/>
  <c r="H38" i="17"/>
  <c r="G38" i="17"/>
  <c r="F38" i="17"/>
  <c r="E38" i="17"/>
  <c r="D38" i="17"/>
  <c r="C38" i="17"/>
  <c r="B38" i="17"/>
  <c r="B3" i="17"/>
  <c r="C3" i="17"/>
  <c r="D3" i="17"/>
  <c r="E3" i="17"/>
  <c r="F3" i="17"/>
  <c r="G3" i="17"/>
  <c r="H3" i="17"/>
  <c r="I3" i="17"/>
  <c r="J3" i="17"/>
  <c r="B4" i="17"/>
  <c r="C4" i="17"/>
  <c r="D4" i="17"/>
  <c r="E4" i="17"/>
  <c r="F4" i="17"/>
  <c r="G4" i="17"/>
  <c r="H4" i="17"/>
  <c r="I4" i="17"/>
  <c r="J4" i="17"/>
  <c r="B5" i="17"/>
  <c r="C5" i="17"/>
  <c r="D5" i="17"/>
  <c r="E5" i="17"/>
  <c r="F5" i="17"/>
  <c r="G5" i="17"/>
  <c r="H5" i="17"/>
  <c r="I5" i="17"/>
  <c r="J5" i="17"/>
  <c r="B6" i="17"/>
  <c r="C6" i="17"/>
  <c r="D6" i="17"/>
  <c r="E6" i="17"/>
  <c r="F6" i="17"/>
  <c r="G6" i="17"/>
  <c r="H6" i="17"/>
  <c r="I6" i="17"/>
  <c r="J6" i="17"/>
  <c r="B7" i="17"/>
  <c r="C7" i="17"/>
  <c r="D7" i="17"/>
  <c r="E7" i="17"/>
  <c r="F7" i="17"/>
  <c r="G7" i="17"/>
  <c r="H7" i="17"/>
  <c r="I7" i="17"/>
  <c r="J7" i="17"/>
  <c r="B8" i="17"/>
  <c r="C8" i="17"/>
  <c r="D8" i="17"/>
  <c r="E8" i="17"/>
  <c r="F8" i="17"/>
  <c r="G8" i="17"/>
  <c r="H8" i="17"/>
  <c r="I8" i="17"/>
  <c r="J8" i="17"/>
  <c r="B9" i="17"/>
  <c r="C9" i="17"/>
  <c r="D9" i="17"/>
  <c r="E9" i="17"/>
  <c r="F9" i="17"/>
  <c r="G9" i="17"/>
  <c r="H9" i="17"/>
  <c r="I9" i="17"/>
  <c r="J9" i="17"/>
  <c r="B10" i="17"/>
  <c r="C10" i="17"/>
  <c r="D10" i="17"/>
  <c r="E10" i="17"/>
  <c r="F10" i="17"/>
  <c r="G10" i="17"/>
  <c r="H10" i="17"/>
  <c r="I10" i="17"/>
  <c r="J10" i="17"/>
  <c r="B11" i="17"/>
  <c r="C11" i="17"/>
  <c r="D11" i="17"/>
  <c r="E11" i="17"/>
  <c r="F11" i="17"/>
  <c r="G11" i="17"/>
  <c r="H11" i="17"/>
  <c r="I11" i="17"/>
  <c r="J11" i="17"/>
  <c r="B12" i="17"/>
  <c r="C12" i="17"/>
  <c r="D12" i="17"/>
  <c r="E12" i="17"/>
  <c r="F12" i="17"/>
  <c r="G12" i="17"/>
  <c r="H12" i="17"/>
  <c r="I12" i="17"/>
  <c r="J12" i="17"/>
  <c r="B13" i="17"/>
  <c r="C13" i="17"/>
  <c r="D13" i="17"/>
  <c r="E13" i="17"/>
  <c r="F13" i="17"/>
  <c r="G13" i="17"/>
  <c r="H13" i="17"/>
  <c r="I13" i="17"/>
  <c r="J13" i="17"/>
  <c r="B14" i="17"/>
  <c r="C14" i="17"/>
  <c r="D14" i="17"/>
  <c r="E14" i="17"/>
  <c r="F14" i="17"/>
  <c r="G14" i="17"/>
  <c r="H14" i="17"/>
  <c r="I14" i="17"/>
  <c r="J14" i="17"/>
  <c r="B15" i="17"/>
  <c r="C15" i="17"/>
  <c r="D15" i="17"/>
  <c r="E15" i="17"/>
  <c r="F15" i="17"/>
  <c r="G15" i="17"/>
  <c r="H15" i="17"/>
  <c r="I15" i="17"/>
  <c r="J15" i="17"/>
  <c r="B16" i="17"/>
  <c r="C16" i="17"/>
  <c r="D16" i="17"/>
  <c r="E16" i="17"/>
  <c r="F16" i="17"/>
  <c r="G16" i="17"/>
  <c r="H16" i="17"/>
  <c r="I16" i="17"/>
  <c r="J16" i="17"/>
  <c r="B17" i="17"/>
  <c r="C17" i="17"/>
  <c r="D17" i="17"/>
  <c r="E17" i="17"/>
  <c r="F17" i="17"/>
  <c r="G17" i="17"/>
  <c r="H17" i="17"/>
  <c r="I17" i="17"/>
  <c r="J17" i="17"/>
  <c r="B18" i="17"/>
  <c r="C18" i="17"/>
  <c r="D18" i="17"/>
  <c r="E18" i="17"/>
  <c r="F18" i="17"/>
  <c r="G18" i="17"/>
  <c r="H18" i="17"/>
  <c r="I18" i="17"/>
  <c r="J18" i="17"/>
  <c r="B19" i="17"/>
  <c r="C19" i="17"/>
  <c r="D19" i="17"/>
  <c r="E19" i="17"/>
  <c r="F19" i="17"/>
  <c r="G19" i="17"/>
  <c r="H19" i="17"/>
  <c r="I19" i="17"/>
  <c r="J19" i="17"/>
  <c r="B20" i="17"/>
  <c r="C20" i="17"/>
  <c r="D20" i="17"/>
  <c r="E20" i="17"/>
  <c r="F20" i="17"/>
  <c r="G20" i="17"/>
  <c r="H20" i="17"/>
  <c r="I20" i="17"/>
  <c r="J20" i="17"/>
  <c r="J2" i="17"/>
  <c r="I2" i="17"/>
  <c r="H2" i="17"/>
  <c r="G2" i="17"/>
  <c r="F2" i="17"/>
  <c r="E2" i="17"/>
  <c r="D2" i="17"/>
  <c r="C2" i="17"/>
  <c r="B2" i="17"/>
  <c r="N8" i="17"/>
  <c r="M8" i="17"/>
  <c r="N7" i="17"/>
  <c r="M7" i="17"/>
  <c r="N6" i="17"/>
  <c r="M6" i="17"/>
  <c r="N5" i="17"/>
  <c r="M5" i="17"/>
  <c r="N4" i="17"/>
  <c r="M4" i="17"/>
  <c r="N3" i="17"/>
  <c r="M3" i="17"/>
  <c r="N2" i="17"/>
  <c r="M2" i="17"/>
  <c r="Q20" i="29"/>
  <c r="Q21" i="29"/>
  <c r="Q22" i="29"/>
  <c r="AP121" i="20" s="1"/>
  <c r="Q23" i="29"/>
  <c r="Q24" i="29"/>
  <c r="AP22" i="20" s="1"/>
  <c r="Q25" i="29"/>
  <c r="AP14" i="20" s="1"/>
  <c r="Q26" i="29"/>
  <c r="AP84" i="20" s="1"/>
  <c r="Q27" i="29"/>
  <c r="AP24" i="20" s="1"/>
  <c r="Q28" i="29"/>
  <c r="Q29" i="29"/>
  <c r="AP27" i="20" s="1"/>
  <c r="Q30" i="29"/>
  <c r="AP63" i="20" s="1"/>
  <c r="Q31" i="29"/>
  <c r="AP37" i="20" s="1"/>
  <c r="Q32" i="29"/>
  <c r="AP8" i="20" s="1"/>
  <c r="Q33" i="29"/>
  <c r="AP45" i="20" s="1"/>
  <c r="Q34" i="29"/>
  <c r="AP31" i="20" s="1"/>
  <c r="Q35" i="29"/>
  <c r="AP70" i="20" s="1"/>
  <c r="Q36" i="29"/>
  <c r="Q37" i="29"/>
  <c r="Q38" i="29"/>
  <c r="Q39" i="29"/>
  <c r="Q40" i="29"/>
  <c r="AP61" i="20" s="1"/>
  <c r="Q41" i="29"/>
  <c r="AP49" i="20" s="1"/>
  <c r="AP51" i="20"/>
  <c r="Q42" i="29"/>
  <c r="AP36" i="20" s="1"/>
  <c r="Q43" i="29"/>
  <c r="Q44" i="29"/>
  <c r="Q45" i="29"/>
  <c r="AP41" i="20" s="1"/>
  <c r="Q46" i="29"/>
  <c r="AP44" i="20" s="1"/>
  <c r="Q47" i="29"/>
  <c r="AP34" i="20" s="1"/>
  <c r="Q48" i="29"/>
  <c r="AP43" i="20" s="1"/>
  <c r="Q49" i="29"/>
  <c r="AP47" i="20" s="1"/>
  <c r="Q50" i="29"/>
  <c r="AP57" i="20" s="1"/>
  <c r="Q51" i="29"/>
  <c r="AP29" i="20" s="1"/>
  <c r="Q52" i="29"/>
  <c r="AP56" i="20" s="1"/>
  <c r="Q53" i="29"/>
  <c r="Q54" i="29"/>
  <c r="AP64" i="20" s="1"/>
  <c r="Q55" i="29"/>
  <c r="AP62" i="20" s="1"/>
  <c r="Q56" i="29"/>
  <c r="AP55" i="20" s="1"/>
  <c r="Q57" i="29"/>
  <c r="AP54" i="20" s="1"/>
  <c r="Q58" i="29"/>
  <c r="AP59" i="20" s="1"/>
  <c r="Q59" i="29"/>
  <c r="AP53" i="20" s="1"/>
  <c r="Q60" i="29"/>
  <c r="AP113" i="20" s="1"/>
  <c r="Q61" i="29"/>
  <c r="AP77" i="20" s="1"/>
  <c r="Q62" i="29"/>
  <c r="Q63" i="29"/>
  <c r="AP83" i="20" s="1"/>
  <c r="Q64" i="29"/>
  <c r="AP99" i="20" s="1"/>
  <c r="Q65" i="29"/>
  <c r="AP104" i="20" s="1"/>
  <c r="Q66" i="29"/>
  <c r="AP58" i="20" s="1"/>
  <c r="Q67" i="29"/>
  <c r="AP48" i="20" s="1"/>
  <c r="Q68" i="29"/>
  <c r="AP38" i="20" s="1"/>
  <c r="Q69" i="29"/>
  <c r="AP68" i="20" s="1"/>
  <c r="Q70" i="29"/>
  <c r="AP65" i="20" s="1"/>
  <c r="Q71" i="29"/>
  <c r="AP82" i="20" s="1"/>
  <c r="Q72" i="29"/>
  <c r="AP74" i="20" s="1"/>
  <c r="Q73" i="29"/>
  <c r="AP71" i="20" s="1"/>
  <c r="Q74" i="29"/>
  <c r="AP89" i="20" s="1"/>
  <c r="Q75" i="29"/>
  <c r="AP86" i="20" s="1"/>
  <c r="Q76" i="29"/>
  <c r="AP98" i="20" s="1"/>
  <c r="Q77" i="29"/>
  <c r="Q78" i="29"/>
  <c r="AP97" i="20" s="1"/>
  <c r="Q79" i="29"/>
  <c r="AP102" i="20" s="1"/>
  <c r="Q80" i="29"/>
  <c r="AP39" i="20" s="1"/>
  <c r="Q81" i="29"/>
  <c r="AP81" i="20" s="1"/>
  <c r="Q82" i="29"/>
  <c r="AP131" i="20" s="1"/>
  <c r="Q83" i="29"/>
  <c r="AP21" i="20" s="1"/>
  <c r="Q84" i="29"/>
  <c r="AP110" i="20" s="1"/>
  <c r="Q85" i="29"/>
  <c r="AP46" i="20" s="1"/>
  <c r="Q86" i="29"/>
  <c r="AP143" i="20" s="1"/>
  <c r="Q87" i="29"/>
  <c r="Q88" i="29"/>
  <c r="AP130" i="20" s="1"/>
  <c r="Q89" i="29"/>
  <c r="AP52" i="20" s="1"/>
  <c r="Q90" i="29"/>
  <c r="AP158" i="20" s="1"/>
  <c r="Q91" i="29"/>
  <c r="AP40" i="20" s="1"/>
  <c r="Q92" i="29"/>
  <c r="Q93" i="29"/>
  <c r="AP91" i="20" s="1"/>
  <c r="Q94" i="29"/>
  <c r="AP85" i="20" s="1"/>
  <c r="Q95" i="29"/>
  <c r="Q96" i="29"/>
  <c r="AP79" i="20" s="1"/>
  <c r="Q97" i="29"/>
  <c r="Q98" i="29"/>
  <c r="AP69" i="20" s="1"/>
  <c r="Q99" i="29"/>
  <c r="AP75" i="20" s="1"/>
  <c r="Q100" i="29"/>
  <c r="AP66" i="20" s="1"/>
  <c r="Q101" i="29"/>
  <c r="AP67" i="20" s="1"/>
  <c r="Q102" i="29"/>
  <c r="AP115" i="20" s="1"/>
  <c r="Q103" i="29"/>
  <c r="AP138" i="20" s="1"/>
  <c r="Q104" i="29"/>
  <c r="AP147" i="20" s="1"/>
  <c r="Q105" i="29"/>
  <c r="AP95" i="20" s="1"/>
  <c r="Q106" i="29"/>
  <c r="Q107" i="29"/>
  <c r="AP179" i="20" s="1"/>
  <c r="Q108" i="29"/>
  <c r="AP135" i="20" s="1"/>
  <c r="Q109" i="29"/>
  <c r="AP133" i="20" s="1"/>
  <c r="Q110" i="29"/>
  <c r="Q111" i="29"/>
  <c r="AP96" i="20" s="1"/>
  <c r="Q112" i="29"/>
  <c r="AP141" i="20" s="1"/>
  <c r="Q113" i="29"/>
  <c r="AP152" i="20" s="1"/>
  <c r="Q114" i="29"/>
  <c r="AP93" i="20" s="1"/>
  <c r="Q115" i="29"/>
  <c r="AP108" i="20" s="1"/>
  <c r="Q116" i="29"/>
  <c r="AP101" i="20" s="1"/>
  <c r="Q117" i="29"/>
  <c r="Q118" i="29"/>
  <c r="Q119" i="29"/>
  <c r="AP137" i="20" s="1"/>
  <c r="Q120" i="29"/>
  <c r="AP72" i="20" s="1"/>
  <c r="Q121" i="29"/>
  <c r="Q122" i="29"/>
  <c r="Q123" i="29"/>
  <c r="AP88" i="20" s="1"/>
  <c r="Q124" i="29"/>
  <c r="Q125" i="29"/>
  <c r="Q126" i="29"/>
  <c r="Q127" i="29"/>
  <c r="AP153" i="20" s="1"/>
  <c r="Q128" i="29"/>
  <c r="AP112" i="20" s="1"/>
  <c r="Q129" i="29"/>
  <c r="Q130" i="29"/>
  <c r="Q131" i="29"/>
  <c r="Q132" i="29"/>
  <c r="Q133" i="29"/>
  <c r="Q134" i="29"/>
  <c r="AP155" i="20" s="1"/>
  <c r="Q135" i="29"/>
  <c r="AP144" i="20" s="1"/>
  <c r="Q136" i="29"/>
  <c r="AP159" i="20" s="1"/>
  <c r="Q137" i="29"/>
  <c r="AP92" i="20" s="1"/>
  <c r="Q138" i="29"/>
  <c r="Q139" i="29"/>
  <c r="AP125" i="20" s="1"/>
  <c r="Q140" i="29"/>
  <c r="Q141" i="29"/>
  <c r="Q142" i="29"/>
  <c r="AP103" i="20" s="1"/>
  <c r="Q143" i="29"/>
  <c r="AP151" i="20" s="1"/>
  <c r="Q144" i="29"/>
  <c r="AP118" i="20" s="1"/>
  <c r="Q145" i="29"/>
  <c r="Q146" i="29"/>
  <c r="AP126" i="20" s="1"/>
  <c r="Q147" i="29"/>
  <c r="Q148" i="29"/>
  <c r="Q149" i="29"/>
  <c r="AP145" i="20" s="1"/>
  <c r="Q150" i="29"/>
  <c r="AP132" i="20" s="1"/>
  <c r="Q151" i="29"/>
  <c r="Q152" i="29"/>
  <c r="Q153" i="29"/>
  <c r="AP187" i="20" s="1"/>
  <c r="Q154" i="29"/>
  <c r="AP123" i="20" s="1"/>
  <c r="Q155" i="29"/>
  <c r="AP160" i="20" s="1"/>
  <c r="Q156" i="29"/>
  <c r="Q157" i="29"/>
  <c r="Q158" i="29"/>
  <c r="AP94" i="20" s="1"/>
  <c r="Q159" i="29"/>
  <c r="Q160" i="29"/>
  <c r="Q161" i="29"/>
  <c r="Q162" i="29"/>
  <c r="Q163" i="29"/>
  <c r="AP165" i="20" s="1"/>
  <c r="Q164" i="29"/>
  <c r="AP124" i="20" s="1"/>
  <c r="Q165" i="29"/>
  <c r="AP106" i="20" s="1"/>
  <c r="Q166" i="29"/>
  <c r="Q167" i="29"/>
  <c r="Q168" i="29"/>
  <c r="AP156" i="20" s="1"/>
  <c r="Q169" i="29"/>
  <c r="AP87" i="20" s="1"/>
  <c r="Q170" i="29"/>
  <c r="AP117" i="20" s="1"/>
  <c r="Q171" i="29"/>
  <c r="Q172" i="29"/>
  <c r="AP174" i="20" s="1"/>
  <c r="Q173" i="29"/>
  <c r="AP180" i="20" s="1"/>
  <c r="Q174" i="29"/>
  <c r="AP149" i="20" s="1"/>
  <c r="Q175" i="29"/>
  <c r="Q176" i="29"/>
  <c r="Q177" i="29"/>
  <c r="Q178" i="29"/>
  <c r="Q179" i="29"/>
  <c r="AP111" i="20" s="1"/>
  <c r="Q180" i="29"/>
  <c r="AP175" i="20" s="1"/>
  <c r="Q181" i="29"/>
  <c r="Q182" i="29"/>
  <c r="Q183" i="29"/>
  <c r="Q184" i="29"/>
  <c r="AP148" i="20" s="1"/>
  <c r="Q185" i="29"/>
  <c r="Q186" i="29"/>
  <c r="Q187" i="29"/>
  <c r="Q188" i="29"/>
  <c r="Q189" i="29"/>
  <c r="AP170" i="20" s="1"/>
  <c r="Q190" i="29"/>
  <c r="Q191" i="29"/>
  <c r="AP109" i="20" s="1"/>
  <c r="Q192" i="29"/>
  <c r="Q193" i="29"/>
  <c r="Q194" i="29"/>
  <c r="Q195" i="29"/>
  <c r="Q196" i="29"/>
  <c r="Q197" i="29"/>
  <c r="Q198" i="29"/>
  <c r="AP107" i="20" s="1"/>
  <c r="Q199" i="29"/>
  <c r="AP80" i="20" s="1"/>
  <c r="Q200" i="29"/>
  <c r="Q201" i="29"/>
  <c r="AP6" i="20"/>
  <c r="AP16" i="20"/>
  <c r="AP18" i="20"/>
  <c r="AP19" i="20"/>
  <c r="AP20" i="20"/>
  <c r="AP26" i="20"/>
  <c r="AP28" i="20"/>
  <c r="AP30" i="20"/>
  <c r="AP33" i="20"/>
  <c r="AP42" i="20"/>
  <c r="AP60" i="20"/>
  <c r="AP73" i="20"/>
  <c r="AP76" i="20"/>
  <c r="AP78" i="20"/>
  <c r="AP90" i="20"/>
  <c r="AP100" i="20"/>
  <c r="AP105" i="20"/>
  <c r="AP114" i="20"/>
  <c r="AP116" i="20"/>
  <c r="AP119" i="20"/>
  <c r="AP120" i="20"/>
  <c r="AP122" i="20"/>
  <c r="AP127" i="20"/>
  <c r="AP128" i="20"/>
  <c r="AP129" i="20"/>
  <c r="AP134" i="20"/>
  <c r="AP136" i="20"/>
  <c r="AP139" i="20"/>
  <c r="AP140" i="20"/>
  <c r="AP142" i="20"/>
  <c r="AP146" i="20"/>
  <c r="AP150" i="20"/>
  <c r="AP154" i="20"/>
  <c r="AP157" i="20"/>
  <c r="AP161" i="20"/>
  <c r="AP162" i="20"/>
  <c r="AP163" i="20"/>
  <c r="AP164" i="20"/>
  <c r="AP166" i="20"/>
  <c r="AP167" i="20"/>
  <c r="AP168" i="20"/>
  <c r="AP169" i="20"/>
  <c r="AP171" i="20"/>
  <c r="AP172" i="20"/>
  <c r="AP173" i="20"/>
  <c r="AP176" i="20"/>
  <c r="AP177" i="20"/>
  <c r="AP178" i="20"/>
  <c r="AP181" i="20"/>
  <c r="AP182" i="20"/>
  <c r="AP183" i="20"/>
  <c r="AP184" i="20"/>
  <c r="AP185" i="20"/>
  <c r="AP186" i="20"/>
  <c r="AP188" i="20"/>
  <c r="AP189" i="20"/>
  <c r="AP190" i="20"/>
  <c r="AP191" i="20"/>
  <c r="AP192" i="20"/>
  <c r="AP193" i="20"/>
  <c r="AP194" i="20"/>
  <c r="AP195" i="20"/>
  <c r="AP196" i="20"/>
  <c r="AP197" i="20"/>
  <c r="AP198" i="20"/>
  <c r="AP199" i="20"/>
  <c r="AP200" i="20"/>
  <c r="AP201" i="20"/>
  <c r="Q3" i="29"/>
  <c r="AP3" i="20" s="1"/>
  <c r="Q4" i="29"/>
  <c r="AP4" i="20" s="1"/>
  <c r="Q5" i="29"/>
  <c r="AP10" i="20" s="1"/>
  <c r="Q6" i="29"/>
  <c r="AP5" i="20" s="1"/>
  <c r="Q7" i="29"/>
  <c r="AP17" i="20" s="1"/>
  <c r="Q8" i="29"/>
  <c r="AP13" i="20" s="1"/>
  <c r="Q9" i="29"/>
  <c r="AP11" i="20" s="1"/>
  <c r="Q10" i="29"/>
  <c r="AP12" i="20" s="1"/>
  <c r="Q11" i="29"/>
  <c r="AP15" i="20" s="1"/>
  <c r="Q12" i="29"/>
  <c r="AP35" i="20" s="1"/>
  <c r="Q13" i="29"/>
  <c r="AP25" i="20" s="1"/>
  <c r="Q14" i="29"/>
  <c r="Q15" i="29"/>
  <c r="AP7" i="20" s="1"/>
  <c r="Q16" i="29"/>
  <c r="AP50" i="20" s="1"/>
  <c r="Q17" i="29"/>
  <c r="AP9" i="20" s="1"/>
  <c r="Q18" i="29"/>
  <c r="AP23" i="20" s="1"/>
  <c r="Q19" i="29"/>
  <c r="AP32" i="20" s="1"/>
  <c r="Q2" i="29"/>
  <c r="AP2" i="20" s="1"/>
  <c r="AE39" i="20"/>
  <c r="AE40" i="20"/>
  <c r="AE41" i="20"/>
  <c r="AE42" i="20"/>
  <c r="AE43" i="20"/>
  <c r="AE44" i="20"/>
  <c r="AE45" i="20"/>
  <c r="AE46" i="20"/>
  <c r="AE47" i="20"/>
  <c r="AE48" i="20"/>
  <c r="AE49" i="20"/>
  <c r="AE50" i="20"/>
  <c r="AE51" i="20"/>
  <c r="AE52" i="20"/>
  <c r="AE53" i="20"/>
  <c r="AE54" i="20"/>
  <c r="AE55" i="20"/>
  <c r="AE56" i="20"/>
  <c r="AE57" i="20"/>
  <c r="AE58" i="20"/>
  <c r="AE59" i="20"/>
  <c r="AE60" i="20"/>
  <c r="AE61" i="20"/>
  <c r="AE62" i="20"/>
  <c r="AE63" i="20"/>
  <c r="AE64" i="20"/>
  <c r="AE65" i="20"/>
  <c r="AE66" i="20"/>
  <c r="AE67" i="20"/>
  <c r="AE68" i="20"/>
  <c r="AE69" i="20"/>
  <c r="AE70" i="20"/>
  <c r="AE71" i="20"/>
  <c r="AE72" i="20"/>
  <c r="AE73" i="20"/>
  <c r="AE74" i="20"/>
  <c r="AE75" i="20"/>
  <c r="AE76" i="20"/>
  <c r="AE77" i="20"/>
  <c r="AE78" i="20"/>
  <c r="AE79" i="20"/>
  <c r="AE80" i="20"/>
  <c r="AE81" i="20"/>
  <c r="AE82" i="20"/>
  <c r="AE83" i="20"/>
  <c r="AE84" i="20"/>
  <c r="AE85" i="20"/>
  <c r="AE86" i="20"/>
  <c r="AE87" i="20"/>
  <c r="AE88" i="20"/>
  <c r="AE89" i="20"/>
  <c r="AE90" i="20"/>
  <c r="AE91" i="20"/>
  <c r="AE92" i="20"/>
  <c r="AE93" i="20"/>
  <c r="AE94" i="20"/>
  <c r="AE95" i="20"/>
  <c r="AE96" i="20"/>
  <c r="AE97" i="20"/>
  <c r="AE98" i="20"/>
  <c r="AE99" i="20"/>
  <c r="AE100" i="20"/>
  <c r="AE101" i="20"/>
  <c r="AE102" i="20"/>
  <c r="AE103" i="20"/>
  <c r="AE104" i="20"/>
  <c r="AE105" i="20"/>
  <c r="AE106" i="20"/>
  <c r="AE107" i="20"/>
  <c r="AE108" i="20"/>
  <c r="AE109" i="20"/>
  <c r="AE110" i="20"/>
  <c r="AE111" i="20"/>
  <c r="AE112" i="20"/>
  <c r="AE113" i="20"/>
  <c r="AE114" i="20"/>
  <c r="AE115" i="20"/>
  <c r="AE116" i="20"/>
  <c r="AE117" i="20"/>
  <c r="AE118" i="20"/>
  <c r="AE119" i="20"/>
  <c r="AE120" i="20"/>
  <c r="AE121" i="20"/>
  <c r="AE122" i="20"/>
  <c r="AE123" i="20"/>
  <c r="AE124" i="20"/>
  <c r="AE125" i="20"/>
  <c r="AE126" i="20"/>
  <c r="AE127" i="20"/>
  <c r="AE128" i="20"/>
  <c r="AE129" i="20"/>
  <c r="AE130" i="20"/>
  <c r="AE131" i="20"/>
  <c r="AE132" i="20"/>
  <c r="AE133" i="20"/>
  <c r="AE134" i="20"/>
  <c r="AE135" i="20"/>
  <c r="AE136" i="20"/>
  <c r="AE137" i="20"/>
  <c r="AE138" i="20"/>
  <c r="AE139" i="20"/>
  <c r="AE140" i="20"/>
  <c r="AE141" i="20"/>
  <c r="AE142" i="20"/>
  <c r="AE143" i="20"/>
  <c r="AE144" i="20"/>
  <c r="AE145" i="20"/>
  <c r="AE146" i="20"/>
  <c r="AE147" i="20"/>
  <c r="AE148" i="20"/>
  <c r="AE149" i="20"/>
  <c r="AE150" i="20"/>
  <c r="AE151" i="20"/>
  <c r="AE152" i="20"/>
  <c r="AE153" i="20"/>
  <c r="AE154" i="20"/>
  <c r="AE155" i="20"/>
  <c r="AE156" i="20"/>
  <c r="AE157" i="20"/>
  <c r="AE158" i="20"/>
  <c r="AE159" i="20"/>
  <c r="AE160" i="20"/>
  <c r="AE161" i="20"/>
  <c r="AE162" i="20"/>
  <c r="AE163" i="20"/>
  <c r="AE164" i="20"/>
  <c r="AE165" i="20"/>
  <c r="AE166" i="20"/>
  <c r="AE167" i="20"/>
  <c r="AE168" i="20"/>
  <c r="AE169" i="20"/>
  <c r="AE170" i="20"/>
  <c r="AE171" i="20"/>
  <c r="AE172" i="20"/>
  <c r="AE173" i="20"/>
  <c r="AE174" i="20"/>
  <c r="AE175" i="20"/>
  <c r="AE176" i="20"/>
  <c r="AE177" i="20"/>
  <c r="AE178" i="20"/>
  <c r="AE179" i="20"/>
  <c r="AE180" i="20"/>
  <c r="AE181" i="20"/>
  <c r="AE182" i="20"/>
  <c r="AE183" i="20"/>
  <c r="AE184" i="20"/>
  <c r="AE185" i="20"/>
  <c r="AE186" i="20"/>
  <c r="AE187" i="20"/>
  <c r="AE188" i="20"/>
  <c r="AE189" i="20"/>
  <c r="AE190" i="20"/>
  <c r="AE191" i="20"/>
  <c r="AE192" i="20"/>
  <c r="AE193" i="20"/>
  <c r="AE194" i="20"/>
  <c r="AE195" i="20"/>
  <c r="AE196" i="20"/>
  <c r="AE197" i="20"/>
  <c r="AE198" i="20"/>
  <c r="AE199" i="20"/>
  <c r="AE200" i="20"/>
  <c r="AE201" i="20"/>
  <c r="AE202" i="20"/>
  <c r="AD39" i="20"/>
  <c r="AD40" i="20"/>
  <c r="AD41" i="20"/>
  <c r="AD42" i="20"/>
  <c r="AD43" i="20"/>
  <c r="AD44" i="20"/>
  <c r="AD45" i="20"/>
  <c r="AD46" i="20"/>
  <c r="AD47" i="20"/>
  <c r="AD48" i="20"/>
  <c r="AD49" i="20"/>
  <c r="AD50" i="20"/>
  <c r="AD51" i="20"/>
  <c r="AD52" i="20"/>
  <c r="AD53" i="20"/>
  <c r="AD54" i="20"/>
  <c r="AD55" i="20"/>
  <c r="AD56" i="20"/>
  <c r="AD57" i="20"/>
  <c r="AD58" i="20"/>
  <c r="AD59" i="20"/>
  <c r="AD60" i="20"/>
  <c r="AD61" i="20"/>
  <c r="AD62" i="20"/>
  <c r="AD63" i="20"/>
  <c r="AD64" i="20"/>
  <c r="AD65" i="20"/>
  <c r="AD66" i="20"/>
  <c r="AD67" i="20"/>
  <c r="AD68" i="20"/>
  <c r="AD69" i="20"/>
  <c r="AD70" i="20"/>
  <c r="AD71" i="20"/>
  <c r="AD72" i="20"/>
  <c r="AD73" i="20"/>
  <c r="AD74" i="20"/>
  <c r="AD75" i="20"/>
  <c r="AD76" i="20"/>
  <c r="AD77" i="20"/>
  <c r="AD78" i="20"/>
  <c r="AD79" i="20"/>
  <c r="AD80" i="20"/>
  <c r="AD81" i="20"/>
  <c r="AD82" i="20"/>
  <c r="AD83" i="20"/>
  <c r="AD84" i="20"/>
  <c r="AD85" i="20"/>
  <c r="AD86" i="20"/>
  <c r="AD87" i="20"/>
  <c r="AD88" i="20"/>
  <c r="AD89" i="20"/>
  <c r="AD90" i="20"/>
  <c r="AD91" i="20"/>
  <c r="AD92" i="20"/>
  <c r="AD93" i="20"/>
  <c r="AD94" i="20"/>
  <c r="AD95" i="20"/>
  <c r="AD96" i="20"/>
  <c r="AD97" i="20"/>
  <c r="AD98" i="20"/>
  <c r="AD99" i="20"/>
  <c r="AD100" i="20"/>
  <c r="AD101" i="20"/>
  <c r="AD102" i="20"/>
  <c r="AD103" i="20"/>
  <c r="AD104" i="20"/>
  <c r="AD105" i="20"/>
  <c r="AD106" i="20"/>
  <c r="AD107" i="20"/>
  <c r="AD108" i="20"/>
  <c r="AD109" i="20"/>
  <c r="AD110" i="20"/>
  <c r="AD111" i="20"/>
  <c r="AD112" i="20"/>
  <c r="AD113" i="20"/>
  <c r="AD114" i="20"/>
  <c r="AD115" i="20"/>
  <c r="AD116" i="20"/>
  <c r="AD117" i="20"/>
  <c r="AD118" i="20"/>
  <c r="AD119" i="20"/>
  <c r="AD120" i="20"/>
  <c r="AD121" i="20"/>
  <c r="AD122" i="20"/>
  <c r="AD123" i="20"/>
  <c r="AD124" i="20"/>
  <c r="AD125" i="20"/>
  <c r="AD126" i="20"/>
  <c r="AD127" i="20"/>
  <c r="AD128" i="20"/>
  <c r="AD129" i="20"/>
  <c r="AD130" i="20"/>
  <c r="AD131" i="20"/>
  <c r="AD132" i="20"/>
  <c r="AD133" i="20"/>
  <c r="AD134" i="20"/>
  <c r="AD135" i="20"/>
  <c r="AD136" i="20"/>
  <c r="AD137" i="20"/>
  <c r="AD138" i="20"/>
  <c r="AD139" i="20"/>
  <c r="AD140" i="20"/>
  <c r="AD141" i="20"/>
  <c r="AD142" i="20"/>
  <c r="AD143" i="20"/>
  <c r="AD144" i="20"/>
  <c r="AD145" i="20"/>
  <c r="AD146" i="20"/>
  <c r="AD147" i="20"/>
  <c r="AD148" i="20"/>
  <c r="AD149" i="20"/>
  <c r="AD150" i="20"/>
  <c r="AD151" i="20"/>
  <c r="AD152" i="20"/>
  <c r="AD153" i="20"/>
  <c r="AD154" i="20"/>
  <c r="AD155" i="20"/>
  <c r="AD156" i="20"/>
  <c r="AD157" i="20"/>
  <c r="AD158" i="20"/>
  <c r="AD159" i="20"/>
  <c r="AD160" i="20"/>
  <c r="AD161" i="20"/>
  <c r="AD162" i="20"/>
  <c r="AD163" i="20"/>
  <c r="AD164" i="20"/>
  <c r="AD165" i="20"/>
  <c r="AD166" i="20"/>
  <c r="AD167" i="20"/>
  <c r="AD168" i="20"/>
  <c r="AD169" i="20"/>
  <c r="AD170" i="20"/>
  <c r="AD171" i="20"/>
  <c r="AD172" i="20"/>
  <c r="AD173" i="20"/>
  <c r="AD174" i="20"/>
  <c r="AD175" i="20"/>
  <c r="AD176" i="20"/>
  <c r="AD177" i="20"/>
  <c r="AD178" i="20"/>
  <c r="AD179" i="20"/>
  <c r="AD180" i="20"/>
  <c r="AD181" i="20"/>
  <c r="AD182" i="20"/>
  <c r="AD183" i="20"/>
  <c r="AD184" i="20"/>
  <c r="AD185" i="20"/>
  <c r="AD186" i="20"/>
  <c r="AD187" i="20"/>
  <c r="AD188" i="20"/>
  <c r="AD189" i="20"/>
  <c r="AD190" i="20"/>
  <c r="AD191" i="20"/>
  <c r="AD192" i="20"/>
  <c r="AD193" i="20"/>
  <c r="AD194" i="20"/>
  <c r="AD195" i="20"/>
  <c r="AD196" i="20"/>
  <c r="AD197" i="20"/>
  <c r="AD198" i="20"/>
  <c r="AD199" i="20"/>
  <c r="AD200" i="20"/>
  <c r="AD201" i="20"/>
  <c r="AD202" i="20"/>
  <c r="AC39" i="20"/>
  <c r="AC40" i="20"/>
  <c r="AC41" i="20"/>
  <c r="AC42" i="20"/>
  <c r="AC43" i="20"/>
  <c r="AC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58" i="20"/>
  <c r="AC59" i="20"/>
  <c r="AC60" i="20"/>
  <c r="AC61" i="20"/>
  <c r="AC62" i="20"/>
  <c r="AC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AC77" i="20"/>
  <c r="AC78" i="20"/>
  <c r="AC79" i="20"/>
  <c r="AC80" i="20"/>
  <c r="AC81" i="20"/>
  <c r="AC82" i="20"/>
  <c r="AC83" i="20"/>
  <c r="AC84" i="20"/>
  <c r="AC85" i="20"/>
  <c r="AC86" i="20"/>
  <c r="AC87" i="20"/>
  <c r="AC88" i="20"/>
  <c r="AC89" i="20"/>
  <c r="AC90" i="20"/>
  <c r="AC91" i="20"/>
  <c r="AC92" i="20"/>
  <c r="AC93" i="20"/>
  <c r="AC94" i="20"/>
  <c r="AC95" i="20"/>
  <c r="AC96" i="20"/>
  <c r="AC97" i="20"/>
  <c r="AC98" i="20"/>
  <c r="AC99" i="20"/>
  <c r="AC100" i="20"/>
  <c r="AC101" i="20"/>
  <c r="AC102" i="20"/>
  <c r="AC103" i="20"/>
  <c r="AC104" i="20"/>
  <c r="AC105" i="20"/>
  <c r="AC106" i="20"/>
  <c r="AC107" i="20"/>
  <c r="AC108" i="20"/>
  <c r="AC109" i="20"/>
  <c r="AC110" i="20"/>
  <c r="AC111" i="20"/>
  <c r="AC112" i="20"/>
  <c r="AC113" i="20"/>
  <c r="AC114" i="20"/>
  <c r="AC115" i="20"/>
  <c r="AC116" i="20"/>
  <c r="AC117" i="20"/>
  <c r="AC118" i="20"/>
  <c r="AC119" i="20"/>
  <c r="AC120" i="20"/>
  <c r="AC121" i="20"/>
  <c r="AC122" i="20"/>
  <c r="AC123" i="20"/>
  <c r="AC124" i="20"/>
  <c r="AC125" i="20"/>
  <c r="AC126" i="20"/>
  <c r="AC127" i="20"/>
  <c r="AC128" i="20"/>
  <c r="AC129" i="20"/>
  <c r="AC130" i="20"/>
  <c r="AC131" i="20"/>
  <c r="AC132" i="20"/>
  <c r="AC133" i="20"/>
  <c r="AC134" i="20"/>
  <c r="AC135" i="20"/>
  <c r="AC136" i="20"/>
  <c r="AC137" i="20"/>
  <c r="AC138" i="20"/>
  <c r="AC139" i="20"/>
  <c r="AC140" i="20"/>
  <c r="AC141" i="20"/>
  <c r="AC142" i="20"/>
  <c r="AC143" i="20"/>
  <c r="AC144" i="20"/>
  <c r="AC145" i="20"/>
  <c r="AC146" i="20"/>
  <c r="AC147" i="20"/>
  <c r="AC148" i="20"/>
  <c r="AC149" i="20"/>
  <c r="AC150" i="20"/>
  <c r="AC151" i="20"/>
  <c r="AC152" i="20"/>
  <c r="AC153" i="20"/>
  <c r="AC154" i="20"/>
  <c r="AC155" i="20"/>
  <c r="AC156" i="20"/>
  <c r="AC157" i="20"/>
  <c r="AC158" i="20"/>
  <c r="AC159" i="20"/>
  <c r="AC160" i="20"/>
  <c r="AC161" i="20"/>
  <c r="AC162" i="20"/>
  <c r="AC163" i="20"/>
  <c r="AC164" i="20"/>
  <c r="AC165" i="20"/>
  <c r="AC166" i="20"/>
  <c r="AC167" i="20"/>
  <c r="AC168" i="20"/>
  <c r="AC169" i="20"/>
  <c r="AC170" i="20"/>
  <c r="AC171" i="20"/>
  <c r="AC172" i="20"/>
  <c r="AC173" i="20"/>
  <c r="AC174" i="20"/>
  <c r="AC175" i="20"/>
  <c r="AC176" i="20"/>
  <c r="AC177" i="20"/>
  <c r="AC178" i="20"/>
  <c r="AC179" i="20"/>
  <c r="AC180" i="20"/>
  <c r="AC181" i="20"/>
  <c r="AC182" i="20"/>
  <c r="AC183" i="20"/>
  <c r="AC184" i="20"/>
  <c r="AC185" i="20"/>
  <c r="AC186" i="20"/>
  <c r="AC187" i="20"/>
  <c r="AC188" i="20"/>
  <c r="AC189" i="20"/>
  <c r="AC190" i="20"/>
  <c r="AC191" i="20"/>
  <c r="AC192" i="20"/>
  <c r="AC193" i="20"/>
  <c r="AC194" i="20"/>
  <c r="AC195" i="20"/>
  <c r="AC196" i="20"/>
  <c r="AC197" i="20"/>
  <c r="AC198" i="20"/>
  <c r="AC199" i="20"/>
  <c r="AC200" i="20"/>
  <c r="AC201" i="20"/>
  <c r="AC202" i="20"/>
  <c r="AB39" i="20"/>
  <c r="AB40" i="20"/>
  <c r="AB41" i="20"/>
  <c r="AB42" i="20"/>
  <c r="AB43" i="20"/>
  <c r="AB44" i="20"/>
  <c r="AB45" i="20"/>
  <c r="AB46" i="20"/>
  <c r="AB47" i="20"/>
  <c r="AB48" i="20"/>
  <c r="AB49" i="20"/>
  <c r="AB50" i="20"/>
  <c r="AB51" i="20"/>
  <c r="AB52" i="20"/>
  <c r="AB53" i="20"/>
  <c r="AB54" i="20"/>
  <c r="AB55" i="20"/>
  <c r="AB56" i="20"/>
  <c r="AB57" i="20"/>
  <c r="AB58" i="20"/>
  <c r="AB59" i="20"/>
  <c r="AB60" i="20"/>
  <c r="AB61" i="20"/>
  <c r="AB62" i="20"/>
  <c r="AB63" i="20"/>
  <c r="AB64" i="20"/>
  <c r="AB65" i="20"/>
  <c r="AB66" i="20"/>
  <c r="AB67" i="20"/>
  <c r="AB68" i="20"/>
  <c r="AB69" i="20"/>
  <c r="AB70" i="20"/>
  <c r="AB71" i="20"/>
  <c r="AB72" i="20"/>
  <c r="AB73" i="20"/>
  <c r="AB74" i="20"/>
  <c r="AB75" i="20"/>
  <c r="AB76" i="20"/>
  <c r="AB77" i="20"/>
  <c r="AB78" i="20"/>
  <c r="AB79" i="20"/>
  <c r="AB80" i="20"/>
  <c r="AB81" i="20"/>
  <c r="AB82" i="20"/>
  <c r="AB83" i="20"/>
  <c r="AB84" i="20"/>
  <c r="AB85" i="20"/>
  <c r="AB86" i="20"/>
  <c r="AB87" i="20"/>
  <c r="AB88" i="20"/>
  <c r="AB89" i="20"/>
  <c r="AB90" i="20"/>
  <c r="AB91" i="20"/>
  <c r="AB92" i="20"/>
  <c r="AB93" i="20"/>
  <c r="AB94" i="20"/>
  <c r="AB95" i="20"/>
  <c r="AB96" i="20"/>
  <c r="AB97" i="20"/>
  <c r="AB98" i="20"/>
  <c r="AB99" i="20"/>
  <c r="AB100" i="20"/>
  <c r="AB101" i="20"/>
  <c r="AB102" i="20"/>
  <c r="AB103" i="20"/>
  <c r="AB104" i="20"/>
  <c r="AB105" i="20"/>
  <c r="AB106" i="20"/>
  <c r="AB107" i="20"/>
  <c r="AB108" i="20"/>
  <c r="AB109" i="20"/>
  <c r="AB110" i="20"/>
  <c r="AB111" i="20"/>
  <c r="AB112" i="20"/>
  <c r="AB113" i="20"/>
  <c r="AB114" i="20"/>
  <c r="AB115" i="20"/>
  <c r="AB116" i="20"/>
  <c r="AB117" i="20"/>
  <c r="AB118" i="20"/>
  <c r="AB119" i="20"/>
  <c r="AB120" i="20"/>
  <c r="AB121" i="20"/>
  <c r="AB122" i="20"/>
  <c r="AB123" i="20"/>
  <c r="AB124" i="20"/>
  <c r="AB125" i="20"/>
  <c r="AB126" i="20"/>
  <c r="AB127" i="20"/>
  <c r="AB128" i="20"/>
  <c r="AB129" i="20"/>
  <c r="AB130" i="20"/>
  <c r="AB131" i="20"/>
  <c r="AB132" i="20"/>
  <c r="AB133" i="20"/>
  <c r="AB134" i="20"/>
  <c r="AB135" i="20"/>
  <c r="AB136" i="20"/>
  <c r="AB137" i="20"/>
  <c r="AB138" i="20"/>
  <c r="AB139" i="20"/>
  <c r="AB140" i="20"/>
  <c r="AB141" i="20"/>
  <c r="AB142" i="20"/>
  <c r="AB143" i="20"/>
  <c r="AB144" i="20"/>
  <c r="AB145" i="20"/>
  <c r="AB146" i="20"/>
  <c r="AB147" i="20"/>
  <c r="AB148" i="20"/>
  <c r="AB149" i="20"/>
  <c r="AB150" i="20"/>
  <c r="AB151" i="20"/>
  <c r="AB152" i="20"/>
  <c r="AB153" i="20"/>
  <c r="AB154" i="20"/>
  <c r="AB155" i="20"/>
  <c r="AB156" i="20"/>
  <c r="AB157" i="20"/>
  <c r="AB158" i="20"/>
  <c r="AB159" i="20"/>
  <c r="AB160" i="20"/>
  <c r="AB161" i="20"/>
  <c r="AB162" i="20"/>
  <c r="AB163" i="20"/>
  <c r="AB164" i="20"/>
  <c r="AB165" i="20"/>
  <c r="AB166" i="20"/>
  <c r="AB167" i="20"/>
  <c r="AB168" i="20"/>
  <c r="AB169" i="20"/>
  <c r="AB170" i="20"/>
  <c r="AB171" i="20"/>
  <c r="AB172" i="20"/>
  <c r="AB173" i="20"/>
  <c r="AB174" i="20"/>
  <c r="AB175" i="20"/>
  <c r="AB176" i="20"/>
  <c r="AB177" i="20"/>
  <c r="AB178" i="20"/>
  <c r="AB179" i="20"/>
  <c r="AB180" i="20"/>
  <c r="AB181" i="20"/>
  <c r="AB182" i="20"/>
  <c r="AB183" i="20"/>
  <c r="AB184" i="20"/>
  <c r="AB185" i="20"/>
  <c r="AB186" i="20"/>
  <c r="AB187" i="20"/>
  <c r="AB188" i="20"/>
  <c r="AB189" i="20"/>
  <c r="AB190" i="20"/>
  <c r="AB191" i="20"/>
  <c r="AB192" i="20"/>
  <c r="AB193" i="20"/>
  <c r="AB194" i="20"/>
  <c r="AB195" i="20"/>
  <c r="AB196" i="20"/>
  <c r="AB197" i="20"/>
  <c r="AB198" i="20"/>
  <c r="AB199" i="20"/>
  <c r="AB200" i="20"/>
  <c r="AB201" i="20"/>
  <c r="AB202" i="20"/>
  <c r="AA39" i="20"/>
  <c r="AA40" i="20"/>
  <c r="AA41" i="20"/>
  <c r="AA42" i="20"/>
  <c r="AA43" i="20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A64" i="20"/>
  <c r="AA65" i="20"/>
  <c r="AA66" i="20"/>
  <c r="AA67" i="20"/>
  <c r="AA68" i="20"/>
  <c r="AA69" i="20"/>
  <c r="AA70" i="20"/>
  <c r="AA71" i="20"/>
  <c r="AA72" i="20"/>
  <c r="AA73" i="20"/>
  <c r="AA74" i="20"/>
  <c r="AA75" i="20"/>
  <c r="AA76" i="20"/>
  <c r="AA77" i="20"/>
  <c r="AA78" i="20"/>
  <c r="AA79" i="20"/>
  <c r="AA80" i="20"/>
  <c r="AA81" i="20"/>
  <c r="AA82" i="20"/>
  <c r="AA83" i="20"/>
  <c r="AA84" i="20"/>
  <c r="AA85" i="20"/>
  <c r="AA86" i="20"/>
  <c r="AA87" i="20"/>
  <c r="AA88" i="20"/>
  <c r="AA89" i="20"/>
  <c r="AA90" i="20"/>
  <c r="AA91" i="20"/>
  <c r="AA92" i="20"/>
  <c r="AA93" i="20"/>
  <c r="AA94" i="20"/>
  <c r="AA95" i="20"/>
  <c r="AA96" i="20"/>
  <c r="AA97" i="20"/>
  <c r="AA98" i="20"/>
  <c r="AA99" i="20"/>
  <c r="AA100" i="20"/>
  <c r="AA101" i="20"/>
  <c r="AA102" i="20"/>
  <c r="AA103" i="20"/>
  <c r="AA104" i="20"/>
  <c r="AA105" i="20"/>
  <c r="AA106" i="20"/>
  <c r="AA107" i="20"/>
  <c r="AA108" i="20"/>
  <c r="AA109" i="20"/>
  <c r="AA110" i="20"/>
  <c r="AA111" i="20"/>
  <c r="AA112" i="20"/>
  <c r="AA113" i="20"/>
  <c r="AA114" i="20"/>
  <c r="AA115" i="20"/>
  <c r="AA116" i="20"/>
  <c r="AA117" i="20"/>
  <c r="AA118" i="20"/>
  <c r="AA119" i="20"/>
  <c r="AA120" i="20"/>
  <c r="AA121" i="20"/>
  <c r="AA122" i="20"/>
  <c r="AA123" i="20"/>
  <c r="AA124" i="20"/>
  <c r="AA125" i="20"/>
  <c r="AA126" i="20"/>
  <c r="AA127" i="20"/>
  <c r="AA128" i="20"/>
  <c r="AA129" i="20"/>
  <c r="AA130" i="20"/>
  <c r="AA131" i="20"/>
  <c r="AA132" i="20"/>
  <c r="AA133" i="20"/>
  <c r="AA134" i="20"/>
  <c r="AA135" i="20"/>
  <c r="AA136" i="20"/>
  <c r="AA137" i="20"/>
  <c r="AA138" i="20"/>
  <c r="AA139" i="20"/>
  <c r="AA140" i="20"/>
  <c r="AA141" i="20"/>
  <c r="AA142" i="20"/>
  <c r="AA143" i="20"/>
  <c r="AA144" i="20"/>
  <c r="AA145" i="20"/>
  <c r="AA146" i="20"/>
  <c r="AA147" i="20"/>
  <c r="AA148" i="20"/>
  <c r="AA149" i="20"/>
  <c r="AA150" i="20"/>
  <c r="AA151" i="20"/>
  <c r="AA152" i="20"/>
  <c r="AA153" i="20"/>
  <c r="AA154" i="20"/>
  <c r="AA155" i="20"/>
  <c r="AA156" i="20"/>
  <c r="AA157" i="20"/>
  <c r="AA158" i="20"/>
  <c r="AA159" i="20"/>
  <c r="AA160" i="20"/>
  <c r="AA161" i="20"/>
  <c r="AA162" i="20"/>
  <c r="AA163" i="20"/>
  <c r="AA164" i="20"/>
  <c r="AA165" i="20"/>
  <c r="AA166" i="20"/>
  <c r="AA167" i="20"/>
  <c r="AA168" i="20"/>
  <c r="AA169" i="20"/>
  <c r="AA170" i="20"/>
  <c r="AA171" i="20"/>
  <c r="AA172" i="20"/>
  <c r="AA173" i="20"/>
  <c r="AA174" i="20"/>
  <c r="AA175" i="20"/>
  <c r="AA176" i="20"/>
  <c r="AA177" i="20"/>
  <c r="AA178" i="20"/>
  <c r="AA179" i="20"/>
  <c r="AA180" i="20"/>
  <c r="AA181" i="20"/>
  <c r="AA182" i="20"/>
  <c r="AA183" i="20"/>
  <c r="AA184" i="20"/>
  <c r="AA185" i="20"/>
  <c r="AA186" i="20"/>
  <c r="AA187" i="20"/>
  <c r="AA188" i="20"/>
  <c r="AA189" i="20"/>
  <c r="AA190" i="20"/>
  <c r="AA191" i="20"/>
  <c r="AA192" i="20"/>
  <c r="AA193" i="20"/>
  <c r="AA194" i="20"/>
  <c r="AA195" i="20"/>
  <c r="AA196" i="20"/>
  <c r="AA197" i="20"/>
  <c r="AA198" i="20"/>
  <c r="AA199" i="20"/>
  <c r="AA200" i="20"/>
  <c r="AA201" i="20"/>
  <c r="AA202" i="20"/>
  <c r="Z39" i="20"/>
  <c r="Z40" i="20"/>
  <c r="Z41" i="20"/>
  <c r="Z42" i="20"/>
  <c r="Z43" i="20"/>
  <c r="Z44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57" i="20"/>
  <c r="Z58" i="20"/>
  <c r="Z59" i="20"/>
  <c r="Z60" i="20"/>
  <c r="Z61" i="20"/>
  <c r="Z62" i="20"/>
  <c r="Z63" i="20"/>
  <c r="Z64" i="20"/>
  <c r="Z65" i="20"/>
  <c r="Z66" i="20"/>
  <c r="Z67" i="20"/>
  <c r="Z68" i="20"/>
  <c r="Z69" i="20"/>
  <c r="Z70" i="20"/>
  <c r="Z71" i="20"/>
  <c r="Z72" i="20"/>
  <c r="Z73" i="20"/>
  <c r="Z74" i="20"/>
  <c r="Z75" i="20"/>
  <c r="Z76" i="20"/>
  <c r="Z77" i="20"/>
  <c r="Z78" i="20"/>
  <c r="Z79" i="20"/>
  <c r="Z80" i="20"/>
  <c r="Z81" i="20"/>
  <c r="Z82" i="20"/>
  <c r="Z83" i="20"/>
  <c r="Z84" i="20"/>
  <c r="Z85" i="20"/>
  <c r="Z86" i="20"/>
  <c r="Z87" i="20"/>
  <c r="Z88" i="20"/>
  <c r="Z89" i="20"/>
  <c r="Z90" i="20"/>
  <c r="Z91" i="20"/>
  <c r="Z92" i="20"/>
  <c r="Z93" i="20"/>
  <c r="Z94" i="20"/>
  <c r="Z95" i="20"/>
  <c r="Z96" i="20"/>
  <c r="Z97" i="20"/>
  <c r="Z98" i="20"/>
  <c r="Z99" i="20"/>
  <c r="Z100" i="20"/>
  <c r="Z101" i="20"/>
  <c r="Z102" i="20"/>
  <c r="Z103" i="20"/>
  <c r="Z104" i="20"/>
  <c r="Z105" i="20"/>
  <c r="Z106" i="20"/>
  <c r="Z107" i="20"/>
  <c r="Z108" i="20"/>
  <c r="Z109" i="20"/>
  <c r="Z110" i="20"/>
  <c r="Z111" i="20"/>
  <c r="Z112" i="20"/>
  <c r="Z113" i="20"/>
  <c r="Z114" i="20"/>
  <c r="Z115" i="20"/>
  <c r="Z116" i="20"/>
  <c r="Z117" i="20"/>
  <c r="Z118" i="20"/>
  <c r="Z119" i="20"/>
  <c r="Z120" i="20"/>
  <c r="Z121" i="20"/>
  <c r="Z122" i="20"/>
  <c r="Z123" i="20"/>
  <c r="Z124" i="20"/>
  <c r="Z125" i="20"/>
  <c r="Z126" i="20"/>
  <c r="Z127" i="20"/>
  <c r="Z128" i="20"/>
  <c r="Z129" i="20"/>
  <c r="Z130" i="20"/>
  <c r="Z131" i="20"/>
  <c r="Z132" i="20"/>
  <c r="Z133" i="20"/>
  <c r="Z134" i="20"/>
  <c r="Z135" i="20"/>
  <c r="Z136" i="20"/>
  <c r="Z137" i="20"/>
  <c r="Z138" i="20"/>
  <c r="Z139" i="20"/>
  <c r="Z140" i="20"/>
  <c r="Z141" i="20"/>
  <c r="Z142" i="20"/>
  <c r="Z143" i="20"/>
  <c r="Z144" i="20"/>
  <c r="Z145" i="20"/>
  <c r="Z146" i="20"/>
  <c r="Z147" i="20"/>
  <c r="Z148" i="20"/>
  <c r="Z149" i="20"/>
  <c r="Z150" i="20"/>
  <c r="Z151" i="20"/>
  <c r="Z152" i="20"/>
  <c r="Z153" i="20"/>
  <c r="Z154" i="20"/>
  <c r="Z155" i="20"/>
  <c r="Z156" i="20"/>
  <c r="Z157" i="20"/>
  <c r="Z158" i="20"/>
  <c r="Z159" i="20"/>
  <c r="Z160" i="20"/>
  <c r="Z161" i="20"/>
  <c r="Z162" i="20"/>
  <c r="Z163" i="20"/>
  <c r="Z164" i="20"/>
  <c r="Z165" i="20"/>
  <c r="Z166" i="20"/>
  <c r="Z167" i="20"/>
  <c r="Z168" i="20"/>
  <c r="Z169" i="20"/>
  <c r="Z170" i="20"/>
  <c r="Z171" i="20"/>
  <c r="Z172" i="20"/>
  <c r="Z173" i="20"/>
  <c r="Z174" i="20"/>
  <c r="Z175" i="20"/>
  <c r="Z176" i="20"/>
  <c r="Z177" i="20"/>
  <c r="Z178" i="20"/>
  <c r="Z179" i="20"/>
  <c r="Z180" i="20"/>
  <c r="Z181" i="20"/>
  <c r="Z182" i="20"/>
  <c r="Z183" i="20"/>
  <c r="Z184" i="20"/>
  <c r="Z185" i="20"/>
  <c r="Z186" i="20"/>
  <c r="Z187" i="20"/>
  <c r="Z188" i="20"/>
  <c r="Z189" i="20"/>
  <c r="Z190" i="20"/>
  <c r="Z191" i="20"/>
  <c r="Z192" i="20"/>
  <c r="Z193" i="20"/>
  <c r="Z194" i="20"/>
  <c r="Z195" i="20"/>
  <c r="Z196" i="20"/>
  <c r="Z197" i="20"/>
  <c r="Z198" i="20"/>
  <c r="Z199" i="20"/>
  <c r="Z200" i="20"/>
  <c r="Z201" i="20"/>
  <c r="Z202" i="20"/>
  <c r="Y39" i="20"/>
  <c r="Y40" i="20"/>
  <c r="Y41" i="20"/>
  <c r="Y42" i="20"/>
  <c r="Y43" i="20"/>
  <c r="Y44" i="20"/>
  <c r="Y45" i="20"/>
  <c r="Y46" i="20"/>
  <c r="Y47" i="20"/>
  <c r="Y48" i="20"/>
  <c r="Y49" i="20"/>
  <c r="Y50" i="20"/>
  <c r="Y51" i="20"/>
  <c r="Y52" i="20"/>
  <c r="Y53" i="20"/>
  <c r="Y54" i="20"/>
  <c r="Y55" i="20"/>
  <c r="Y56" i="20"/>
  <c r="Y57" i="20"/>
  <c r="Y58" i="20"/>
  <c r="Y59" i="20"/>
  <c r="Y60" i="20"/>
  <c r="Y61" i="20"/>
  <c r="Y62" i="20"/>
  <c r="Y63" i="20"/>
  <c r="Y64" i="20"/>
  <c r="Y65" i="20"/>
  <c r="Y66" i="20"/>
  <c r="Y67" i="20"/>
  <c r="Y68" i="20"/>
  <c r="Y69" i="20"/>
  <c r="Y70" i="20"/>
  <c r="Y71" i="20"/>
  <c r="Y72" i="20"/>
  <c r="Y73" i="20"/>
  <c r="Y74" i="20"/>
  <c r="Y75" i="20"/>
  <c r="Y76" i="20"/>
  <c r="Y77" i="20"/>
  <c r="Y78" i="20"/>
  <c r="Y79" i="20"/>
  <c r="Y80" i="20"/>
  <c r="Y81" i="20"/>
  <c r="Y82" i="20"/>
  <c r="Y83" i="20"/>
  <c r="Y84" i="20"/>
  <c r="Y85" i="20"/>
  <c r="Y86" i="20"/>
  <c r="Y87" i="20"/>
  <c r="Y88" i="20"/>
  <c r="Y89" i="20"/>
  <c r="Y90" i="20"/>
  <c r="Y91" i="20"/>
  <c r="Y92" i="20"/>
  <c r="Y93" i="20"/>
  <c r="Y94" i="20"/>
  <c r="Y95" i="20"/>
  <c r="Y96" i="20"/>
  <c r="Y97" i="20"/>
  <c r="Y98" i="20"/>
  <c r="Y99" i="20"/>
  <c r="Y100" i="20"/>
  <c r="Y101" i="20"/>
  <c r="Y102" i="20"/>
  <c r="Y103" i="20"/>
  <c r="Y104" i="20"/>
  <c r="Y105" i="20"/>
  <c r="Y106" i="20"/>
  <c r="Y107" i="20"/>
  <c r="Y108" i="20"/>
  <c r="Y109" i="20"/>
  <c r="Y110" i="20"/>
  <c r="Y111" i="20"/>
  <c r="Y112" i="20"/>
  <c r="Y113" i="20"/>
  <c r="Y114" i="20"/>
  <c r="Y115" i="20"/>
  <c r="Y116" i="20"/>
  <c r="Y117" i="20"/>
  <c r="Y118" i="20"/>
  <c r="Y119" i="20"/>
  <c r="Y120" i="20"/>
  <c r="Y121" i="20"/>
  <c r="Y122" i="20"/>
  <c r="Y123" i="20"/>
  <c r="Y124" i="20"/>
  <c r="Y125" i="20"/>
  <c r="Y126" i="20"/>
  <c r="Y127" i="20"/>
  <c r="Y128" i="20"/>
  <c r="Y129" i="20"/>
  <c r="Y130" i="20"/>
  <c r="Y131" i="20"/>
  <c r="Y132" i="20"/>
  <c r="Y133" i="20"/>
  <c r="Y134" i="20"/>
  <c r="Y135" i="20"/>
  <c r="Y136" i="20"/>
  <c r="Y137" i="20"/>
  <c r="Y138" i="20"/>
  <c r="Y139" i="20"/>
  <c r="Y140" i="20"/>
  <c r="Y141" i="20"/>
  <c r="Y142" i="20"/>
  <c r="Y143" i="20"/>
  <c r="Y144" i="20"/>
  <c r="Y145" i="20"/>
  <c r="Y146" i="20"/>
  <c r="Y147" i="20"/>
  <c r="Y148" i="20"/>
  <c r="Y149" i="20"/>
  <c r="Y150" i="20"/>
  <c r="Y151" i="20"/>
  <c r="Y152" i="20"/>
  <c r="Y153" i="20"/>
  <c r="Y154" i="20"/>
  <c r="Y155" i="20"/>
  <c r="Y156" i="20"/>
  <c r="Y157" i="20"/>
  <c r="Y158" i="20"/>
  <c r="Y159" i="20"/>
  <c r="Y160" i="20"/>
  <c r="Y161" i="20"/>
  <c r="Y162" i="20"/>
  <c r="Y163" i="20"/>
  <c r="Y164" i="20"/>
  <c r="Y165" i="20"/>
  <c r="Y166" i="20"/>
  <c r="Y167" i="20"/>
  <c r="Y168" i="20"/>
  <c r="Y169" i="20"/>
  <c r="Y170" i="20"/>
  <c r="Y171" i="20"/>
  <c r="Y172" i="20"/>
  <c r="Y173" i="20"/>
  <c r="Y174" i="20"/>
  <c r="Y175" i="20"/>
  <c r="Y176" i="20"/>
  <c r="Y177" i="20"/>
  <c r="Y178" i="20"/>
  <c r="Y179" i="20"/>
  <c r="Y180" i="20"/>
  <c r="Y181" i="20"/>
  <c r="Y182" i="20"/>
  <c r="Y183" i="20"/>
  <c r="Y184" i="20"/>
  <c r="Y185" i="20"/>
  <c r="Y186" i="20"/>
  <c r="Y187" i="20"/>
  <c r="Y188" i="20"/>
  <c r="Y189" i="20"/>
  <c r="Y190" i="20"/>
  <c r="Y191" i="20"/>
  <c r="Y192" i="20"/>
  <c r="Y193" i="20"/>
  <c r="Y194" i="20"/>
  <c r="Y195" i="20"/>
  <c r="Y196" i="20"/>
  <c r="Y197" i="20"/>
  <c r="Y198" i="20"/>
  <c r="Y199" i="20"/>
  <c r="Y200" i="20"/>
  <c r="Y201" i="20"/>
  <c r="Y202" i="20"/>
  <c r="X39" i="20"/>
  <c r="X40" i="20"/>
  <c r="X41" i="20"/>
  <c r="X42" i="20"/>
  <c r="X43" i="20"/>
  <c r="X44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X59" i="20"/>
  <c r="X60" i="20"/>
  <c r="X61" i="20"/>
  <c r="X62" i="20"/>
  <c r="X63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X78" i="20"/>
  <c r="X79" i="20"/>
  <c r="X80" i="20"/>
  <c r="X81" i="20"/>
  <c r="X82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X97" i="20"/>
  <c r="X98" i="20"/>
  <c r="X99" i="20"/>
  <c r="X100" i="20"/>
  <c r="X101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X116" i="20"/>
  <c r="X117" i="20"/>
  <c r="X118" i="20"/>
  <c r="X119" i="20"/>
  <c r="X120" i="20"/>
  <c r="X121" i="20"/>
  <c r="X122" i="20"/>
  <c r="X123" i="20"/>
  <c r="X124" i="20"/>
  <c r="X125" i="20"/>
  <c r="X126" i="20"/>
  <c r="X127" i="20"/>
  <c r="X128" i="20"/>
  <c r="X129" i="20"/>
  <c r="X130" i="20"/>
  <c r="X131" i="20"/>
  <c r="X132" i="20"/>
  <c r="X133" i="20"/>
  <c r="X134" i="20"/>
  <c r="X135" i="20"/>
  <c r="X136" i="20"/>
  <c r="X137" i="20"/>
  <c r="X138" i="20"/>
  <c r="X139" i="20"/>
  <c r="X140" i="20"/>
  <c r="X141" i="20"/>
  <c r="X142" i="20"/>
  <c r="X143" i="20"/>
  <c r="X144" i="20"/>
  <c r="X145" i="20"/>
  <c r="X146" i="20"/>
  <c r="X147" i="20"/>
  <c r="X148" i="20"/>
  <c r="X149" i="20"/>
  <c r="X150" i="20"/>
  <c r="X151" i="20"/>
  <c r="X152" i="20"/>
  <c r="X153" i="20"/>
  <c r="X154" i="20"/>
  <c r="X155" i="20"/>
  <c r="X156" i="20"/>
  <c r="X157" i="20"/>
  <c r="X158" i="20"/>
  <c r="X159" i="20"/>
  <c r="X160" i="20"/>
  <c r="X161" i="20"/>
  <c r="X162" i="20"/>
  <c r="X163" i="20"/>
  <c r="X164" i="20"/>
  <c r="X165" i="20"/>
  <c r="X166" i="20"/>
  <c r="X167" i="20"/>
  <c r="X168" i="20"/>
  <c r="X169" i="20"/>
  <c r="X170" i="20"/>
  <c r="X171" i="20"/>
  <c r="X172" i="20"/>
  <c r="X173" i="20"/>
  <c r="X174" i="20"/>
  <c r="X175" i="20"/>
  <c r="X176" i="20"/>
  <c r="X177" i="20"/>
  <c r="X178" i="20"/>
  <c r="X179" i="20"/>
  <c r="X180" i="20"/>
  <c r="X181" i="20"/>
  <c r="X182" i="20"/>
  <c r="X183" i="20"/>
  <c r="X184" i="20"/>
  <c r="X185" i="20"/>
  <c r="X186" i="20"/>
  <c r="X187" i="20"/>
  <c r="X188" i="20"/>
  <c r="X189" i="20"/>
  <c r="X190" i="20"/>
  <c r="X191" i="20"/>
  <c r="X192" i="20"/>
  <c r="X193" i="20"/>
  <c r="X194" i="20"/>
  <c r="X195" i="20"/>
  <c r="X196" i="20"/>
  <c r="X197" i="20"/>
  <c r="X198" i="20"/>
  <c r="X199" i="20"/>
  <c r="X200" i="20"/>
  <c r="X201" i="20"/>
  <c r="X202" i="20"/>
  <c r="AF3" i="20"/>
  <c r="AF4" i="20"/>
  <c r="AF5" i="20"/>
  <c r="AF6" i="20"/>
  <c r="AF7" i="20"/>
  <c r="AF8" i="20"/>
  <c r="AF9" i="20"/>
  <c r="AF10" i="20"/>
  <c r="AF11" i="20"/>
  <c r="AF12" i="20"/>
  <c r="AF13" i="20"/>
  <c r="AF14" i="20"/>
  <c r="AF15" i="20"/>
  <c r="AF16" i="20"/>
  <c r="AF17" i="20"/>
  <c r="AF18" i="20"/>
  <c r="AF19" i="20"/>
  <c r="AF20" i="20"/>
  <c r="AF21" i="20"/>
  <c r="AF22" i="20"/>
  <c r="AF23" i="20"/>
  <c r="AF24" i="20"/>
  <c r="AF25" i="20"/>
  <c r="AF26" i="20"/>
  <c r="AF27" i="20"/>
  <c r="AF28" i="20"/>
  <c r="AF29" i="20"/>
  <c r="AF30" i="20"/>
  <c r="AF31" i="20"/>
  <c r="AF32" i="20"/>
  <c r="AF33" i="20"/>
  <c r="AF34" i="20"/>
  <c r="AF35" i="20"/>
  <c r="AF36" i="20"/>
  <c r="AF37" i="20"/>
  <c r="AF38" i="20"/>
  <c r="AF39" i="20"/>
  <c r="AF40" i="20"/>
  <c r="AF41" i="20"/>
  <c r="AF42" i="20"/>
  <c r="AF43" i="20"/>
  <c r="AF44" i="20"/>
  <c r="AF45" i="20"/>
  <c r="AF46" i="20"/>
  <c r="AF47" i="20"/>
  <c r="AF48" i="20"/>
  <c r="AF49" i="20"/>
  <c r="AF50" i="20"/>
  <c r="AF51" i="20"/>
  <c r="AF52" i="20"/>
  <c r="AF53" i="20"/>
  <c r="AF54" i="20"/>
  <c r="AF55" i="20"/>
  <c r="AF56" i="20"/>
  <c r="AF57" i="20"/>
  <c r="AF58" i="20"/>
  <c r="AF59" i="20"/>
  <c r="AF60" i="20"/>
  <c r="AF61" i="20"/>
  <c r="AF62" i="20"/>
  <c r="AF63" i="20"/>
  <c r="AF64" i="20"/>
  <c r="AF65" i="20"/>
  <c r="AF66" i="20"/>
  <c r="AF67" i="20"/>
  <c r="AF68" i="20"/>
  <c r="AF69" i="20"/>
  <c r="AF70" i="20"/>
  <c r="AF71" i="20"/>
  <c r="AF72" i="20"/>
  <c r="AF73" i="20"/>
  <c r="AF74" i="20"/>
  <c r="AF75" i="20"/>
  <c r="AF76" i="20"/>
  <c r="AF77" i="20"/>
  <c r="AF78" i="20"/>
  <c r="AF79" i="20"/>
  <c r="AF80" i="20"/>
  <c r="AF81" i="20"/>
  <c r="AF82" i="20"/>
  <c r="AF83" i="20"/>
  <c r="AF84" i="20"/>
  <c r="AF85" i="20"/>
  <c r="AF86" i="20"/>
  <c r="AF87" i="20"/>
  <c r="AF88" i="20"/>
  <c r="AF89" i="20"/>
  <c r="AF90" i="20"/>
  <c r="AF91" i="20"/>
  <c r="AF92" i="20"/>
  <c r="AF93" i="20"/>
  <c r="AF94" i="20"/>
  <c r="AF95" i="20"/>
  <c r="AF96" i="20"/>
  <c r="AF97" i="20"/>
  <c r="AF98" i="20"/>
  <c r="AF99" i="20"/>
  <c r="AF100" i="20"/>
  <c r="AF101" i="20"/>
  <c r="AF102" i="20"/>
  <c r="AF103" i="20"/>
  <c r="AF104" i="20"/>
  <c r="AF105" i="20"/>
  <c r="AF106" i="20"/>
  <c r="AF107" i="20"/>
  <c r="AF108" i="20"/>
  <c r="AF109" i="20"/>
  <c r="AF110" i="20"/>
  <c r="AF111" i="20"/>
  <c r="AF112" i="20"/>
  <c r="AF113" i="20"/>
  <c r="AF114" i="20"/>
  <c r="AF115" i="20"/>
  <c r="AF116" i="20"/>
  <c r="AF117" i="20"/>
  <c r="AF118" i="20"/>
  <c r="AF119" i="20"/>
  <c r="AF120" i="20"/>
  <c r="AF121" i="20"/>
  <c r="AF122" i="20"/>
  <c r="AF123" i="20"/>
  <c r="AF124" i="20"/>
  <c r="AF125" i="20"/>
  <c r="AF126" i="20"/>
  <c r="AF127" i="20"/>
  <c r="AF128" i="20"/>
  <c r="AF129" i="20"/>
  <c r="AF130" i="20"/>
  <c r="AF131" i="20"/>
  <c r="AF132" i="20"/>
  <c r="AF133" i="20"/>
  <c r="AF134" i="20"/>
  <c r="AF135" i="20"/>
  <c r="AF136" i="20"/>
  <c r="AF137" i="20"/>
  <c r="AF138" i="20"/>
  <c r="AF139" i="20"/>
  <c r="AF140" i="20"/>
  <c r="AF141" i="20"/>
  <c r="AF142" i="20"/>
  <c r="AF143" i="20"/>
  <c r="AF144" i="20"/>
  <c r="AF145" i="20"/>
  <c r="AF146" i="20"/>
  <c r="AF147" i="20"/>
  <c r="AF148" i="20"/>
  <c r="AF149" i="20"/>
  <c r="AF150" i="20"/>
  <c r="AF151" i="20"/>
  <c r="AF152" i="20"/>
  <c r="AF153" i="20"/>
  <c r="AF154" i="20"/>
  <c r="AF155" i="20"/>
  <c r="AF156" i="20"/>
  <c r="AF157" i="20"/>
  <c r="AF158" i="20"/>
  <c r="AF159" i="20"/>
  <c r="AF160" i="20"/>
  <c r="AF161" i="20"/>
  <c r="AF162" i="20"/>
  <c r="AF163" i="20"/>
  <c r="AF164" i="20"/>
  <c r="AF165" i="20"/>
  <c r="AF166" i="20"/>
  <c r="AF167" i="20"/>
  <c r="AF168" i="20"/>
  <c r="AF169" i="20"/>
  <c r="AF170" i="20"/>
  <c r="AF171" i="20"/>
  <c r="AF172" i="20"/>
  <c r="AF173" i="20"/>
  <c r="AF174" i="20"/>
  <c r="AF175" i="20"/>
  <c r="AF176" i="20"/>
  <c r="AF177" i="20"/>
  <c r="AF178" i="20"/>
  <c r="AF179" i="20"/>
  <c r="AF180" i="20"/>
  <c r="AF181" i="20"/>
  <c r="AF182" i="20"/>
  <c r="AF183" i="20"/>
  <c r="AF184" i="20"/>
  <c r="AF185" i="20"/>
  <c r="AF186" i="20"/>
  <c r="AF187" i="20"/>
  <c r="AF188" i="20"/>
  <c r="AF189" i="20"/>
  <c r="AF190" i="20"/>
  <c r="AF191" i="20"/>
  <c r="AF192" i="20"/>
  <c r="AF193" i="20"/>
  <c r="AF194" i="20"/>
  <c r="AF195" i="20"/>
  <c r="AF196" i="20"/>
  <c r="AF197" i="20"/>
  <c r="AF198" i="20"/>
  <c r="AF199" i="20"/>
  <c r="AF200" i="20"/>
  <c r="AF201" i="20"/>
  <c r="AF202" i="20"/>
  <c r="AG2" i="20"/>
  <c r="AH2" i="20"/>
  <c r="AI2" i="20"/>
  <c r="AJ2" i="20"/>
  <c r="AK2" i="20"/>
  <c r="AL2" i="20"/>
  <c r="AM2" i="20"/>
  <c r="AN2" i="20"/>
  <c r="AO2" i="20"/>
  <c r="AF2" i="20"/>
  <c r="AD14" i="17" l="1"/>
  <c r="AE17" i="17"/>
  <c r="AI17" i="17"/>
  <c r="AE14" i="17"/>
  <c r="AI14" i="17"/>
  <c r="AF17" i="17"/>
  <c r="AG17" i="17"/>
  <c r="AC14" i="17"/>
  <c r="AH17" i="17"/>
  <c r="AG14" i="17"/>
  <c r="AC17" i="17"/>
  <c r="AK14" i="17"/>
  <c r="AF14" i="17"/>
  <c r="AH14" i="17"/>
  <c r="AJ17" i="17"/>
  <c r="AJ14" i="17"/>
  <c r="B3" i="27" l="1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2" i="27"/>
  <c r="V2" i="23"/>
  <c r="W2" i="23"/>
  <c r="X2" i="23"/>
  <c r="Y2" i="23"/>
  <c r="Z2" i="23"/>
  <c r="U2" i="23"/>
  <c r="T2" i="23"/>
  <c r="Q2" i="23"/>
  <c r="P2" i="23"/>
  <c r="O2" i="23"/>
  <c r="N2" i="23"/>
  <c r="L2" i="23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" i="20"/>
  <c r="O30" i="26"/>
  <c r="N30" i="26"/>
  <c r="M30" i="26"/>
  <c r="L30" i="26"/>
  <c r="K30" i="26"/>
  <c r="J30" i="26"/>
  <c r="I30" i="26"/>
  <c r="C5" i="26"/>
  <c r="C6" i="26"/>
  <c r="C7" i="26"/>
  <c r="C8" i="26"/>
  <c r="C9" i="26"/>
  <c r="C10" i="26"/>
  <c r="C11" i="26"/>
  <c r="C12" i="26"/>
  <c r="C13" i="26"/>
  <c r="C14" i="26"/>
  <c r="C15" i="26"/>
  <c r="B4" i="26"/>
  <c r="I4" i="26"/>
  <c r="J4" i="26"/>
  <c r="K4" i="26"/>
  <c r="L4" i="26"/>
  <c r="M4" i="26"/>
  <c r="N4" i="26"/>
  <c r="O4" i="26"/>
  <c r="B5" i="26"/>
  <c r="D5" i="26"/>
  <c r="E5" i="26"/>
  <c r="I5" i="26"/>
  <c r="J5" i="26"/>
  <c r="K5" i="26"/>
  <c r="L5" i="26"/>
  <c r="M5" i="26"/>
  <c r="N5" i="26"/>
  <c r="O5" i="26"/>
  <c r="B6" i="26"/>
  <c r="D6" i="26"/>
  <c r="E6" i="26"/>
  <c r="I6" i="26"/>
  <c r="J6" i="26"/>
  <c r="K6" i="26"/>
  <c r="L6" i="26"/>
  <c r="M6" i="26"/>
  <c r="N6" i="26"/>
  <c r="O6" i="26"/>
  <c r="B7" i="26"/>
  <c r="D7" i="26"/>
  <c r="E7" i="26"/>
  <c r="I7" i="26"/>
  <c r="J7" i="26"/>
  <c r="K7" i="26"/>
  <c r="L7" i="26"/>
  <c r="M7" i="26"/>
  <c r="N7" i="26"/>
  <c r="O7" i="26"/>
  <c r="B8" i="26"/>
  <c r="D8" i="26"/>
  <c r="E8" i="26"/>
  <c r="I8" i="26"/>
  <c r="J8" i="26"/>
  <c r="K8" i="26"/>
  <c r="L8" i="26"/>
  <c r="M8" i="26"/>
  <c r="N8" i="26"/>
  <c r="O8" i="26"/>
  <c r="B9" i="26"/>
  <c r="D9" i="26"/>
  <c r="E9" i="26"/>
  <c r="I9" i="26"/>
  <c r="J9" i="26"/>
  <c r="K9" i="26"/>
  <c r="L9" i="26"/>
  <c r="M9" i="26"/>
  <c r="N9" i="26"/>
  <c r="O9" i="26"/>
  <c r="B10" i="26"/>
  <c r="D10" i="26"/>
  <c r="E10" i="26"/>
  <c r="I10" i="26"/>
  <c r="J10" i="26"/>
  <c r="K10" i="26"/>
  <c r="L10" i="26"/>
  <c r="M10" i="26"/>
  <c r="N10" i="26"/>
  <c r="O10" i="26"/>
  <c r="B11" i="26"/>
  <c r="D11" i="26"/>
  <c r="E11" i="26"/>
  <c r="I11" i="26"/>
  <c r="J11" i="26"/>
  <c r="K11" i="26"/>
  <c r="L11" i="26"/>
  <c r="M11" i="26"/>
  <c r="N11" i="26"/>
  <c r="O11" i="26"/>
  <c r="B12" i="26"/>
  <c r="D12" i="26"/>
  <c r="E12" i="26"/>
  <c r="I12" i="26"/>
  <c r="J12" i="26"/>
  <c r="K12" i="26"/>
  <c r="L12" i="26"/>
  <c r="M12" i="26"/>
  <c r="N12" i="26"/>
  <c r="O12" i="26"/>
  <c r="B13" i="26"/>
  <c r="D13" i="26"/>
  <c r="E13" i="26"/>
  <c r="I13" i="26"/>
  <c r="J13" i="26"/>
  <c r="K13" i="26"/>
  <c r="L13" i="26"/>
  <c r="M13" i="26"/>
  <c r="N13" i="26"/>
  <c r="O13" i="26"/>
  <c r="B14" i="26"/>
  <c r="D14" i="26"/>
  <c r="E14" i="26"/>
  <c r="I14" i="26"/>
  <c r="J14" i="26"/>
  <c r="K14" i="26"/>
  <c r="L14" i="26"/>
  <c r="M14" i="26"/>
  <c r="N14" i="26"/>
  <c r="O14" i="26"/>
  <c r="B15" i="26"/>
  <c r="G15" i="26" s="1"/>
  <c r="D15" i="26"/>
  <c r="E15" i="26"/>
  <c r="I15" i="26"/>
  <c r="J15" i="26"/>
  <c r="K15" i="26"/>
  <c r="L15" i="26"/>
  <c r="M15" i="26"/>
  <c r="N15" i="26"/>
  <c r="O15" i="26"/>
  <c r="O3" i="26"/>
  <c r="N3" i="26"/>
  <c r="M3" i="26"/>
  <c r="L3" i="26"/>
  <c r="K3" i="26"/>
  <c r="I3" i="26"/>
  <c r="J3" i="26"/>
  <c r="B30" i="26"/>
  <c r="B3" i="26"/>
  <c r="U2" i="26" s="1"/>
  <c r="O23" i="26"/>
  <c r="T202" i="20"/>
  <c r="AV26" i="26"/>
  <c r="AU26" i="26"/>
  <c r="AT26" i="26"/>
  <c r="AS26" i="26"/>
  <c r="AR26" i="26"/>
  <c r="AQ26" i="26"/>
  <c r="AP26" i="26"/>
  <c r="AO26" i="26"/>
  <c r="AN26" i="26"/>
  <c r="AM26" i="26"/>
  <c r="AV25" i="26"/>
  <c r="AU25" i="26"/>
  <c r="AT25" i="26"/>
  <c r="AS25" i="26"/>
  <c r="AR25" i="26"/>
  <c r="AQ25" i="26"/>
  <c r="AP25" i="26"/>
  <c r="AO25" i="26"/>
  <c r="AN25" i="26"/>
  <c r="AM25" i="26"/>
  <c r="AV24" i="26"/>
  <c r="AU24" i="26"/>
  <c r="AT24" i="26"/>
  <c r="AS24" i="26"/>
  <c r="AR24" i="26"/>
  <c r="AQ24" i="26"/>
  <c r="AP24" i="26"/>
  <c r="AO24" i="26"/>
  <c r="AN24" i="26"/>
  <c r="AM24" i="26"/>
  <c r="AV23" i="26"/>
  <c r="AU23" i="26"/>
  <c r="AT23" i="26"/>
  <c r="AS23" i="26"/>
  <c r="AR23" i="26"/>
  <c r="AQ23" i="26"/>
  <c r="AP23" i="26"/>
  <c r="AO23" i="26"/>
  <c r="AN23" i="26"/>
  <c r="AM23" i="26"/>
  <c r="AV22" i="26"/>
  <c r="AU22" i="26"/>
  <c r="AT22" i="26"/>
  <c r="AS22" i="26"/>
  <c r="AR22" i="26"/>
  <c r="AQ22" i="26"/>
  <c r="AP22" i="26"/>
  <c r="AO22" i="26"/>
  <c r="AN22" i="26"/>
  <c r="AM22" i="26"/>
  <c r="AV21" i="26"/>
  <c r="AU21" i="26"/>
  <c r="AT21" i="26"/>
  <c r="AS21" i="26"/>
  <c r="AR21" i="26"/>
  <c r="AQ21" i="26"/>
  <c r="AP21" i="26"/>
  <c r="AO21" i="26"/>
  <c r="AN21" i="26"/>
  <c r="AM21" i="26"/>
  <c r="AV20" i="26"/>
  <c r="AU20" i="26"/>
  <c r="AT20" i="26"/>
  <c r="AS20" i="26"/>
  <c r="AR20" i="26"/>
  <c r="AQ20" i="26"/>
  <c r="AP20" i="26"/>
  <c r="AO20" i="26"/>
  <c r="AN20" i="26"/>
  <c r="AM20" i="26"/>
  <c r="AV19" i="26"/>
  <c r="AU19" i="26"/>
  <c r="AT19" i="26"/>
  <c r="AS19" i="26"/>
  <c r="AR19" i="26"/>
  <c r="AQ19" i="26"/>
  <c r="AP19" i="26"/>
  <c r="AO19" i="26"/>
  <c r="AN19" i="26"/>
  <c r="AM19" i="26"/>
  <c r="AV18" i="26"/>
  <c r="AU18" i="26"/>
  <c r="AT18" i="26"/>
  <c r="AS18" i="26"/>
  <c r="AR18" i="26"/>
  <c r="AQ18" i="26"/>
  <c r="AP18" i="26"/>
  <c r="AO18" i="26"/>
  <c r="AN18" i="26"/>
  <c r="AM18" i="26"/>
  <c r="AV17" i="26"/>
  <c r="AU17" i="26"/>
  <c r="AT17" i="26"/>
  <c r="AS17" i="26"/>
  <c r="AR17" i="26"/>
  <c r="AQ17" i="26"/>
  <c r="AP17" i="26"/>
  <c r="AO17" i="26"/>
  <c r="AN17" i="26"/>
  <c r="AM17" i="26"/>
  <c r="AV16" i="26"/>
  <c r="AU16" i="26"/>
  <c r="AT16" i="26"/>
  <c r="AS16" i="26"/>
  <c r="AR16" i="26"/>
  <c r="AQ16" i="26"/>
  <c r="AP16" i="26"/>
  <c r="AO16" i="26"/>
  <c r="AN16" i="26"/>
  <c r="AM16" i="26"/>
  <c r="AV15" i="26"/>
  <c r="AU15" i="26"/>
  <c r="AT15" i="26"/>
  <c r="AS15" i="26"/>
  <c r="AR15" i="26"/>
  <c r="AQ15" i="26"/>
  <c r="AP15" i="26"/>
  <c r="AO15" i="26"/>
  <c r="AN15" i="26"/>
  <c r="AM15" i="26"/>
  <c r="AV14" i="26"/>
  <c r="AU14" i="26"/>
  <c r="AT14" i="26"/>
  <c r="AS14" i="26"/>
  <c r="AR14" i="26"/>
  <c r="AQ14" i="26"/>
  <c r="AP14" i="26"/>
  <c r="AO14" i="26"/>
  <c r="AN14" i="26"/>
  <c r="AM14" i="26"/>
  <c r="AV13" i="26"/>
  <c r="AU13" i="26"/>
  <c r="AT13" i="26"/>
  <c r="AS13" i="26"/>
  <c r="AR13" i="26"/>
  <c r="AQ13" i="26"/>
  <c r="AP13" i="26"/>
  <c r="AO13" i="26"/>
  <c r="AN13" i="26"/>
  <c r="AM13" i="26"/>
  <c r="AV12" i="26"/>
  <c r="AU12" i="26"/>
  <c r="AT12" i="26"/>
  <c r="AS12" i="26"/>
  <c r="AR12" i="26"/>
  <c r="AQ12" i="26"/>
  <c r="AP12" i="26"/>
  <c r="AO12" i="26"/>
  <c r="AN12" i="26"/>
  <c r="AM12" i="26"/>
  <c r="AV11" i="26"/>
  <c r="AU11" i="26"/>
  <c r="AT11" i="26"/>
  <c r="AS11" i="26"/>
  <c r="AR11" i="26"/>
  <c r="AQ11" i="26"/>
  <c r="AP11" i="26"/>
  <c r="AO11" i="26"/>
  <c r="AN11" i="26"/>
  <c r="AM11" i="26"/>
  <c r="AV10" i="26"/>
  <c r="AU10" i="26"/>
  <c r="AT10" i="26"/>
  <c r="AS10" i="26"/>
  <c r="AR10" i="26"/>
  <c r="AQ10" i="26"/>
  <c r="AP10" i="26"/>
  <c r="AO10" i="26"/>
  <c r="AN10" i="26"/>
  <c r="AM10" i="26"/>
  <c r="AV9" i="26"/>
  <c r="AU9" i="26"/>
  <c r="AT9" i="26"/>
  <c r="AS9" i="26"/>
  <c r="AR9" i="26"/>
  <c r="AQ9" i="26"/>
  <c r="AP9" i="26"/>
  <c r="AO9" i="26"/>
  <c r="AN9" i="26"/>
  <c r="AM9" i="26"/>
  <c r="AV8" i="26"/>
  <c r="AU8" i="26"/>
  <c r="AT8" i="26"/>
  <c r="AS8" i="26"/>
  <c r="AR8" i="26"/>
  <c r="AQ8" i="26"/>
  <c r="AP8" i="26"/>
  <c r="AO8" i="26"/>
  <c r="AN8" i="26"/>
  <c r="AM8" i="26"/>
  <c r="AV7" i="26"/>
  <c r="AU7" i="26"/>
  <c r="AT7" i="26"/>
  <c r="AS7" i="26"/>
  <c r="AR7" i="26"/>
  <c r="AQ7" i="26"/>
  <c r="AP7" i="26"/>
  <c r="AO7" i="26"/>
  <c r="AN7" i="26"/>
  <c r="AM7" i="26"/>
  <c r="AV6" i="26"/>
  <c r="AU6" i="26"/>
  <c r="AT6" i="26"/>
  <c r="AS6" i="26"/>
  <c r="AR6" i="26"/>
  <c r="AQ6" i="26"/>
  <c r="AP6" i="26"/>
  <c r="AO6" i="26"/>
  <c r="AN6" i="26"/>
  <c r="AM6" i="26"/>
  <c r="AV5" i="26"/>
  <c r="AU5" i="26"/>
  <c r="AT5" i="26"/>
  <c r="AS5" i="26"/>
  <c r="AR5" i="26"/>
  <c r="AQ5" i="26"/>
  <c r="AP5" i="26"/>
  <c r="AO5" i="26"/>
  <c r="AN5" i="26"/>
  <c r="AM5" i="26"/>
  <c r="AV4" i="26"/>
  <c r="AU4" i="26"/>
  <c r="AT4" i="26"/>
  <c r="AS4" i="26"/>
  <c r="AR4" i="26"/>
  <c r="AQ4" i="26"/>
  <c r="AP4" i="26"/>
  <c r="AO4" i="26"/>
  <c r="AN4" i="26"/>
  <c r="AM4" i="26"/>
  <c r="AV3" i="26"/>
  <c r="AU3" i="26"/>
  <c r="AT3" i="26"/>
  <c r="AS3" i="26"/>
  <c r="AR3" i="26"/>
  <c r="AQ3" i="26"/>
  <c r="AP3" i="26"/>
  <c r="AO3" i="26"/>
  <c r="AN3" i="26"/>
  <c r="AM3" i="26"/>
  <c r="T16" i="24"/>
  <c r="T3" i="24"/>
  <c r="T4" i="24"/>
  <c r="T5" i="24"/>
  <c r="T6" i="24"/>
  <c r="T7" i="24"/>
  <c r="T8" i="24"/>
  <c r="T9" i="24"/>
  <c r="T10" i="24"/>
  <c r="T11" i="24"/>
  <c r="T12" i="24"/>
  <c r="T13" i="24"/>
  <c r="T14" i="24"/>
  <c r="T15" i="24"/>
  <c r="T2" i="24"/>
  <c r="S16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2" i="24"/>
  <c r="J16" i="24"/>
  <c r="R3" i="24"/>
  <c r="R4" i="24"/>
  <c r="R5" i="24"/>
  <c r="R6" i="24"/>
  <c r="R7" i="24"/>
  <c r="R8" i="24"/>
  <c r="R9" i="24"/>
  <c r="R10" i="24"/>
  <c r="R11" i="24"/>
  <c r="R12" i="24"/>
  <c r="R13" i="24"/>
  <c r="R14" i="24"/>
  <c r="R15" i="24"/>
  <c r="R2" i="24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2" i="24"/>
  <c r="K16" i="24"/>
  <c r="I16" i="24"/>
  <c r="K80" i="27"/>
  <c r="K45" i="27"/>
  <c r="M2" i="23"/>
  <c r="J2" i="23"/>
  <c r="K2" i="23"/>
  <c r="G2" i="23"/>
  <c r="I2" i="23"/>
  <c r="H2" i="23"/>
  <c r="D201" i="20"/>
  <c r="D200" i="20"/>
  <c r="D199" i="20"/>
  <c r="D198" i="20"/>
  <c r="D197" i="20"/>
  <c r="D196" i="20"/>
  <c r="D195" i="20"/>
  <c r="D194" i="20"/>
  <c r="D192" i="20"/>
  <c r="D191" i="20"/>
  <c r="D190" i="20"/>
  <c r="D189" i="20"/>
  <c r="D188" i="20"/>
  <c r="D187" i="20"/>
  <c r="D186" i="20"/>
  <c r="D185" i="20"/>
  <c r="D184" i="20"/>
  <c r="D182" i="20"/>
  <c r="D181" i="20"/>
  <c r="D180" i="20"/>
  <c r="D179" i="20"/>
  <c r="D178" i="20"/>
  <c r="D177" i="20"/>
  <c r="D176" i="20"/>
  <c r="D175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3" i="20"/>
  <c r="D52" i="20"/>
  <c r="D50" i="20"/>
  <c r="D49" i="20"/>
  <c r="D48" i="20"/>
  <c r="D47" i="20"/>
  <c r="D46" i="20"/>
  <c r="D45" i="20"/>
  <c r="D44" i="20"/>
  <c r="D43" i="20"/>
  <c r="D42" i="20"/>
  <c r="D41" i="20"/>
  <c r="D40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T197" i="20"/>
  <c r="T192" i="20"/>
  <c r="T189" i="20"/>
  <c r="T187" i="20"/>
  <c r="T178" i="20"/>
  <c r="T175" i="20"/>
  <c r="D174" i="20"/>
  <c r="T170" i="20"/>
  <c r="T168" i="20"/>
  <c r="T167" i="20"/>
  <c r="T166" i="20"/>
  <c r="T165" i="20"/>
  <c r="W161" i="20"/>
  <c r="T158" i="20"/>
  <c r="T153" i="20"/>
  <c r="T152" i="20"/>
  <c r="T149" i="20"/>
  <c r="T148" i="20"/>
  <c r="T147" i="20"/>
  <c r="T145" i="20"/>
  <c r="T144" i="20"/>
  <c r="T136" i="20"/>
  <c r="T135" i="20"/>
  <c r="T129" i="20"/>
  <c r="T128" i="20"/>
  <c r="T122" i="20"/>
  <c r="T121" i="20"/>
  <c r="T119" i="20"/>
  <c r="T118" i="20"/>
  <c r="T117" i="20"/>
  <c r="T114" i="20"/>
  <c r="T113" i="20"/>
  <c r="T112" i="20"/>
  <c r="W110" i="20"/>
  <c r="T110" i="20"/>
  <c r="T109" i="20"/>
  <c r="T107" i="20"/>
  <c r="T106" i="20"/>
  <c r="T103" i="20"/>
  <c r="T101" i="20"/>
  <c r="T100" i="20"/>
  <c r="T98" i="20"/>
  <c r="W97" i="20"/>
  <c r="T94" i="20"/>
  <c r="T93" i="20"/>
  <c r="W92" i="20"/>
  <c r="T90" i="20"/>
  <c r="T89" i="20"/>
  <c r="T82" i="20"/>
  <c r="T74" i="20"/>
  <c r="T73" i="20"/>
  <c r="T71" i="20"/>
  <c r="T70" i="20"/>
  <c r="T68" i="20"/>
  <c r="T66" i="20"/>
  <c r="T57" i="20"/>
  <c r="T52" i="20"/>
  <c r="T51" i="20"/>
  <c r="T50" i="20"/>
  <c r="T46" i="20"/>
  <c r="T45" i="20"/>
  <c r="T42" i="20"/>
  <c r="T41" i="20"/>
  <c r="D39" i="20"/>
  <c r="T37" i="20"/>
  <c r="W35" i="20"/>
  <c r="T35" i="20"/>
  <c r="T33" i="20"/>
  <c r="T29" i="20"/>
  <c r="T28" i="20"/>
  <c r="T26" i="20"/>
  <c r="E4" i="26"/>
  <c r="C4" i="26"/>
  <c r="T23" i="20"/>
  <c r="T21" i="20"/>
  <c r="T20" i="20"/>
  <c r="T19" i="20"/>
  <c r="T15" i="20"/>
  <c r="D30" i="26"/>
  <c r="C30" i="26"/>
  <c r="T10" i="20"/>
  <c r="E3" i="26"/>
  <c r="D3" i="26"/>
  <c r="C3" i="26"/>
  <c r="M10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88" i="17"/>
  <c r="A87" i="17"/>
  <c r="A61" i="17"/>
  <c r="A62" i="17"/>
  <c r="A63" i="17"/>
  <c r="A64" i="17"/>
  <c r="A65" i="17"/>
  <c r="A66" i="17"/>
  <c r="A70" i="17"/>
  <c r="A71" i="17"/>
  <c r="A72" i="17"/>
  <c r="A73" i="17"/>
  <c r="A74" i="17"/>
  <c r="A75" i="17"/>
  <c r="A76" i="17"/>
  <c r="A77" i="17"/>
  <c r="A60" i="17"/>
  <c r="A59" i="17"/>
  <c r="A33" i="17"/>
  <c r="A34" i="17"/>
  <c r="A35" i="17"/>
  <c r="A36" i="17"/>
  <c r="A37" i="17"/>
  <c r="A39" i="17"/>
  <c r="A40" i="17"/>
  <c r="A41" i="17"/>
  <c r="A42" i="17"/>
  <c r="A43" i="17"/>
  <c r="A44" i="17"/>
  <c r="A45" i="17"/>
  <c r="A46" i="17"/>
  <c r="A47" i="17"/>
  <c r="A48" i="17"/>
  <c r="A49" i="17"/>
  <c r="A32" i="17"/>
  <c r="A31" i="17"/>
  <c r="M9" i="17"/>
  <c r="N10" i="17"/>
  <c r="H42" i="17" l="1"/>
  <c r="G42" i="17"/>
  <c r="F42" i="17"/>
  <c r="E42" i="17"/>
  <c r="D42" i="17"/>
  <c r="C42" i="17"/>
  <c r="J42" i="17"/>
  <c r="B42" i="17"/>
  <c r="I42" i="17"/>
  <c r="C72" i="17"/>
  <c r="J72" i="17"/>
  <c r="B72" i="17"/>
  <c r="I72" i="17"/>
  <c r="H72" i="17"/>
  <c r="G72" i="17"/>
  <c r="F72" i="17"/>
  <c r="E72" i="17"/>
  <c r="D72" i="17"/>
  <c r="I49" i="17"/>
  <c r="H49" i="17"/>
  <c r="G49" i="17"/>
  <c r="F49" i="17"/>
  <c r="E49" i="17"/>
  <c r="D49" i="17"/>
  <c r="C49" i="17"/>
  <c r="J49" i="17"/>
  <c r="B49" i="17"/>
  <c r="G60" i="17"/>
  <c r="F60" i="17"/>
  <c r="E60" i="17"/>
  <c r="D60" i="17"/>
  <c r="C60" i="17"/>
  <c r="J60" i="17"/>
  <c r="B60" i="17"/>
  <c r="I60" i="17"/>
  <c r="H60" i="17"/>
  <c r="J98" i="17"/>
  <c r="B98" i="17"/>
  <c r="I98" i="17"/>
  <c r="H98" i="17"/>
  <c r="G98" i="17"/>
  <c r="F98" i="17"/>
  <c r="E98" i="17"/>
  <c r="D98" i="17"/>
  <c r="C98" i="17"/>
  <c r="C39" i="17"/>
  <c r="J39" i="17"/>
  <c r="B39" i="17"/>
  <c r="I39" i="17"/>
  <c r="H39" i="17"/>
  <c r="G39" i="17"/>
  <c r="F39" i="17"/>
  <c r="E39" i="17"/>
  <c r="D39" i="17"/>
  <c r="C105" i="17"/>
  <c r="J105" i="17"/>
  <c r="B105" i="17"/>
  <c r="I105" i="17"/>
  <c r="H105" i="17"/>
  <c r="G105" i="17"/>
  <c r="F105" i="17"/>
  <c r="E105" i="17"/>
  <c r="D105" i="17"/>
  <c r="C31" i="17"/>
  <c r="J31" i="17"/>
  <c r="B31" i="17"/>
  <c r="I31" i="17"/>
  <c r="H31" i="17"/>
  <c r="G31" i="17"/>
  <c r="F31" i="17"/>
  <c r="E31" i="17"/>
  <c r="D31" i="17"/>
  <c r="G43" i="17"/>
  <c r="F43" i="17"/>
  <c r="E43" i="17"/>
  <c r="D43" i="17"/>
  <c r="C43" i="17"/>
  <c r="J43" i="17"/>
  <c r="B43" i="17"/>
  <c r="I43" i="17"/>
  <c r="H43" i="17"/>
  <c r="H34" i="17"/>
  <c r="G34" i="17"/>
  <c r="F34" i="17"/>
  <c r="E34" i="17"/>
  <c r="D34" i="17"/>
  <c r="C34" i="17"/>
  <c r="J34" i="17"/>
  <c r="B34" i="17"/>
  <c r="I34" i="17"/>
  <c r="J73" i="17"/>
  <c r="B73" i="17"/>
  <c r="I73" i="17"/>
  <c r="H73" i="17"/>
  <c r="G73" i="17"/>
  <c r="F73" i="17"/>
  <c r="E73" i="17"/>
  <c r="D73" i="17"/>
  <c r="C73" i="17"/>
  <c r="E62" i="17"/>
  <c r="D62" i="17"/>
  <c r="C62" i="17"/>
  <c r="J62" i="17"/>
  <c r="B62" i="17"/>
  <c r="I62" i="17"/>
  <c r="H62" i="17"/>
  <c r="G62" i="17"/>
  <c r="F62" i="17"/>
  <c r="G101" i="17"/>
  <c r="F101" i="17"/>
  <c r="E101" i="17"/>
  <c r="D101" i="17"/>
  <c r="C101" i="17"/>
  <c r="J101" i="17"/>
  <c r="B101" i="17"/>
  <c r="I101" i="17"/>
  <c r="H101" i="17"/>
  <c r="G93" i="17"/>
  <c r="F93" i="17"/>
  <c r="E93" i="17"/>
  <c r="D93" i="17"/>
  <c r="C93" i="17"/>
  <c r="J93" i="17"/>
  <c r="B93" i="17"/>
  <c r="I93" i="17"/>
  <c r="H93" i="17"/>
  <c r="J48" i="17"/>
  <c r="B48" i="17"/>
  <c r="I48" i="17"/>
  <c r="H48" i="17"/>
  <c r="G48" i="17"/>
  <c r="F48" i="17"/>
  <c r="E48" i="17"/>
  <c r="D48" i="17"/>
  <c r="C48" i="17"/>
  <c r="I33" i="17"/>
  <c r="H33" i="17"/>
  <c r="G33" i="17"/>
  <c r="F33" i="17"/>
  <c r="E33" i="17"/>
  <c r="D33" i="17"/>
  <c r="C33" i="17"/>
  <c r="J33" i="17"/>
  <c r="B33" i="17"/>
  <c r="H92" i="17"/>
  <c r="G92" i="17"/>
  <c r="F92" i="17"/>
  <c r="E92" i="17"/>
  <c r="D92" i="17"/>
  <c r="C92" i="17"/>
  <c r="J92" i="17"/>
  <c r="B92" i="17"/>
  <c r="I92" i="17"/>
  <c r="E87" i="17"/>
  <c r="D87" i="17"/>
  <c r="C87" i="17"/>
  <c r="J87" i="17"/>
  <c r="B87" i="17"/>
  <c r="I87" i="17"/>
  <c r="H87" i="17"/>
  <c r="G87" i="17"/>
  <c r="F87" i="17"/>
  <c r="J40" i="17"/>
  <c r="B40" i="17"/>
  <c r="I40" i="17"/>
  <c r="H40" i="17"/>
  <c r="G40" i="17"/>
  <c r="F40" i="17"/>
  <c r="E40" i="17"/>
  <c r="D40" i="17"/>
  <c r="C40" i="17"/>
  <c r="F77" i="17"/>
  <c r="E77" i="17"/>
  <c r="D77" i="17"/>
  <c r="C77" i="17"/>
  <c r="J77" i="17"/>
  <c r="B77" i="17"/>
  <c r="I77" i="17"/>
  <c r="H77" i="17"/>
  <c r="G77" i="17"/>
  <c r="C97" i="17"/>
  <c r="J97" i="17"/>
  <c r="B97" i="17"/>
  <c r="I97" i="17"/>
  <c r="H97" i="17"/>
  <c r="G97" i="17"/>
  <c r="F97" i="17"/>
  <c r="E97" i="17"/>
  <c r="D97" i="17"/>
  <c r="D46" i="17"/>
  <c r="C46" i="17"/>
  <c r="J46" i="17"/>
  <c r="B46" i="17"/>
  <c r="I46" i="17"/>
  <c r="H46" i="17"/>
  <c r="G46" i="17"/>
  <c r="F46" i="17"/>
  <c r="E46" i="17"/>
  <c r="E37" i="17"/>
  <c r="D37" i="17"/>
  <c r="C37" i="17"/>
  <c r="J37" i="17"/>
  <c r="B37" i="17"/>
  <c r="I37" i="17"/>
  <c r="H37" i="17"/>
  <c r="G37" i="17"/>
  <c r="F37" i="17"/>
  <c r="G76" i="17"/>
  <c r="F76" i="17"/>
  <c r="E76" i="17"/>
  <c r="D76" i="17"/>
  <c r="C76" i="17"/>
  <c r="J76" i="17"/>
  <c r="B76" i="17"/>
  <c r="I76" i="17"/>
  <c r="H76" i="17"/>
  <c r="J65" i="17"/>
  <c r="B65" i="17"/>
  <c r="I65" i="17"/>
  <c r="H65" i="17"/>
  <c r="G65" i="17"/>
  <c r="F65" i="17"/>
  <c r="E65" i="17"/>
  <c r="D65" i="17"/>
  <c r="C65" i="17"/>
  <c r="D104" i="17"/>
  <c r="C104" i="17"/>
  <c r="J104" i="17"/>
  <c r="B104" i="17"/>
  <c r="I104" i="17"/>
  <c r="H104" i="17"/>
  <c r="G104" i="17"/>
  <c r="F104" i="17"/>
  <c r="E104" i="17"/>
  <c r="D96" i="17"/>
  <c r="C96" i="17"/>
  <c r="J96" i="17"/>
  <c r="B96" i="17"/>
  <c r="I96" i="17"/>
  <c r="H96" i="17"/>
  <c r="G96" i="17"/>
  <c r="F96" i="17"/>
  <c r="E96" i="17"/>
  <c r="J32" i="17"/>
  <c r="B32" i="17"/>
  <c r="I32" i="17"/>
  <c r="H32" i="17"/>
  <c r="G32" i="17"/>
  <c r="F32" i="17"/>
  <c r="E32" i="17"/>
  <c r="D32" i="17"/>
  <c r="C32" i="17"/>
  <c r="F61" i="17"/>
  <c r="E61" i="17"/>
  <c r="D61" i="17"/>
  <c r="C61" i="17"/>
  <c r="J61" i="17"/>
  <c r="B61" i="17"/>
  <c r="I61" i="17"/>
  <c r="H61" i="17"/>
  <c r="G61" i="17"/>
  <c r="I41" i="17"/>
  <c r="H41" i="17"/>
  <c r="G41" i="17"/>
  <c r="F41" i="17"/>
  <c r="E41" i="17"/>
  <c r="D41" i="17"/>
  <c r="C41" i="17"/>
  <c r="J41" i="17"/>
  <c r="B41" i="17"/>
  <c r="D71" i="17"/>
  <c r="C71" i="17"/>
  <c r="J71" i="17"/>
  <c r="B71" i="17"/>
  <c r="I71" i="17"/>
  <c r="H71" i="17"/>
  <c r="G71" i="17"/>
  <c r="F71" i="17"/>
  <c r="E71" i="17"/>
  <c r="I91" i="17"/>
  <c r="H91" i="17"/>
  <c r="G91" i="17"/>
  <c r="F91" i="17"/>
  <c r="E91" i="17"/>
  <c r="D91" i="17"/>
  <c r="C91" i="17"/>
  <c r="J91" i="17"/>
  <c r="B91" i="17"/>
  <c r="D88" i="17"/>
  <c r="C88" i="17"/>
  <c r="J88" i="17"/>
  <c r="B88" i="17"/>
  <c r="I88" i="17"/>
  <c r="H88" i="17"/>
  <c r="G88" i="17"/>
  <c r="F88" i="17"/>
  <c r="E88" i="17"/>
  <c r="J90" i="17"/>
  <c r="B90" i="17"/>
  <c r="I90" i="17"/>
  <c r="H90" i="17"/>
  <c r="G90" i="17"/>
  <c r="F90" i="17"/>
  <c r="E90" i="17"/>
  <c r="D90" i="17"/>
  <c r="C90" i="17"/>
  <c r="C47" i="17"/>
  <c r="J47" i="17"/>
  <c r="B47" i="17"/>
  <c r="I47" i="17"/>
  <c r="H47" i="17"/>
  <c r="G47" i="17"/>
  <c r="F47" i="17"/>
  <c r="E47" i="17"/>
  <c r="D47" i="17"/>
  <c r="E45" i="17"/>
  <c r="D45" i="17"/>
  <c r="C45" i="17"/>
  <c r="J45" i="17"/>
  <c r="B45" i="17"/>
  <c r="I45" i="17"/>
  <c r="H45" i="17"/>
  <c r="G45" i="17"/>
  <c r="F45" i="17"/>
  <c r="F36" i="17"/>
  <c r="E36" i="17"/>
  <c r="D36" i="17"/>
  <c r="C36" i="17"/>
  <c r="J36" i="17"/>
  <c r="B36" i="17"/>
  <c r="I36" i="17"/>
  <c r="H36" i="17"/>
  <c r="G36" i="17"/>
  <c r="H75" i="17"/>
  <c r="G75" i="17"/>
  <c r="F75" i="17"/>
  <c r="E75" i="17"/>
  <c r="D75" i="17"/>
  <c r="C75" i="17"/>
  <c r="J75" i="17"/>
  <c r="B75" i="17"/>
  <c r="I75" i="17"/>
  <c r="C64" i="17"/>
  <c r="J64" i="17"/>
  <c r="B64" i="17"/>
  <c r="I64" i="17"/>
  <c r="H64" i="17"/>
  <c r="G64" i="17"/>
  <c r="F64" i="17"/>
  <c r="E64" i="17"/>
  <c r="D64" i="17"/>
  <c r="E103" i="17"/>
  <c r="D103" i="17"/>
  <c r="C103" i="17"/>
  <c r="J103" i="17"/>
  <c r="B103" i="17"/>
  <c r="I103" i="17"/>
  <c r="H103" i="17"/>
  <c r="G103" i="17"/>
  <c r="F103" i="17"/>
  <c r="E95" i="17"/>
  <c r="D95" i="17"/>
  <c r="C95" i="17"/>
  <c r="J95" i="17"/>
  <c r="B95" i="17"/>
  <c r="I95" i="17"/>
  <c r="H95" i="17"/>
  <c r="G95" i="17"/>
  <c r="F95" i="17"/>
  <c r="H100" i="17"/>
  <c r="G100" i="17"/>
  <c r="F100" i="17"/>
  <c r="E100" i="17"/>
  <c r="D100" i="17"/>
  <c r="C100" i="17"/>
  <c r="J100" i="17"/>
  <c r="B100" i="17"/>
  <c r="I100" i="17"/>
  <c r="H59" i="17"/>
  <c r="G59" i="17"/>
  <c r="F59" i="17"/>
  <c r="E59" i="17"/>
  <c r="D59" i="17"/>
  <c r="C59" i="17"/>
  <c r="J59" i="17"/>
  <c r="B59" i="17"/>
  <c r="I59" i="17"/>
  <c r="I99" i="17"/>
  <c r="H99" i="17"/>
  <c r="G99" i="17"/>
  <c r="F99" i="17"/>
  <c r="E99" i="17"/>
  <c r="D99" i="17"/>
  <c r="C99" i="17"/>
  <c r="J99" i="17"/>
  <c r="B99" i="17"/>
  <c r="E70" i="17"/>
  <c r="D70" i="17"/>
  <c r="C70" i="17"/>
  <c r="J70" i="17"/>
  <c r="B70" i="17"/>
  <c r="I70" i="17"/>
  <c r="H70" i="17"/>
  <c r="G70" i="17"/>
  <c r="F70" i="17"/>
  <c r="I66" i="17"/>
  <c r="H66" i="17"/>
  <c r="G66" i="17"/>
  <c r="F66" i="17"/>
  <c r="E66" i="17"/>
  <c r="D66" i="17"/>
  <c r="C66" i="17"/>
  <c r="J66" i="17"/>
  <c r="B66" i="17"/>
  <c r="C89" i="17"/>
  <c r="J89" i="17"/>
  <c r="B89" i="17"/>
  <c r="I89" i="17"/>
  <c r="H89" i="17"/>
  <c r="G89" i="17"/>
  <c r="F89" i="17"/>
  <c r="E89" i="17"/>
  <c r="D89" i="17"/>
  <c r="F44" i="17"/>
  <c r="E44" i="17"/>
  <c r="D44" i="17"/>
  <c r="C44" i="17"/>
  <c r="J44" i="17"/>
  <c r="B44" i="17"/>
  <c r="I44" i="17"/>
  <c r="H44" i="17"/>
  <c r="G44" i="17"/>
  <c r="G35" i="17"/>
  <c r="F35" i="17"/>
  <c r="E35" i="17"/>
  <c r="D35" i="17"/>
  <c r="C35" i="17"/>
  <c r="J35" i="17"/>
  <c r="B35" i="17"/>
  <c r="I35" i="17"/>
  <c r="H35" i="17"/>
  <c r="I74" i="17"/>
  <c r="H74" i="17"/>
  <c r="G74" i="17"/>
  <c r="F74" i="17"/>
  <c r="E74" i="17"/>
  <c r="D74" i="17"/>
  <c r="C74" i="17"/>
  <c r="J74" i="17"/>
  <c r="B74" i="17"/>
  <c r="D63" i="17"/>
  <c r="C63" i="17"/>
  <c r="J63" i="17"/>
  <c r="B63" i="17"/>
  <c r="I63" i="17"/>
  <c r="H63" i="17"/>
  <c r="G63" i="17"/>
  <c r="F63" i="17"/>
  <c r="E63" i="17"/>
  <c r="F102" i="17"/>
  <c r="E102" i="17"/>
  <c r="D102" i="17"/>
  <c r="C102" i="17"/>
  <c r="J102" i="17"/>
  <c r="B102" i="17"/>
  <c r="I102" i="17"/>
  <c r="H102" i="17"/>
  <c r="G102" i="17"/>
  <c r="F94" i="17"/>
  <c r="E94" i="17"/>
  <c r="D94" i="17"/>
  <c r="C94" i="17"/>
  <c r="J94" i="17"/>
  <c r="B94" i="17"/>
  <c r="I94" i="17"/>
  <c r="H94" i="17"/>
  <c r="G94" i="17"/>
  <c r="K41" i="27"/>
  <c r="K73" i="27"/>
  <c r="K68" i="27"/>
  <c r="K85" i="27"/>
  <c r="K69" i="27"/>
  <c r="K77" i="27"/>
  <c r="K62" i="27"/>
  <c r="K4" i="27"/>
  <c r="K84" i="27"/>
  <c r="K75" i="27"/>
  <c r="K63" i="27"/>
  <c r="K56" i="27"/>
  <c r="K34" i="27"/>
  <c r="K49" i="27"/>
  <c r="K42" i="27"/>
  <c r="K38" i="27"/>
  <c r="K17" i="27"/>
  <c r="K25" i="27"/>
  <c r="K5" i="27"/>
  <c r="K79" i="27"/>
  <c r="K88" i="27"/>
  <c r="K76" i="27"/>
  <c r="K43" i="27"/>
  <c r="K46" i="27"/>
  <c r="K28" i="27"/>
  <c r="K24" i="27"/>
  <c r="K3" i="27"/>
  <c r="K82" i="27"/>
  <c r="K70" i="27"/>
  <c r="K61" i="27"/>
  <c r="K23" i="27"/>
  <c r="K27" i="27"/>
  <c r="K2" i="27"/>
  <c r="K14" i="27"/>
  <c r="K87" i="27"/>
  <c r="K74" i="27"/>
  <c r="K60" i="27"/>
  <c r="K31" i="27"/>
  <c r="K18" i="27"/>
  <c r="K36" i="27"/>
  <c r="K81" i="27"/>
  <c r="K50" i="27"/>
  <c r="K13" i="27"/>
  <c r="K44" i="27"/>
  <c r="K83" i="27"/>
  <c r="K6" i="27"/>
  <c r="K9" i="27"/>
  <c r="K30" i="27"/>
  <c r="K48" i="27"/>
  <c r="K47" i="27"/>
  <c r="K86" i="27"/>
  <c r="K40" i="27"/>
  <c r="K58" i="27"/>
  <c r="K67" i="27"/>
  <c r="K26" i="27"/>
  <c r="K72" i="27"/>
  <c r="K7" i="27"/>
  <c r="K39" i="27"/>
  <c r="K55" i="27"/>
  <c r="E30" i="26"/>
  <c r="H30" i="26" s="1"/>
  <c r="K52" i="27"/>
  <c r="K66" i="27"/>
  <c r="K57" i="27"/>
  <c r="W119" i="20"/>
  <c r="W178" i="20"/>
  <c r="K15" i="27"/>
  <c r="K20" i="27"/>
  <c r="K33" i="27"/>
  <c r="W160" i="20"/>
  <c r="K16" i="27"/>
  <c r="K51" i="27"/>
  <c r="K54" i="27"/>
  <c r="K89" i="27"/>
  <c r="K32" i="27"/>
  <c r="W34" i="20"/>
  <c r="W104" i="20"/>
  <c r="W124" i="20"/>
  <c r="W132" i="20"/>
  <c r="W59" i="20"/>
  <c r="W156" i="20"/>
  <c r="W164" i="20"/>
  <c r="W76" i="20"/>
  <c r="T24" i="20"/>
  <c r="W72" i="20"/>
  <c r="W9" i="20"/>
  <c r="W83" i="20"/>
  <c r="W4" i="20"/>
  <c r="W32" i="20"/>
  <c r="W42" i="20"/>
  <c r="W137" i="20"/>
  <c r="W150" i="20"/>
  <c r="W41" i="20"/>
  <c r="W56" i="20"/>
  <c r="W61" i="20"/>
  <c r="W105" i="20"/>
  <c r="W107" i="20"/>
  <c r="W117" i="20"/>
  <c r="W141" i="20"/>
  <c r="W154" i="20"/>
  <c r="W24" i="20"/>
  <c r="D4" i="26"/>
  <c r="H25" i="26" s="1"/>
  <c r="H35" i="26" s="1"/>
  <c r="W77" i="20"/>
  <c r="W82" i="20"/>
  <c r="W95" i="20"/>
  <c r="W136" i="20"/>
  <c r="W149" i="20"/>
  <c r="W167" i="20"/>
  <c r="W13" i="20"/>
  <c r="W75" i="20"/>
  <c r="W147" i="20"/>
  <c r="W23" i="20"/>
  <c r="W81" i="20"/>
  <c r="W101" i="20"/>
  <c r="W140" i="20"/>
  <c r="W163" i="20"/>
  <c r="W168" i="20"/>
  <c r="W53" i="20"/>
  <c r="W63" i="20"/>
  <c r="W166" i="20"/>
  <c r="W190" i="20"/>
  <c r="W195" i="20"/>
  <c r="W200" i="20"/>
  <c r="W165" i="20"/>
  <c r="W2" i="20"/>
  <c r="W20" i="20"/>
  <c r="W36" i="20"/>
  <c r="W43" i="20"/>
  <c r="W57" i="20"/>
  <c r="W60" i="20"/>
  <c r="W85" i="20"/>
  <c r="W111" i="20"/>
  <c r="W139" i="20"/>
  <c r="W151" i="20"/>
  <c r="W170" i="20"/>
  <c r="W187" i="20"/>
  <c r="W189" i="20"/>
  <c r="W88" i="20"/>
  <c r="W118" i="20"/>
  <c r="W197" i="20"/>
  <c r="W183" i="20"/>
  <c r="W6" i="20"/>
  <c r="W30" i="20"/>
  <c r="W54" i="20"/>
  <c r="W64" i="20"/>
  <c r="W91" i="20"/>
  <c r="W96" i="20"/>
  <c r="W143" i="20"/>
  <c r="W152" i="20"/>
  <c r="W162" i="20"/>
  <c r="W176" i="20"/>
  <c r="W181" i="20"/>
  <c r="W198" i="20"/>
  <c r="H3" i="26"/>
  <c r="G13" i="26"/>
  <c r="G7" i="26"/>
  <c r="H6" i="26"/>
  <c r="G12" i="26"/>
  <c r="G4" i="26"/>
  <c r="G9" i="26"/>
  <c r="G14" i="26"/>
  <c r="G6" i="26"/>
  <c r="G5" i="26"/>
  <c r="H8" i="26"/>
  <c r="H7" i="26"/>
  <c r="H10" i="26"/>
  <c r="G30" i="26"/>
  <c r="H5" i="26"/>
  <c r="H12" i="26"/>
  <c r="H14" i="26"/>
  <c r="H11" i="26"/>
  <c r="H15" i="26"/>
  <c r="H13" i="26"/>
  <c r="H9" i="26"/>
  <c r="O37" i="26"/>
  <c r="G10" i="26"/>
  <c r="G11" i="26"/>
  <c r="G8" i="26"/>
  <c r="O25" i="26"/>
  <c r="O35" i="26" s="1"/>
  <c r="I25" i="26"/>
  <c r="I35" i="26" s="1"/>
  <c r="L37" i="26"/>
  <c r="M37" i="26"/>
  <c r="G25" i="26"/>
  <c r="G35" i="26" s="1"/>
  <c r="N37" i="26"/>
  <c r="O32" i="26"/>
  <c r="I32" i="26"/>
  <c r="J32" i="26"/>
  <c r="K37" i="26"/>
  <c r="N32" i="26"/>
  <c r="I37" i="26"/>
  <c r="M32" i="26"/>
  <c r="J37" i="26"/>
  <c r="L32" i="26"/>
  <c r="K32" i="26"/>
  <c r="G37" i="26"/>
  <c r="G32" i="26"/>
  <c r="G3" i="26"/>
  <c r="M25" i="26"/>
  <c r="M35" i="26" s="1"/>
  <c r="J25" i="26"/>
  <c r="J35" i="26" s="1"/>
  <c r="K25" i="26"/>
  <c r="K35" i="26" s="1"/>
  <c r="L25" i="26"/>
  <c r="L35" i="26" s="1"/>
  <c r="N25" i="26"/>
  <c r="N35" i="26" s="1"/>
  <c r="K22" i="26"/>
  <c r="K31" i="26" s="1"/>
  <c r="M22" i="26"/>
  <c r="M31" i="26" s="1"/>
  <c r="L22" i="26"/>
  <c r="L31" i="26" s="1"/>
  <c r="J22" i="26"/>
  <c r="J31" i="26" s="1"/>
  <c r="I22" i="26"/>
  <c r="I31" i="26" s="1"/>
  <c r="O22" i="26"/>
  <c r="O31" i="26" s="1"/>
  <c r="N22" i="26"/>
  <c r="N31" i="26" s="1"/>
  <c r="G22" i="26"/>
  <c r="G31" i="26" s="1"/>
  <c r="AE5" i="20"/>
  <c r="J2" i="27" s="1"/>
  <c r="F85" i="27"/>
  <c r="I83" i="27"/>
  <c r="T44" i="20"/>
  <c r="W193" i="20"/>
  <c r="T54" i="20"/>
  <c r="AE7" i="20"/>
  <c r="Z16" i="20"/>
  <c r="AB30" i="20"/>
  <c r="Z8" i="20"/>
  <c r="AB18" i="20"/>
  <c r="Z32" i="20"/>
  <c r="AB9" i="20"/>
  <c r="G4" i="27" s="1"/>
  <c r="AE19" i="20"/>
  <c r="Z33" i="20"/>
  <c r="AB3" i="20"/>
  <c r="AB10" i="20"/>
  <c r="AA20" i="20"/>
  <c r="AB37" i="20"/>
  <c r="Z4" i="20"/>
  <c r="Z12" i="20"/>
  <c r="AB22" i="20"/>
  <c r="AB38" i="20"/>
  <c r="AB5" i="20"/>
  <c r="G2" i="27" s="1"/>
  <c r="AB13" i="20"/>
  <c r="Z24" i="20"/>
  <c r="AA14" i="20"/>
  <c r="Z25" i="20"/>
  <c r="Z7" i="20"/>
  <c r="AB14" i="20"/>
  <c r="AB29" i="20"/>
  <c r="T3" i="20"/>
  <c r="T5" i="20"/>
  <c r="T7" i="20"/>
  <c r="W65" i="20"/>
  <c r="W29" i="20"/>
  <c r="W37" i="20"/>
  <c r="T55" i="20"/>
  <c r="W68" i="20"/>
  <c r="W10" i="20"/>
  <c r="T18" i="20"/>
  <c r="T40" i="20"/>
  <c r="T48" i="20"/>
  <c r="T58" i="20"/>
  <c r="W66" i="20"/>
  <c r="W71" i="20"/>
  <c r="T81" i="20"/>
  <c r="T86" i="20"/>
  <c r="W93" i="20"/>
  <c r="T95" i="20"/>
  <c r="W109" i="20"/>
  <c r="W121" i="20"/>
  <c r="T126" i="20"/>
  <c r="T138" i="20"/>
  <c r="T141" i="20"/>
  <c r="T150" i="20"/>
  <c r="W153" i="20"/>
  <c r="W159" i="20"/>
  <c r="W177" i="20"/>
  <c r="W180" i="20"/>
  <c r="W194" i="20"/>
  <c r="J85" i="27"/>
  <c r="J83" i="27"/>
  <c r="J74" i="27"/>
  <c r="J62" i="27"/>
  <c r="J80" i="27"/>
  <c r="AE8" i="20"/>
  <c r="J5" i="27" s="1"/>
  <c r="AE3" i="20"/>
  <c r="J84" i="27"/>
  <c r="AE37" i="20"/>
  <c r="AE33" i="20"/>
  <c r="AE29" i="20"/>
  <c r="AE25" i="20"/>
  <c r="AE21" i="20"/>
  <c r="AE17" i="20"/>
  <c r="AE13" i="20"/>
  <c r="AE4" i="20"/>
  <c r="AE9" i="20"/>
  <c r="J4" i="27" s="1"/>
  <c r="J45" i="27"/>
  <c r="AE36" i="20"/>
  <c r="AE32" i="20"/>
  <c r="AE28" i="20"/>
  <c r="AE24" i="20"/>
  <c r="Z3" i="20"/>
  <c r="AA5" i="20"/>
  <c r="F2" i="27" s="1"/>
  <c r="AE6" i="20"/>
  <c r="J3" i="27" s="1"/>
  <c r="AA9" i="20"/>
  <c r="F4" i="27" s="1"/>
  <c r="Z11" i="20"/>
  <c r="AA13" i="20"/>
  <c r="AC15" i="20"/>
  <c r="AB17" i="20"/>
  <c r="AD19" i="20"/>
  <c r="AC21" i="20"/>
  <c r="AE23" i="20"/>
  <c r="AC26" i="20"/>
  <c r="AA29" i="20"/>
  <c r="AE31" i="20"/>
  <c r="AC34" i="20"/>
  <c r="AA37" i="20"/>
  <c r="J49" i="27"/>
  <c r="I80" i="27"/>
  <c r="I72" i="27"/>
  <c r="I54" i="27"/>
  <c r="I45" i="27"/>
  <c r="AD36" i="20"/>
  <c r="AD32" i="20"/>
  <c r="I16" i="27" s="1"/>
  <c r="AD28" i="20"/>
  <c r="AD24" i="20"/>
  <c r="AD20" i="20"/>
  <c r="AD16" i="20"/>
  <c r="AD12" i="20"/>
  <c r="I56" i="27"/>
  <c r="AD8" i="20"/>
  <c r="AD3" i="20"/>
  <c r="I62" i="27"/>
  <c r="I84" i="27"/>
  <c r="AD37" i="20"/>
  <c r="AD33" i="20"/>
  <c r="AD29" i="20"/>
  <c r="AD25" i="20"/>
  <c r="AD21" i="20"/>
  <c r="AD17" i="20"/>
  <c r="AD13" i="20"/>
  <c r="I8" i="27" s="1"/>
  <c r="AD4" i="20"/>
  <c r="I63" i="27"/>
  <c r="AA3" i="20"/>
  <c r="AD11" i="20"/>
  <c r="AD15" i="20"/>
  <c r="AC17" i="20"/>
  <c r="AA22" i="20"/>
  <c r="AD26" i="20"/>
  <c r="AD34" i="20"/>
  <c r="I30" i="27"/>
  <c r="I21" i="27"/>
  <c r="E45" i="27"/>
  <c r="H80" i="27"/>
  <c r="H83" i="27"/>
  <c r="H84" i="27"/>
  <c r="H69" i="27"/>
  <c r="H63" i="27"/>
  <c r="AC11" i="20"/>
  <c r="AC7" i="20"/>
  <c r="AC2" i="20"/>
  <c r="H45" i="27"/>
  <c r="AC36" i="20"/>
  <c r="AC32" i="20"/>
  <c r="AC28" i="20"/>
  <c r="AC24" i="20"/>
  <c r="AC20" i="20"/>
  <c r="AC16" i="20"/>
  <c r="AC12" i="20"/>
  <c r="H55" i="27"/>
  <c r="AC8" i="20"/>
  <c r="AC3" i="20"/>
  <c r="H74" i="27"/>
  <c r="H41" i="27"/>
  <c r="H49" i="27"/>
  <c r="H40" i="27"/>
  <c r="AC35" i="20"/>
  <c r="AC31" i="20"/>
  <c r="AC27" i="20"/>
  <c r="AC5" i="20"/>
  <c r="H2" i="27" s="1"/>
  <c r="AD7" i="20"/>
  <c r="AC9" i="20"/>
  <c r="H4" i="27" s="1"/>
  <c r="AE11" i="20"/>
  <c r="AC13" i="20"/>
  <c r="AE15" i="20"/>
  <c r="AA18" i="20"/>
  <c r="Z20" i="20"/>
  <c r="AA24" i="20"/>
  <c r="AE26" i="20"/>
  <c r="AC29" i="20"/>
  <c r="AA32" i="20"/>
  <c r="AE34" i="20"/>
  <c r="J23" i="27" s="1"/>
  <c r="AC37" i="20"/>
  <c r="J21" i="27"/>
  <c r="F45" i="27"/>
  <c r="J60" i="27"/>
  <c r="H82" i="27"/>
  <c r="AD5" i="20"/>
  <c r="I2" i="27" s="1"/>
  <c r="AD9" i="20"/>
  <c r="I4" i="27" s="1"/>
  <c r="AC22" i="20"/>
  <c r="AD27" i="20"/>
  <c r="AD35" i="20"/>
  <c r="I39" i="27"/>
  <c r="I74" i="27"/>
  <c r="J63" i="27"/>
  <c r="AA16" i="20"/>
  <c r="AC18" i="20"/>
  <c r="AE20" i="20"/>
  <c r="J10" i="27" s="1"/>
  <c r="AD22" i="20"/>
  <c r="AA25" i="20"/>
  <c r="AE27" i="20"/>
  <c r="AC30" i="20"/>
  <c r="AA33" i="20"/>
  <c r="AE35" i="20"/>
  <c r="AC38" i="20"/>
  <c r="H24" i="27" s="1"/>
  <c r="H28" i="27"/>
  <c r="J89" i="27"/>
  <c r="J58" i="27"/>
  <c r="H43" i="27"/>
  <c r="E62" i="27"/>
  <c r="W31" i="20"/>
  <c r="T137" i="20"/>
  <c r="W146" i="20"/>
  <c r="W15" i="20"/>
  <c r="W22" i="20"/>
  <c r="T105" i="20"/>
  <c r="T183" i="20"/>
  <c r="T186" i="20"/>
  <c r="F83" i="27"/>
  <c r="F79" i="27"/>
  <c r="F84" i="27"/>
  <c r="F80" i="27"/>
  <c r="F62" i="27"/>
  <c r="F39" i="27"/>
  <c r="F71" i="27"/>
  <c r="AA10" i="20"/>
  <c r="AA6" i="20"/>
  <c r="F3" i="27" s="1"/>
  <c r="F63" i="27"/>
  <c r="F74" i="27"/>
  <c r="F49" i="27"/>
  <c r="F40" i="27"/>
  <c r="AA35" i="20"/>
  <c r="AA31" i="20"/>
  <c r="AA27" i="20"/>
  <c r="AA23" i="20"/>
  <c r="AA19" i="20"/>
  <c r="AA15" i="20"/>
  <c r="F78" i="27"/>
  <c r="AA11" i="20"/>
  <c r="AA7" i="20"/>
  <c r="AA2" i="20"/>
  <c r="F43" i="27"/>
  <c r="F46" i="27"/>
  <c r="F48" i="27"/>
  <c r="F35" i="27"/>
  <c r="F28" i="27"/>
  <c r="F30" i="27"/>
  <c r="AA38" i="20"/>
  <c r="AA34" i="20"/>
  <c r="AA30" i="20"/>
  <c r="AA26" i="20"/>
  <c r="Z2" i="20"/>
  <c r="AA4" i="20"/>
  <c r="AB6" i="20"/>
  <c r="G3" i="27" s="1"/>
  <c r="AA8" i="20"/>
  <c r="AC10" i="20"/>
  <c r="AA12" i="20"/>
  <c r="AC14" i="20"/>
  <c r="AE16" i="20"/>
  <c r="AD18" i="20"/>
  <c r="Z21" i="20"/>
  <c r="E12" i="27" s="1"/>
  <c r="AE22" i="20"/>
  <c r="AB25" i="20"/>
  <c r="Z28" i="20"/>
  <c r="E14" i="27" s="1"/>
  <c r="AD30" i="20"/>
  <c r="AB33" i="20"/>
  <c r="Z36" i="20"/>
  <c r="AD38" i="20"/>
  <c r="I28" i="27"/>
  <c r="E44" i="27"/>
  <c r="G62" i="27"/>
  <c r="H85" i="27"/>
  <c r="W173" i="20"/>
  <c r="W49" i="20"/>
  <c r="W131" i="20"/>
  <c r="W186" i="20"/>
  <c r="W192" i="20"/>
  <c r="G83" i="27"/>
  <c r="G85" i="27"/>
  <c r="G63" i="27"/>
  <c r="G84" i="27"/>
  <c r="G71" i="27"/>
  <c r="G81" i="27"/>
  <c r="G88" i="27"/>
  <c r="G74" i="27"/>
  <c r="G49" i="27"/>
  <c r="G36" i="27"/>
  <c r="AB35" i="20"/>
  <c r="AB31" i="20"/>
  <c r="AB27" i="20"/>
  <c r="AB23" i="20"/>
  <c r="G25" i="27" s="1"/>
  <c r="AB19" i="20"/>
  <c r="AB15" i="20"/>
  <c r="G80" i="27"/>
  <c r="AB11" i="20"/>
  <c r="AB7" i="20"/>
  <c r="AB2" i="20"/>
  <c r="G44" i="27"/>
  <c r="G45" i="27"/>
  <c r="G26" i="27"/>
  <c r="G34" i="27"/>
  <c r="AB36" i="20"/>
  <c r="AB32" i="20"/>
  <c r="G16" i="27" s="1"/>
  <c r="AB28" i="20"/>
  <c r="AB24" i="20"/>
  <c r="AB20" i="20"/>
  <c r="G10" i="27" s="1"/>
  <c r="AB16" i="20"/>
  <c r="AB12" i="20"/>
  <c r="G54" i="27"/>
  <c r="AD2" i="20"/>
  <c r="AB4" i="20"/>
  <c r="AC6" i="20"/>
  <c r="H3" i="27" s="1"/>
  <c r="AB8" i="20"/>
  <c r="G5" i="27" s="1"/>
  <c r="AD10" i="20"/>
  <c r="AE12" i="20"/>
  <c r="J7" i="27" s="1"/>
  <c r="AD14" i="20"/>
  <c r="Z17" i="20"/>
  <c r="AE18" i="20"/>
  <c r="AA21" i="20"/>
  <c r="AC23" i="20"/>
  <c r="H25" i="27" s="1"/>
  <c r="AC25" i="20"/>
  <c r="AA28" i="20"/>
  <c r="F14" i="27" s="1"/>
  <c r="AE30" i="20"/>
  <c r="AC33" i="20"/>
  <c r="AA36" i="20"/>
  <c r="AE38" i="20"/>
  <c r="J28" i="27"/>
  <c r="F37" i="27"/>
  <c r="H61" i="27"/>
  <c r="F44" i="27"/>
  <c r="I18" i="27"/>
  <c r="J71" i="27"/>
  <c r="H62" i="27"/>
  <c r="I85" i="27"/>
  <c r="W73" i="20"/>
  <c r="W135" i="20"/>
  <c r="T173" i="20"/>
  <c r="W185" i="20"/>
  <c r="C2" i="23"/>
  <c r="T97" i="20"/>
  <c r="W138" i="20"/>
  <c r="W38" i="20"/>
  <c r="W100" i="20"/>
  <c r="T188" i="20"/>
  <c r="E80" i="27"/>
  <c r="E87" i="27"/>
  <c r="E74" i="27"/>
  <c r="E59" i="27"/>
  <c r="E55" i="27"/>
  <c r="E85" i="27"/>
  <c r="E83" i="27"/>
  <c r="E63" i="27"/>
  <c r="E88" i="27"/>
  <c r="E67" i="27"/>
  <c r="E43" i="27"/>
  <c r="E84" i="27"/>
  <c r="E21" i="27"/>
  <c r="E28" i="27"/>
  <c r="E30" i="27"/>
  <c r="Z38" i="20"/>
  <c r="Z34" i="20"/>
  <c r="Z30" i="20"/>
  <c r="Z26" i="20"/>
  <c r="Z22" i="20"/>
  <c r="E22" i="27" s="1"/>
  <c r="Z18" i="20"/>
  <c r="Z14" i="20"/>
  <c r="Z5" i="20"/>
  <c r="E2" i="27" s="1"/>
  <c r="Z10" i="20"/>
  <c r="Z6" i="20"/>
  <c r="E3" i="27" s="1"/>
  <c r="E57" i="27"/>
  <c r="E49" i="27"/>
  <c r="E58" i="27"/>
  <c r="E89" i="27"/>
  <c r="E20" i="27"/>
  <c r="Z35" i="20"/>
  <c r="Z31" i="20"/>
  <c r="Z27" i="20"/>
  <c r="Z23" i="20"/>
  <c r="Z19" i="20"/>
  <c r="Z15" i="20"/>
  <c r="AE2" i="20"/>
  <c r="AC4" i="20"/>
  <c r="AD6" i="20"/>
  <c r="I3" i="27" s="1"/>
  <c r="Z9" i="20"/>
  <c r="E4" i="27" s="1"/>
  <c r="AE10" i="20"/>
  <c r="Z13" i="20"/>
  <c r="AE14" i="20"/>
  <c r="AA17" i="20"/>
  <c r="AC19" i="20"/>
  <c r="AB21" i="20"/>
  <c r="AD23" i="20"/>
  <c r="I25" i="27" s="1"/>
  <c r="AB26" i="20"/>
  <c r="Z29" i="20"/>
  <c r="AD31" i="20"/>
  <c r="I15" i="27" s="1"/>
  <c r="AB34" i="20"/>
  <c r="Z37" i="20"/>
  <c r="G30" i="27"/>
  <c r="I38" i="27"/>
  <c r="G21" i="27"/>
  <c r="I33" i="27"/>
  <c r="E52" i="27"/>
  <c r="I49" i="27"/>
  <c r="I65" i="27"/>
  <c r="I41" i="27"/>
  <c r="H54" i="27"/>
  <c r="W174" i="20"/>
  <c r="B2" i="23"/>
  <c r="D2" i="23"/>
  <c r="W55" i="20"/>
  <c r="W52" i="20"/>
  <c r="A2" i="23"/>
  <c r="T16" i="20"/>
  <c r="W27" i="20"/>
  <c r="T36" i="20"/>
  <c r="W47" i="20"/>
  <c r="W48" i="20"/>
  <c r="T62" i="20"/>
  <c r="T77" i="20"/>
  <c r="T88" i="20"/>
  <c r="W94" i="20"/>
  <c r="T99" i="20"/>
  <c r="W102" i="20"/>
  <c r="W115" i="20"/>
  <c r="W116" i="20"/>
  <c r="W125" i="20"/>
  <c r="W126" i="20"/>
  <c r="T134" i="20"/>
  <c r="T142" i="20"/>
  <c r="T162" i="20"/>
  <c r="W184" i="20"/>
  <c r="W191" i="20"/>
  <c r="W199" i="20"/>
  <c r="W5" i="20"/>
  <c r="W16" i="20"/>
  <c r="T25" i="20"/>
  <c r="T43" i="20"/>
  <c r="W45" i="20"/>
  <c r="W46" i="20"/>
  <c r="W58" i="20"/>
  <c r="T64" i="20"/>
  <c r="T65" i="20"/>
  <c r="T69" i="20"/>
  <c r="T80" i="20"/>
  <c r="W87" i="20"/>
  <c r="W89" i="20"/>
  <c r="W90" i="20"/>
  <c r="W98" i="20"/>
  <c r="W99" i="20"/>
  <c r="T104" i="20"/>
  <c r="W106" i="20"/>
  <c r="W114" i="20"/>
  <c r="W129" i="20"/>
  <c r="T130" i="20"/>
  <c r="T131" i="20"/>
  <c r="T132" i="20"/>
  <c r="T133" i="20"/>
  <c r="W134" i="20"/>
  <c r="T146" i="20"/>
  <c r="T157" i="20"/>
  <c r="W158" i="20"/>
  <c r="W169" i="20"/>
  <c r="T180" i="20"/>
  <c r="T181" i="20"/>
  <c r="T182" i="20"/>
  <c r="T194" i="20"/>
  <c r="T196" i="20"/>
  <c r="T6" i="20"/>
  <c r="T9" i="20"/>
  <c r="W19" i="20"/>
  <c r="T30" i="20"/>
  <c r="T32" i="20"/>
  <c r="T34" i="20"/>
  <c r="T49" i="20"/>
  <c r="W69" i="20"/>
  <c r="T72" i="20"/>
  <c r="W80" i="20"/>
  <c r="T83" i="20"/>
  <c r="T84" i="20"/>
  <c r="T85" i="20"/>
  <c r="W86" i="20"/>
  <c r="W122" i="20"/>
  <c r="W148" i="20"/>
  <c r="T151" i="20"/>
  <c r="W157" i="20"/>
  <c r="T171" i="20"/>
  <c r="W172" i="20"/>
  <c r="W182" i="20"/>
  <c r="W188" i="20"/>
  <c r="T193" i="20"/>
  <c r="T195" i="20"/>
  <c r="T11" i="20"/>
  <c r="T38" i="20"/>
  <c r="T39" i="20"/>
  <c r="W40" i="20"/>
  <c r="W44" i="20"/>
  <c r="W67" i="20"/>
  <c r="T120" i="20"/>
  <c r="T127" i="20"/>
  <c r="W128" i="20"/>
  <c r="W130" i="20"/>
  <c r="W133" i="20"/>
  <c r="W145" i="20"/>
  <c r="T155" i="20"/>
  <c r="T176" i="20"/>
  <c r="T179" i="20"/>
  <c r="W196" i="20"/>
  <c r="T200" i="20"/>
  <c r="T201" i="20"/>
  <c r="T8" i="20"/>
  <c r="T13" i="20"/>
  <c r="T17" i="20"/>
  <c r="W18" i="20"/>
  <c r="T27" i="20"/>
  <c r="W33" i="20"/>
  <c r="T47" i="20"/>
  <c r="W50" i="20"/>
  <c r="T53" i="20"/>
  <c r="T59" i="20"/>
  <c r="T60" i="20"/>
  <c r="T61" i="20"/>
  <c r="T78" i="20"/>
  <c r="W79" i="20"/>
  <c r="W84" i="20"/>
  <c r="T92" i="20"/>
  <c r="T115" i="20"/>
  <c r="T123" i="20"/>
  <c r="T124" i="20"/>
  <c r="T125" i="20"/>
  <c r="W127" i="20"/>
  <c r="T140" i="20"/>
  <c r="T143" i="20"/>
  <c r="W155" i="20"/>
  <c r="T159" i="20"/>
  <c r="T160" i="20"/>
  <c r="T161" i="20"/>
  <c r="T177" i="20"/>
  <c r="W179" i="20"/>
  <c r="T184" i="20"/>
  <c r="T190" i="20"/>
  <c r="T191" i="20"/>
  <c r="T199" i="20"/>
  <c r="W201" i="20"/>
  <c r="T163" i="20"/>
  <c r="T164" i="20"/>
  <c r="T169" i="20"/>
  <c r="W175" i="20"/>
  <c r="T198" i="20"/>
  <c r="T2" i="20"/>
  <c r="W14" i="20"/>
  <c r="T4" i="20"/>
  <c r="W8" i="20"/>
  <c r="W11" i="20"/>
  <c r="W12" i="20"/>
  <c r="T14" i="20"/>
  <c r="W7" i="20"/>
  <c r="W28" i="20"/>
  <c r="W21" i="20"/>
  <c r="W26" i="20"/>
  <c r="W3" i="20"/>
  <c r="T12" i="20"/>
  <c r="W17" i="20"/>
  <c r="W25" i="20"/>
  <c r="T31" i="20"/>
  <c r="W62" i="20"/>
  <c r="T87" i="20"/>
  <c r="T56" i="20"/>
  <c r="T63" i="20"/>
  <c r="T22" i="20"/>
  <c r="T67" i="20"/>
  <c r="W74" i="20"/>
  <c r="T79" i="20"/>
  <c r="T76" i="20"/>
  <c r="W39" i="20"/>
  <c r="W51" i="20"/>
  <c r="T96" i="20"/>
  <c r="W108" i="20"/>
  <c r="W70" i="20"/>
  <c r="T102" i="20"/>
  <c r="W103" i="20"/>
  <c r="W78" i="20"/>
  <c r="T108" i="20"/>
  <c r="T111" i="20"/>
  <c r="T116" i="20"/>
  <c r="W123" i="20"/>
  <c r="T91" i="20"/>
  <c r="W112" i="20"/>
  <c r="W120" i="20"/>
  <c r="T75" i="20"/>
  <c r="W113" i="20"/>
  <c r="T139" i="20"/>
  <c r="W144" i="20"/>
  <c r="W142" i="20"/>
  <c r="T156" i="20"/>
  <c r="T154" i="20"/>
  <c r="T174" i="20"/>
  <c r="W171" i="20"/>
  <c r="T172" i="20"/>
  <c r="T185" i="20"/>
  <c r="N9" i="17"/>
  <c r="B24" i="17"/>
  <c r="C24" i="17"/>
  <c r="K29" i="27" l="1"/>
  <c r="I71" i="27"/>
  <c r="J75" i="27"/>
  <c r="H48" i="27"/>
  <c r="K78" i="27"/>
  <c r="K12" i="27"/>
  <c r="K22" i="27"/>
  <c r="G68" i="27"/>
  <c r="G58" i="27"/>
  <c r="G57" i="27"/>
  <c r="I9" i="27"/>
  <c r="J20" i="27"/>
  <c r="K35" i="27"/>
  <c r="K21" i="27"/>
  <c r="K37" i="27"/>
  <c r="E23" i="27"/>
  <c r="H86" i="27"/>
  <c r="G66" i="27"/>
  <c r="G69" i="27"/>
  <c r="H66" i="27"/>
  <c r="J76" i="27"/>
  <c r="J47" i="27"/>
  <c r="H38" i="27"/>
  <c r="J68" i="27"/>
  <c r="K10" i="27"/>
  <c r="K19" i="27"/>
  <c r="K64" i="27"/>
  <c r="K8" i="27"/>
  <c r="K65" i="27"/>
  <c r="K11" i="27"/>
  <c r="K53" i="27"/>
  <c r="K71" i="27"/>
  <c r="K59" i="27"/>
  <c r="F73" i="27"/>
  <c r="F68" i="27"/>
  <c r="F5" i="27"/>
  <c r="F38" i="27"/>
  <c r="F41" i="27"/>
  <c r="F89" i="27"/>
  <c r="F50" i="27"/>
  <c r="H53" i="27"/>
  <c r="J81" i="27"/>
  <c r="I6" i="27"/>
  <c r="G89" i="27"/>
  <c r="G61" i="27"/>
  <c r="I22" i="27"/>
  <c r="H89" i="27"/>
  <c r="H6" i="27"/>
  <c r="F36" i="27"/>
  <c r="F69" i="27"/>
  <c r="F75" i="27"/>
  <c r="F26" i="27"/>
  <c r="F86" i="27"/>
  <c r="E8" i="27"/>
  <c r="E27" i="27"/>
  <c r="E15" i="27"/>
  <c r="E46" i="27"/>
  <c r="E51" i="27"/>
  <c r="E54" i="27"/>
  <c r="E25" i="27"/>
  <c r="E34" i="27"/>
  <c r="E41" i="27"/>
  <c r="E72" i="27"/>
  <c r="E56" i="27"/>
  <c r="J6" i="27"/>
  <c r="J46" i="27"/>
  <c r="J22" i="27"/>
  <c r="J50" i="27"/>
  <c r="J34" i="27"/>
  <c r="J67" i="27"/>
  <c r="J78" i="27"/>
  <c r="J73" i="27"/>
  <c r="J24" i="27"/>
  <c r="J9" i="27"/>
  <c r="J40" i="27"/>
  <c r="F31" i="27"/>
  <c r="F52" i="27"/>
  <c r="J38" i="27"/>
  <c r="H17" i="27"/>
  <c r="J19" i="27"/>
  <c r="H29" i="27"/>
  <c r="H31" i="27"/>
  <c r="H73" i="27"/>
  <c r="J11" i="27"/>
  <c r="G33" i="27"/>
  <c r="H59" i="27"/>
  <c r="I11" i="27"/>
  <c r="J41" i="27"/>
  <c r="H30" i="27"/>
  <c r="J26" i="27"/>
  <c r="J51" i="27"/>
  <c r="J72" i="27"/>
  <c r="E24" i="27"/>
  <c r="G7" i="27"/>
  <c r="J66" i="27"/>
  <c r="I24" i="27"/>
  <c r="F18" i="27"/>
  <c r="I66" i="27"/>
  <c r="H9" i="27"/>
  <c r="H22" i="27"/>
  <c r="H52" i="27"/>
  <c r="J17" i="27"/>
  <c r="H76" i="27"/>
  <c r="H16" i="27"/>
  <c r="H65" i="27"/>
  <c r="I23" i="27"/>
  <c r="I57" i="27"/>
  <c r="I76" i="27"/>
  <c r="I50" i="27"/>
  <c r="J37" i="27"/>
  <c r="J88" i="27"/>
  <c r="J86" i="27"/>
  <c r="J82" i="27"/>
  <c r="J57" i="27"/>
  <c r="J69" i="27"/>
  <c r="E7" i="27"/>
  <c r="E18" i="27"/>
  <c r="E77" i="27"/>
  <c r="E69" i="27"/>
  <c r="G20" i="27"/>
  <c r="G42" i="27"/>
  <c r="F17" i="27"/>
  <c r="F33" i="27"/>
  <c r="F51" i="27"/>
  <c r="I67" i="27"/>
  <c r="H44" i="27"/>
  <c r="H64" i="27"/>
  <c r="H77" i="27"/>
  <c r="I60" i="27"/>
  <c r="I17" i="27"/>
  <c r="I7" i="27"/>
  <c r="I64" i="27"/>
  <c r="F11" i="27"/>
  <c r="J31" i="27"/>
  <c r="J54" i="27"/>
  <c r="F34" i="27"/>
  <c r="E6" i="27"/>
  <c r="E82" i="27"/>
  <c r="G39" i="27"/>
  <c r="J30" i="27"/>
  <c r="J70" i="27"/>
  <c r="G60" i="27"/>
  <c r="G12" i="27"/>
  <c r="F72" i="27"/>
  <c r="G72" i="27"/>
  <c r="H50" i="27"/>
  <c r="I20" i="27"/>
  <c r="E65" i="27"/>
  <c r="E35" i="27"/>
  <c r="E32" i="27"/>
  <c r="E17" i="27"/>
  <c r="E39" i="27"/>
  <c r="H42" i="27"/>
  <c r="G13" i="27"/>
  <c r="G31" i="27"/>
  <c r="H18" i="27"/>
  <c r="F7" i="27"/>
  <c r="F88" i="27"/>
  <c r="G18" i="27"/>
  <c r="H33" i="27"/>
  <c r="I37" i="27"/>
  <c r="I79" i="27"/>
  <c r="J15" i="27"/>
  <c r="F8" i="27"/>
  <c r="G17" i="27"/>
  <c r="F25" i="27"/>
  <c r="I31" i="27"/>
  <c r="J18" i="27"/>
  <c r="G11" i="27"/>
  <c r="H32" i="26"/>
  <c r="G76" i="27"/>
  <c r="G50" i="27"/>
  <c r="G67" i="27"/>
  <c r="E11" i="27"/>
  <c r="E40" i="27"/>
  <c r="I36" i="27"/>
  <c r="G23" i="27"/>
  <c r="E36" i="27"/>
  <c r="E73" i="27"/>
  <c r="E75" i="27"/>
  <c r="J35" i="27"/>
  <c r="H19" i="27"/>
  <c r="G64" i="27"/>
  <c r="G14" i="27"/>
  <c r="G40" i="27"/>
  <c r="G41" i="27"/>
  <c r="G79" i="27"/>
  <c r="J59" i="27"/>
  <c r="I46" i="27"/>
  <c r="F24" i="27"/>
  <c r="F47" i="27"/>
  <c r="F54" i="27"/>
  <c r="F59" i="27"/>
  <c r="H46" i="27"/>
  <c r="E86" i="27"/>
  <c r="I40" i="27"/>
  <c r="I87" i="27"/>
  <c r="I32" i="27"/>
  <c r="J48" i="27"/>
  <c r="H11" i="27"/>
  <c r="H58" i="27"/>
  <c r="H5" i="27"/>
  <c r="H26" i="27"/>
  <c r="H78" i="27"/>
  <c r="H72" i="27"/>
  <c r="H71" i="27"/>
  <c r="H56" i="27"/>
  <c r="I73" i="27"/>
  <c r="E31" i="27"/>
  <c r="I42" i="27"/>
  <c r="I55" i="27"/>
  <c r="I13" i="27"/>
  <c r="I69" i="27"/>
  <c r="I88" i="27"/>
  <c r="H21" i="27"/>
  <c r="F27" i="27"/>
  <c r="J44" i="27"/>
  <c r="J27" i="27"/>
  <c r="J64" i="27"/>
  <c r="J77" i="27"/>
  <c r="E61" i="27"/>
  <c r="G70" i="27"/>
  <c r="E29" i="27"/>
  <c r="E60" i="27"/>
  <c r="G56" i="27"/>
  <c r="E68" i="27"/>
  <c r="H8" i="27"/>
  <c r="H20" i="27"/>
  <c r="H10" i="27"/>
  <c r="H37" i="27"/>
  <c r="I27" i="27"/>
  <c r="I14" i="27"/>
  <c r="I75" i="27"/>
  <c r="E76" i="27"/>
  <c r="J61" i="27"/>
  <c r="E42" i="27"/>
  <c r="F10" i="27"/>
  <c r="G46" i="27"/>
  <c r="I70" i="27"/>
  <c r="E33" i="27"/>
  <c r="E50" i="27"/>
  <c r="G59" i="27"/>
  <c r="G82" i="27"/>
  <c r="J43" i="27"/>
  <c r="F57" i="27"/>
  <c r="F82" i="27"/>
  <c r="F87" i="27"/>
  <c r="F61" i="27"/>
  <c r="G53" i="27"/>
  <c r="F16" i="27"/>
  <c r="H39" i="27"/>
  <c r="H51" i="27"/>
  <c r="H13" i="27"/>
  <c r="H32" i="27"/>
  <c r="E26" i="27"/>
  <c r="I19" i="27"/>
  <c r="I61" i="27"/>
  <c r="I68" i="27"/>
  <c r="I59" i="27"/>
  <c r="I43" i="27"/>
  <c r="I81" i="27"/>
  <c r="G73" i="27"/>
  <c r="F67" i="27"/>
  <c r="H60" i="27"/>
  <c r="J25" i="27"/>
  <c r="J52" i="27"/>
  <c r="G27" i="27"/>
  <c r="E66" i="27"/>
  <c r="G24" i="27"/>
  <c r="G6" i="27"/>
  <c r="E70" i="27"/>
  <c r="H22" i="26"/>
  <c r="H31" i="26" s="1"/>
  <c r="H4" i="26"/>
  <c r="G55" i="27"/>
  <c r="G15" i="27"/>
  <c r="F21" i="27"/>
  <c r="H27" i="27"/>
  <c r="H14" i="27"/>
  <c r="H81" i="27"/>
  <c r="H68" i="27"/>
  <c r="F53" i="27"/>
  <c r="I52" i="27"/>
  <c r="I44" i="27"/>
  <c r="J33" i="27"/>
  <c r="H12" i="27"/>
  <c r="G22" i="27"/>
  <c r="E16" i="27"/>
  <c r="E78" i="27"/>
  <c r="F70" i="27"/>
  <c r="H79" i="27"/>
  <c r="J8" i="27"/>
  <c r="G9" i="27"/>
  <c r="H70" i="27"/>
  <c r="F15" i="27"/>
  <c r="F6" i="27"/>
  <c r="F77" i="27"/>
  <c r="E71" i="27"/>
  <c r="F42" i="27"/>
  <c r="F13" i="27"/>
  <c r="H36" i="27"/>
  <c r="I5" i="27"/>
  <c r="I34" i="27"/>
  <c r="I77" i="27"/>
  <c r="G87" i="27"/>
  <c r="G32" i="27"/>
  <c r="J13" i="27"/>
  <c r="J55" i="27"/>
  <c r="J53" i="27"/>
  <c r="J87" i="27"/>
  <c r="G43" i="27"/>
  <c r="E13" i="27"/>
  <c r="G29" i="27"/>
  <c r="E5" i="27"/>
  <c r="E9" i="27"/>
  <c r="E38" i="27"/>
  <c r="G37" i="27"/>
  <c r="G86" i="27"/>
  <c r="I35" i="27"/>
  <c r="G19" i="27"/>
  <c r="F81" i="27"/>
  <c r="F58" i="27"/>
  <c r="F65" i="27"/>
  <c r="F55" i="27"/>
  <c r="J39" i="27"/>
  <c r="H35" i="27"/>
  <c r="F19" i="27"/>
  <c r="I58" i="27"/>
  <c r="E81" i="27"/>
  <c r="E10" i="27"/>
  <c r="H47" i="27"/>
  <c r="F76" i="27"/>
  <c r="F22" i="27"/>
  <c r="I82" i="27"/>
  <c r="I53" i="27"/>
  <c r="I26" i="27"/>
  <c r="I78" i="27"/>
  <c r="I47" i="27"/>
  <c r="J36" i="27"/>
  <c r="H23" i="27"/>
  <c r="J14" i="27"/>
  <c r="J12" i="27"/>
  <c r="J29" i="27"/>
  <c r="J56" i="27"/>
  <c r="J79" i="27"/>
  <c r="G8" i="27"/>
  <c r="E19" i="27"/>
  <c r="G52" i="27"/>
  <c r="H87" i="27"/>
  <c r="H37" i="26"/>
  <c r="H36" i="26" s="1"/>
  <c r="E47" i="27"/>
  <c r="F12" i="27"/>
  <c r="F32" i="27"/>
  <c r="G48" i="27"/>
  <c r="E64" i="27"/>
  <c r="E48" i="27"/>
  <c r="E79" i="27"/>
  <c r="G65" i="27"/>
  <c r="G38" i="27"/>
  <c r="G47" i="27"/>
  <c r="G77" i="27"/>
  <c r="G78" i="27"/>
  <c r="G75" i="27"/>
  <c r="E37" i="27"/>
  <c r="F23" i="27"/>
  <c r="F60" i="27"/>
  <c r="F20" i="27"/>
  <c r="F64" i="27"/>
  <c r="F66" i="27"/>
  <c r="F56" i="27"/>
  <c r="I89" i="27"/>
  <c r="G51" i="27"/>
  <c r="F9" i="27"/>
  <c r="H15" i="27"/>
  <c r="H7" i="27"/>
  <c r="H34" i="27"/>
  <c r="H57" i="27"/>
  <c r="H88" i="27"/>
  <c r="H75" i="27"/>
  <c r="H67" i="27"/>
  <c r="I48" i="27"/>
  <c r="I12" i="27"/>
  <c r="I29" i="27"/>
  <c r="I51" i="27"/>
  <c r="I10" i="27"/>
  <c r="I86" i="27"/>
  <c r="E53" i="27"/>
  <c r="F29" i="27"/>
  <c r="J16" i="27"/>
  <c r="J42" i="27"/>
  <c r="J32" i="27"/>
  <c r="J65" i="27"/>
  <c r="G35" i="27"/>
  <c r="G28" i="27"/>
  <c r="AQ39" i="20"/>
  <c r="AQ193" i="20"/>
  <c r="O36" i="26"/>
  <c r="L36" i="26"/>
  <c r="J33" i="26"/>
  <c r="N33" i="26"/>
  <c r="K33" i="26"/>
  <c r="O33" i="26"/>
  <c r="M33" i="26"/>
  <c r="L33" i="26"/>
  <c r="I33" i="26"/>
  <c r="K36" i="26"/>
  <c r="I36" i="26"/>
  <c r="N36" i="26"/>
  <c r="M36" i="26"/>
  <c r="G36" i="26"/>
  <c r="G33" i="26"/>
  <c r="J36" i="26"/>
  <c r="E2" i="23"/>
  <c r="X37" i="20"/>
  <c r="F2" i="23"/>
  <c r="AJ54" i="20"/>
  <c r="C109" i="17"/>
  <c r="B53" i="17"/>
  <c r="C53" i="17"/>
  <c r="C81" i="17"/>
  <c r="B109" i="17"/>
  <c r="B81" i="17"/>
  <c r="AG193" i="20" l="1"/>
  <c r="AM193" i="20"/>
  <c r="AL193" i="20"/>
  <c r="AJ193" i="20" s="1"/>
  <c r="AN193" i="20"/>
  <c r="AH193" i="20"/>
  <c r="AI193" i="20" s="1"/>
  <c r="AO193" i="20"/>
  <c r="AK193" i="20" s="1"/>
  <c r="AM54" i="20"/>
  <c r="AQ54" i="20"/>
  <c r="H33" i="26"/>
  <c r="X12" i="20"/>
  <c r="X23" i="20"/>
  <c r="X2" i="20"/>
  <c r="X6" i="20"/>
  <c r="C3" i="27" s="1"/>
  <c r="C34" i="27"/>
  <c r="X10" i="20"/>
  <c r="X8" i="20"/>
  <c r="X34" i="20"/>
  <c r="X29" i="20"/>
  <c r="C49" i="27"/>
  <c r="X11" i="20"/>
  <c r="C79" i="27"/>
  <c r="X3" i="20"/>
  <c r="X33" i="20"/>
  <c r="X14" i="20"/>
  <c r="X27" i="20"/>
  <c r="X13" i="20"/>
  <c r="X18" i="20"/>
  <c r="C45" i="27"/>
  <c r="C11" i="27"/>
  <c r="X38" i="20"/>
  <c r="C36" i="27" s="1"/>
  <c r="C81" i="27"/>
  <c r="X17" i="20"/>
  <c r="X5" i="20"/>
  <c r="X36" i="20"/>
  <c r="X26" i="20"/>
  <c r="C17" i="27" s="1"/>
  <c r="X9" i="20"/>
  <c r="C4" i="27" s="1"/>
  <c r="C71" i="27"/>
  <c r="C83" i="27"/>
  <c r="X22" i="20"/>
  <c r="C22" i="27" s="1"/>
  <c r="X16" i="20"/>
  <c r="C48" i="27"/>
  <c r="X25" i="20"/>
  <c r="C20" i="27"/>
  <c r="C29" i="27"/>
  <c r="C84" i="27"/>
  <c r="X28" i="20"/>
  <c r="C14" i="27" s="1"/>
  <c r="X4" i="20"/>
  <c r="C26" i="27"/>
  <c r="X7" i="20"/>
  <c r="X32" i="20"/>
  <c r="C33" i="27" s="1"/>
  <c r="X24" i="20"/>
  <c r="X20" i="20"/>
  <c r="C10" i="27" s="1"/>
  <c r="X31" i="20"/>
  <c r="C53" i="27"/>
  <c r="X21" i="20"/>
  <c r="X15" i="20"/>
  <c r="C6" i="27" s="1"/>
  <c r="X19" i="20"/>
  <c r="C74" i="27"/>
  <c r="X35" i="20"/>
  <c r="C28" i="27" s="1"/>
  <c r="C85" i="27"/>
  <c r="C80" i="27"/>
  <c r="X30" i="20"/>
  <c r="C65" i="27"/>
  <c r="Y15" i="20"/>
  <c r="Y3" i="20"/>
  <c r="AO3" i="20" s="1"/>
  <c r="AK3" i="20" s="1"/>
  <c r="Y5" i="20"/>
  <c r="D2" i="27" s="1"/>
  <c r="Y16" i="20"/>
  <c r="D62" i="27"/>
  <c r="D63" i="27"/>
  <c r="AH148" i="20"/>
  <c r="AN157" i="20"/>
  <c r="AH115" i="20"/>
  <c r="AN175" i="20"/>
  <c r="AN121" i="20"/>
  <c r="Y33" i="20"/>
  <c r="D45" i="27"/>
  <c r="AG125" i="20"/>
  <c r="AO171" i="20"/>
  <c r="AK171" i="20" s="1"/>
  <c r="Y38" i="20"/>
  <c r="Y31" i="20"/>
  <c r="AN108" i="20"/>
  <c r="AN199" i="20"/>
  <c r="D83" i="27"/>
  <c r="Y27" i="20"/>
  <c r="D85" i="27"/>
  <c r="Y21" i="20"/>
  <c r="Y29" i="20"/>
  <c r="Y28" i="20"/>
  <c r="Y10" i="20"/>
  <c r="Y37" i="20"/>
  <c r="AH182" i="20"/>
  <c r="Y7" i="20"/>
  <c r="D40" i="27"/>
  <c r="Y8" i="20"/>
  <c r="D84" i="27"/>
  <c r="AO194" i="20"/>
  <c r="AK194" i="20" s="1"/>
  <c r="Y11" i="20"/>
  <c r="AL100" i="20"/>
  <c r="AG100" i="20"/>
  <c r="AO100" i="20"/>
  <c r="AK100" i="20" s="1"/>
  <c r="AM100" i="20"/>
  <c r="AN100" i="20"/>
  <c r="AQ100" i="20"/>
  <c r="Y26" i="20"/>
  <c r="Y17" i="20"/>
  <c r="Y12" i="20"/>
  <c r="Y19" i="20"/>
  <c r="Y24" i="20"/>
  <c r="AN105" i="20"/>
  <c r="Y30" i="20"/>
  <c r="Y2" i="20"/>
  <c r="Y4" i="20"/>
  <c r="Y34" i="20"/>
  <c r="D35" i="27"/>
  <c r="AN167" i="20"/>
  <c r="Y6" i="20"/>
  <c r="AH165" i="20"/>
  <c r="D87" i="27"/>
  <c r="Y23" i="20"/>
  <c r="AM181" i="20"/>
  <c r="Y20" i="20"/>
  <c r="AH97" i="20"/>
  <c r="AN63" i="20"/>
  <c r="AL168" i="20"/>
  <c r="AN162" i="20"/>
  <c r="D74" i="27"/>
  <c r="AG176" i="20"/>
  <c r="Y35" i="20"/>
  <c r="D80" i="27"/>
  <c r="AO170" i="20"/>
  <c r="AK170" i="20" s="1"/>
  <c r="Y9" i="20"/>
  <c r="D4" i="27" s="1"/>
  <c r="Y13" i="20"/>
  <c r="Y36" i="20"/>
  <c r="Y32" i="20"/>
  <c r="AM82" i="20"/>
  <c r="Y18" i="20"/>
  <c r="AH192" i="20"/>
  <c r="Y14" i="20"/>
  <c r="AG14" i="20" s="1"/>
  <c r="AQ62" i="20"/>
  <c r="Y22" i="20"/>
  <c r="Y25" i="20"/>
  <c r="J81" i="17"/>
  <c r="J53" i="17"/>
  <c r="J109" i="17"/>
  <c r="H53" i="17"/>
  <c r="H81" i="17"/>
  <c r="I109" i="17"/>
  <c r="E81" i="17"/>
  <c r="I53" i="17"/>
  <c r="D81" i="17"/>
  <c r="F53" i="17"/>
  <c r="D109" i="17"/>
  <c r="G53" i="17"/>
  <c r="G109" i="17"/>
  <c r="E53" i="17"/>
  <c r="G81" i="17"/>
  <c r="I81" i="17"/>
  <c r="D53" i="17"/>
  <c r="F109" i="17"/>
  <c r="H109" i="17"/>
  <c r="E109" i="17"/>
  <c r="F81" i="17"/>
  <c r="H24" i="17"/>
  <c r="F24" i="17"/>
  <c r="G24" i="17"/>
  <c r="D24" i="17"/>
  <c r="I24" i="17"/>
  <c r="E24" i="17"/>
  <c r="D18" i="27" l="1"/>
  <c r="D47" i="27"/>
  <c r="D88" i="27"/>
  <c r="C41" i="27"/>
  <c r="AO188" i="20"/>
  <c r="AK188" i="20" s="1"/>
  <c r="AL54" i="20"/>
  <c r="AN54" i="20"/>
  <c r="AM39" i="20"/>
  <c r="AH39" i="20"/>
  <c r="AO39" i="20"/>
  <c r="AK39" i="20" s="1"/>
  <c r="AN39" i="20"/>
  <c r="AJ39" i="20" s="1"/>
  <c r="AG39" i="20"/>
  <c r="AL39" i="20"/>
  <c r="D9" i="27"/>
  <c r="D37" i="27"/>
  <c r="AH54" i="20"/>
  <c r="AG54" i="20"/>
  <c r="AO54" i="20"/>
  <c r="AK54" i="20" s="1"/>
  <c r="D42" i="27"/>
  <c r="D48" i="27"/>
  <c r="D64" i="27"/>
  <c r="D56" i="27"/>
  <c r="D66" i="27"/>
  <c r="D12" i="27"/>
  <c r="D10" i="27"/>
  <c r="D71" i="27"/>
  <c r="D43" i="27"/>
  <c r="D59" i="27"/>
  <c r="D61" i="27"/>
  <c r="D89" i="27"/>
  <c r="D13" i="27"/>
  <c r="C88" i="27"/>
  <c r="C55" i="27"/>
  <c r="C64" i="27"/>
  <c r="C66" i="27"/>
  <c r="C72" i="27"/>
  <c r="AN138" i="20"/>
  <c r="C40" i="27"/>
  <c r="C69" i="27"/>
  <c r="C86" i="27"/>
  <c r="C76" i="27"/>
  <c r="AO128" i="20"/>
  <c r="AK128" i="20" s="1"/>
  <c r="C87" i="27"/>
  <c r="C18" i="27"/>
  <c r="C59" i="27"/>
  <c r="AH132" i="20"/>
  <c r="AM136" i="20"/>
  <c r="AM184" i="20"/>
  <c r="C13" i="27"/>
  <c r="C57" i="27"/>
  <c r="C39" i="27"/>
  <c r="C9" i="27"/>
  <c r="C27" i="27"/>
  <c r="C52" i="27"/>
  <c r="AL109" i="20"/>
  <c r="AN115" i="20"/>
  <c r="AH100" i="20"/>
  <c r="C46" i="27"/>
  <c r="AL200" i="20"/>
  <c r="C15" i="27"/>
  <c r="C37" i="27"/>
  <c r="C25" i="27"/>
  <c r="D50" i="27"/>
  <c r="D24" i="27"/>
  <c r="D55" i="27"/>
  <c r="C44" i="27"/>
  <c r="C78" i="27"/>
  <c r="C51" i="27"/>
  <c r="C82" i="27"/>
  <c r="C89" i="27"/>
  <c r="C77" i="27"/>
  <c r="C70" i="27"/>
  <c r="D65" i="27"/>
  <c r="D21" i="27"/>
  <c r="D69" i="27"/>
  <c r="C42" i="27"/>
  <c r="C19" i="27"/>
  <c r="C5" i="27"/>
  <c r="C73" i="27"/>
  <c r="D22" i="27"/>
  <c r="D30" i="27"/>
  <c r="D31" i="27"/>
  <c r="D51" i="27"/>
  <c r="D58" i="27"/>
  <c r="D54" i="27"/>
  <c r="C12" i="27"/>
  <c r="C30" i="27"/>
  <c r="C38" i="27"/>
  <c r="C68" i="27"/>
  <c r="D20" i="27"/>
  <c r="D41" i="27"/>
  <c r="C67" i="27"/>
  <c r="C35" i="27"/>
  <c r="D70" i="27"/>
  <c r="C56" i="27"/>
  <c r="C75" i="27"/>
  <c r="D32" i="27"/>
  <c r="C61" i="27"/>
  <c r="D26" i="27"/>
  <c r="D15" i="27"/>
  <c r="C60" i="27"/>
  <c r="C16" i="27"/>
  <c r="C47" i="27"/>
  <c r="C58" i="27"/>
  <c r="C32" i="27"/>
  <c r="C8" i="27"/>
  <c r="C43" i="27"/>
  <c r="C23" i="27"/>
  <c r="C31" i="27"/>
  <c r="C7" i="27"/>
  <c r="AL169" i="20"/>
  <c r="AH199" i="20"/>
  <c r="AQ89" i="20"/>
  <c r="AO19" i="20"/>
  <c r="AK19" i="20" s="1"/>
  <c r="AN164" i="20"/>
  <c r="AQ121" i="20"/>
  <c r="AG121" i="20"/>
  <c r="AM146" i="20"/>
  <c r="AO17" i="20"/>
  <c r="AK17" i="20" s="1"/>
  <c r="AG77" i="20"/>
  <c r="D53" i="27"/>
  <c r="AQ55" i="20"/>
  <c r="D29" i="27"/>
  <c r="AG66" i="20"/>
  <c r="AG104" i="20"/>
  <c r="D76" i="27"/>
  <c r="AG107" i="20"/>
  <c r="D78" i="27"/>
  <c r="AG158" i="20"/>
  <c r="D77" i="27"/>
  <c r="AH10" i="20"/>
  <c r="D6" i="27"/>
  <c r="AO65" i="20"/>
  <c r="AK65" i="20" s="1"/>
  <c r="D33" i="27"/>
  <c r="AH68" i="20"/>
  <c r="D60" i="27"/>
  <c r="AG45" i="20"/>
  <c r="D34" i="27"/>
  <c r="AQ73" i="20"/>
  <c r="D49" i="27"/>
  <c r="AQ144" i="20"/>
  <c r="AN186" i="20"/>
  <c r="AH46" i="20"/>
  <c r="AQ51" i="20"/>
  <c r="C21" i="27"/>
  <c r="AG28" i="20"/>
  <c r="D14" i="27"/>
  <c r="AH13" i="20"/>
  <c r="D8" i="27"/>
  <c r="AQ23" i="20"/>
  <c r="D25" i="27"/>
  <c r="AM37" i="20"/>
  <c r="D11" i="27"/>
  <c r="AQ116" i="20"/>
  <c r="D86" i="27"/>
  <c r="AQ12" i="20"/>
  <c r="D7" i="27"/>
  <c r="AN34" i="20"/>
  <c r="D23" i="27"/>
  <c r="AG148" i="20"/>
  <c r="AM188" i="20"/>
  <c r="AH92" i="20"/>
  <c r="D72" i="27"/>
  <c r="AN51" i="20"/>
  <c r="AM148" i="20"/>
  <c r="AN130" i="20"/>
  <c r="AH185" i="20"/>
  <c r="AM70" i="20"/>
  <c r="D44" i="27"/>
  <c r="AN99" i="20"/>
  <c r="D67" i="27"/>
  <c r="AM33" i="20"/>
  <c r="D19" i="27"/>
  <c r="AO86" i="20"/>
  <c r="AK86" i="20" s="1"/>
  <c r="AL98" i="20"/>
  <c r="C54" i="27"/>
  <c r="AQ6" i="20"/>
  <c r="D3" i="27"/>
  <c r="AH47" i="20"/>
  <c r="D28" i="27"/>
  <c r="AM72" i="20"/>
  <c r="D46" i="27"/>
  <c r="AH55" i="20"/>
  <c r="AN133" i="20"/>
  <c r="C62" i="27"/>
  <c r="AM137" i="20"/>
  <c r="D81" i="27"/>
  <c r="AM32" i="20"/>
  <c r="D16" i="27"/>
  <c r="AQ95" i="20"/>
  <c r="D57" i="27"/>
  <c r="AO147" i="20"/>
  <c r="AK147" i="20" s="1"/>
  <c r="D68" i="27"/>
  <c r="AG57" i="20"/>
  <c r="D36" i="27"/>
  <c r="AO8" i="20"/>
  <c r="AK8" i="20" s="1"/>
  <c r="D5" i="27"/>
  <c r="AM179" i="20"/>
  <c r="AQ29" i="20"/>
  <c r="D27" i="27"/>
  <c r="AN78" i="20"/>
  <c r="D39" i="27"/>
  <c r="AM129" i="20"/>
  <c r="C50" i="27"/>
  <c r="AL5" i="20"/>
  <c r="C2" i="27"/>
  <c r="AN38" i="20"/>
  <c r="C24" i="27"/>
  <c r="AH145" i="20"/>
  <c r="C63" i="27"/>
  <c r="AM26" i="20"/>
  <c r="D17" i="27"/>
  <c r="AL48" i="20"/>
  <c r="D38" i="27"/>
  <c r="AM36" i="20"/>
  <c r="AM198" i="20"/>
  <c r="D75" i="27"/>
  <c r="AM178" i="20"/>
  <c r="D79" i="27"/>
  <c r="AH143" i="20"/>
  <c r="D73" i="27"/>
  <c r="AM55" i="20"/>
  <c r="AO179" i="20"/>
  <c r="AK179" i="20" s="1"/>
  <c r="AQ114" i="20"/>
  <c r="D82" i="27"/>
  <c r="AM71" i="20"/>
  <c r="D52" i="27"/>
  <c r="AM88" i="20"/>
  <c r="AN94" i="20"/>
  <c r="AM49" i="20"/>
  <c r="AO145" i="20"/>
  <c r="AK145" i="20" s="1"/>
  <c r="AH120" i="20"/>
  <c r="AH129" i="20"/>
  <c r="AG38" i="20"/>
  <c r="AQ102" i="20"/>
  <c r="AQ189" i="20"/>
  <c r="AN5" i="20"/>
  <c r="AJ5" i="20" s="1"/>
  <c r="AG5" i="20"/>
  <c r="AM5" i="20"/>
  <c r="AL186" i="20"/>
  <c r="AL141" i="20"/>
  <c r="AH51" i="20"/>
  <c r="AN53" i="20"/>
  <c r="AO186" i="20"/>
  <c r="AK186" i="20" s="1"/>
  <c r="AG177" i="20"/>
  <c r="AL74" i="20"/>
  <c r="AH153" i="20"/>
  <c r="AH5" i="20"/>
  <c r="AM7" i="20"/>
  <c r="AM16" i="20"/>
  <c r="AN173" i="20"/>
  <c r="AQ196" i="20"/>
  <c r="AO122" i="20"/>
  <c r="AK122" i="20" s="1"/>
  <c r="AL84" i="20"/>
  <c r="AG133" i="20"/>
  <c r="AM20" i="20"/>
  <c r="AG83" i="20"/>
  <c r="AM186" i="20"/>
  <c r="AG51" i="20"/>
  <c r="AH123" i="20"/>
  <c r="AN159" i="20"/>
  <c r="AH135" i="20"/>
  <c r="AQ179" i="20"/>
  <c r="AG98" i="20"/>
  <c r="AN174" i="20"/>
  <c r="AH98" i="20"/>
  <c r="AL144" i="20"/>
  <c r="AO69" i="20"/>
  <c r="AK69" i="20" s="1"/>
  <c r="AM98" i="20"/>
  <c r="AN98" i="20"/>
  <c r="AO93" i="20"/>
  <c r="AK93" i="20" s="1"/>
  <c r="AO89" i="20"/>
  <c r="AK89" i="20" s="1"/>
  <c r="AL121" i="20"/>
  <c r="AQ199" i="20"/>
  <c r="AN188" i="20"/>
  <c r="AO173" i="20"/>
  <c r="AK173" i="20" s="1"/>
  <c r="AG74" i="20"/>
  <c r="AO121" i="20"/>
  <c r="AK121" i="20" s="1"/>
  <c r="AO199" i="20"/>
  <c r="AK199" i="20" s="1"/>
  <c r="AQ173" i="20"/>
  <c r="AM29" i="20"/>
  <c r="AL199" i="20"/>
  <c r="AG94" i="20"/>
  <c r="AN29" i="20"/>
  <c r="AL38" i="20"/>
  <c r="AQ2" i="20"/>
  <c r="AG29" i="20"/>
  <c r="AM125" i="20"/>
  <c r="AN70" i="20"/>
  <c r="AG92" i="20"/>
  <c r="AI92" i="20" s="1"/>
  <c r="AO114" i="20"/>
  <c r="AK114" i="20" s="1"/>
  <c r="AH29" i="20"/>
  <c r="AL29" i="20"/>
  <c r="AM45" i="20"/>
  <c r="AH99" i="20"/>
  <c r="AO16" i="20"/>
  <c r="AK16" i="20" s="1"/>
  <c r="AM123" i="20"/>
  <c r="AO29" i="20"/>
  <c r="AK29" i="20" s="1"/>
  <c r="AL33" i="20"/>
  <c r="AH16" i="20"/>
  <c r="AG99" i="20"/>
  <c r="AM175" i="20"/>
  <c r="AL175" i="20"/>
  <c r="AN71" i="20"/>
  <c r="AO175" i="20"/>
  <c r="AK175" i="20" s="1"/>
  <c r="AG71" i="20"/>
  <c r="AH175" i="20"/>
  <c r="AH114" i="20"/>
  <c r="AL129" i="20"/>
  <c r="AH8" i="20"/>
  <c r="AL114" i="20"/>
  <c r="AQ125" i="20"/>
  <c r="AN10" i="20"/>
  <c r="AN125" i="20"/>
  <c r="AL125" i="20"/>
  <c r="AQ71" i="20"/>
  <c r="AN45" i="20"/>
  <c r="AH173" i="20"/>
  <c r="AH133" i="20"/>
  <c r="AI133" i="20" s="1"/>
  <c r="AQ123" i="20"/>
  <c r="AH121" i="20"/>
  <c r="AG114" i="20"/>
  <c r="AO73" i="20"/>
  <c r="AK73" i="20" s="1"/>
  <c r="AN37" i="20"/>
  <c r="AG86" i="20"/>
  <c r="AO38" i="20"/>
  <c r="AK38" i="20" s="1"/>
  <c r="AM199" i="20"/>
  <c r="AG102" i="20"/>
  <c r="AL173" i="20"/>
  <c r="AM38" i="20"/>
  <c r="AQ109" i="20"/>
  <c r="AM173" i="20"/>
  <c r="AM133" i="20"/>
  <c r="AO123" i="20"/>
  <c r="AK123" i="20" s="1"/>
  <c r="AM121" i="20"/>
  <c r="AN114" i="20"/>
  <c r="AN73" i="20"/>
  <c r="AG37" i="20"/>
  <c r="AQ86" i="20"/>
  <c r="AH38" i="20"/>
  <c r="AL135" i="20"/>
  <c r="AO138" i="20"/>
  <c r="AK138" i="20" s="1"/>
  <c r="AN102" i="20"/>
  <c r="AH33" i="20"/>
  <c r="AG173" i="20"/>
  <c r="AO133" i="20"/>
  <c r="AK133" i="20" s="1"/>
  <c r="AM114" i="20"/>
  <c r="AM73" i="20"/>
  <c r="AQ184" i="20"/>
  <c r="AN86" i="20"/>
  <c r="AM144" i="20"/>
  <c r="AG199" i="20"/>
  <c r="AQ21" i="20"/>
  <c r="AO115" i="20"/>
  <c r="AK115" i="20" s="1"/>
  <c r="AH7" i="20"/>
  <c r="AL188" i="20"/>
  <c r="AM182" i="20"/>
  <c r="AO45" i="20"/>
  <c r="AK45" i="20" s="1"/>
  <c r="AL159" i="20"/>
  <c r="AO106" i="20"/>
  <c r="AK106" i="20" s="1"/>
  <c r="AN15" i="20"/>
  <c r="AL40" i="20"/>
  <c r="AQ66" i="20"/>
  <c r="AQ78" i="20"/>
  <c r="AQ44" i="20"/>
  <c r="AQ28" i="20"/>
  <c r="AQ25" i="20"/>
  <c r="AQ52" i="20"/>
  <c r="AQ118" i="20"/>
  <c r="AN101" i="20"/>
  <c r="AQ18" i="20"/>
  <c r="AQ24" i="20"/>
  <c r="AQ4" i="20"/>
  <c r="AQ41" i="20"/>
  <c r="AH130" i="20"/>
  <c r="AL146" i="20"/>
  <c r="AG7" i="20"/>
  <c r="AL179" i="20"/>
  <c r="AH71" i="20"/>
  <c r="AM10" i="20"/>
  <c r="AG159" i="20"/>
  <c r="AQ30" i="20"/>
  <c r="AM86" i="20"/>
  <c r="AQ22" i="20"/>
  <c r="AQ42" i="20"/>
  <c r="AN109" i="20"/>
  <c r="AM134" i="20"/>
  <c r="AQ53" i="20"/>
  <c r="AQ14" i="20"/>
  <c r="AO109" i="20"/>
  <c r="AK109" i="20" s="1"/>
  <c r="AM135" i="20"/>
  <c r="AQ16" i="20"/>
  <c r="AG135" i="20"/>
  <c r="AL71" i="20"/>
  <c r="AL8" i="20"/>
  <c r="AL68" i="20"/>
  <c r="AO135" i="20"/>
  <c r="AK135" i="20" s="1"/>
  <c r="AH146" i="20"/>
  <c r="AQ115" i="20"/>
  <c r="AN146" i="20"/>
  <c r="AG115" i="20"/>
  <c r="AI115" i="20" s="1"/>
  <c r="AO130" i="20"/>
  <c r="AK130" i="20" s="1"/>
  <c r="AM115" i="20"/>
  <c r="AN59" i="20"/>
  <c r="AG140" i="20"/>
  <c r="AG146" i="20"/>
  <c r="AQ133" i="20"/>
  <c r="AH21" i="20"/>
  <c r="AO27" i="20"/>
  <c r="AK27" i="20" s="1"/>
  <c r="AN66" i="20"/>
  <c r="AH109" i="20"/>
  <c r="AQ146" i="20"/>
  <c r="AM9" i="20"/>
  <c r="AN118" i="20"/>
  <c r="AL106" i="20"/>
  <c r="AM78" i="20"/>
  <c r="AL86" i="20"/>
  <c r="AO201" i="20"/>
  <c r="AK201" i="20" s="1"/>
  <c r="AG79" i="20"/>
  <c r="AH15" i="20"/>
  <c r="AL66" i="20"/>
  <c r="AO146" i="20"/>
  <c r="AK146" i="20" s="1"/>
  <c r="AQ113" i="20"/>
  <c r="AM52" i="20"/>
  <c r="AO66" i="20"/>
  <c r="AK66" i="20" s="1"/>
  <c r="AG109" i="20"/>
  <c r="AQ150" i="20"/>
  <c r="AM35" i="20"/>
  <c r="AG124" i="20"/>
  <c r="AO81" i="20"/>
  <c r="AK81" i="20" s="1"/>
  <c r="AG130" i="20"/>
  <c r="AI130" i="20" s="1"/>
  <c r="AN90" i="20"/>
  <c r="AH86" i="20"/>
  <c r="AM21" i="20"/>
  <c r="AL142" i="20"/>
  <c r="AH134" i="20"/>
  <c r="AG117" i="20"/>
  <c r="AN50" i="20"/>
  <c r="AG78" i="20"/>
  <c r="AM66" i="20"/>
  <c r="AM109" i="20"/>
  <c r="AQ101" i="20"/>
  <c r="AL115" i="20"/>
  <c r="AL130" i="20"/>
  <c r="AO78" i="20"/>
  <c r="AK78" i="20" s="1"/>
  <c r="AH78" i="20"/>
  <c r="AN180" i="20"/>
  <c r="AL131" i="20"/>
  <c r="AH66" i="20"/>
  <c r="AH44" i="20"/>
  <c r="AO18" i="20"/>
  <c r="AK18" i="20" s="1"/>
  <c r="AH61" i="20"/>
  <c r="AO187" i="20"/>
  <c r="AK187" i="20" s="1"/>
  <c r="AN43" i="20"/>
  <c r="AM163" i="20"/>
  <c r="AO92" i="20"/>
  <c r="AK92" i="20" s="1"/>
  <c r="AN126" i="20"/>
  <c r="AO127" i="20"/>
  <c r="AK127" i="20" s="1"/>
  <c r="AM40" i="20"/>
  <c r="AG106" i="20"/>
  <c r="AH37" i="20"/>
  <c r="AO148" i="20"/>
  <c r="AK148" i="20" s="1"/>
  <c r="AL45" i="20"/>
  <c r="AQ31" i="20"/>
  <c r="AQ46" i="20"/>
  <c r="AG188" i="20"/>
  <c r="AL92" i="20"/>
  <c r="AO182" i="20"/>
  <c r="AK182" i="20" s="1"/>
  <c r="AH106" i="20"/>
  <c r="AL145" i="20"/>
  <c r="AG69" i="20"/>
  <c r="AH131" i="20"/>
  <c r="AL148" i="20"/>
  <c r="AG73" i="20"/>
  <c r="AL184" i="20"/>
  <c r="AM68" i="20"/>
  <c r="AM15" i="20"/>
  <c r="AG10" i="20"/>
  <c r="AM27" i="20"/>
  <c r="AQ138" i="20"/>
  <c r="AM89" i="20"/>
  <c r="AQ99" i="20"/>
  <c r="AH159" i="20"/>
  <c r="AG93" i="20"/>
  <c r="AQ32" i="20"/>
  <c r="AQ26" i="20"/>
  <c r="AQ36" i="20"/>
  <c r="AQ183" i="20"/>
  <c r="AQ10" i="20"/>
  <c r="AQ47" i="20"/>
  <c r="AQ182" i="20"/>
  <c r="AQ148" i="20"/>
  <c r="AG138" i="20"/>
  <c r="AQ11" i="20"/>
  <c r="AQ43" i="20"/>
  <c r="AL3" i="20"/>
  <c r="AH73" i="20"/>
  <c r="AO37" i="20"/>
  <c r="AK37" i="20" s="1"/>
  <c r="AG68" i="20"/>
  <c r="AI68" i="20" s="1"/>
  <c r="AL138" i="20"/>
  <c r="AL89" i="20"/>
  <c r="AL99" i="20"/>
  <c r="AQ45" i="20"/>
  <c r="AQ188" i="20"/>
  <c r="AL182" i="20"/>
  <c r="AG3" i="20"/>
  <c r="AG180" i="20"/>
  <c r="AN106" i="20"/>
  <c r="AQ145" i="20"/>
  <c r="AN131" i="20"/>
  <c r="AN148" i="20"/>
  <c r="AL73" i="20"/>
  <c r="AG184" i="20"/>
  <c r="AO68" i="20"/>
  <c r="AK68" i="20" s="1"/>
  <c r="AL15" i="20"/>
  <c r="AO10" i="20"/>
  <c r="AK10" i="20" s="1"/>
  <c r="AN27" i="20"/>
  <c r="AN89" i="20"/>
  <c r="AO99" i="20"/>
  <c r="AK99" i="20" s="1"/>
  <c r="AO159" i="20"/>
  <c r="AK159" i="20" s="1"/>
  <c r="AH93" i="20"/>
  <c r="AQ19" i="20"/>
  <c r="AQ174" i="20"/>
  <c r="AQ7" i="20"/>
  <c r="AQ13" i="20"/>
  <c r="AQ48" i="20"/>
  <c r="AQ37" i="20"/>
  <c r="AQ35" i="20"/>
  <c r="AN92" i="20"/>
  <c r="AM128" i="20"/>
  <c r="AG15" i="20"/>
  <c r="AQ93" i="20"/>
  <c r="AH188" i="20"/>
  <c r="AN182" i="20"/>
  <c r="AM180" i="20"/>
  <c r="AQ106" i="20"/>
  <c r="AQ131" i="20"/>
  <c r="AH45" i="20"/>
  <c r="AI45" i="20" s="1"/>
  <c r="AL37" i="20"/>
  <c r="AH184" i="20"/>
  <c r="AG84" i="20"/>
  <c r="AQ68" i="20"/>
  <c r="AO15" i="20"/>
  <c r="AK15" i="20" s="1"/>
  <c r="AL10" i="20"/>
  <c r="AL157" i="20"/>
  <c r="AM138" i="20"/>
  <c r="AH89" i="20"/>
  <c r="AM99" i="20"/>
  <c r="AQ159" i="20"/>
  <c r="AQ79" i="20"/>
  <c r="AH174" i="20"/>
  <c r="AQ20" i="20"/>
  <c r="AQ49" i="20"/>
  <c r="AQ5" i="20"/>
  <c r="AQ38" i="20"/>
  <c r="AQ3" i="20"/>
  <c r="AQ34" i="20"/>
  <c r="AH138" i="20"/>
  <c r="AQ27" i="20"/>
  <c r="AG182" i="20"/>
  <c r="AI182" i="20" s="1"/>
  <c r="AG89" i="20"/>
  <c r="AM93" i="20"/>
  <c r="AH69" i="20"/>
  <c r="AH180" i="20"/>
  <c r="AH201" i="20"/>
  <c r="AN79" i="20"/>
  <c r="AN184" i="20"/>
  <c r="AH84" i="20"/>
  <c r="AN68" i="20"/>
  <c r="AM3" i="20"/>
  <c r="AM159" i="20"/>
  <c r="AQ15" i="20"/>
  <c r="AQ50" i="20"/>
  <c r="AQ40" i="20"/>
  <c r="AQ9" i="20"/>
  <c r="AQ17" i="20"/>
  <c r="AQ33" i="20"/>
  <c r="AQ8" i="20"/>
  <c r="AO5" i="20"/>
  <c r="AK5" i="20" s="1"/>
  <c r="AQ83" i="20"/>
  <c r="AM94" i="20"/>
  <c r="AL101" i="20"/>
  <c r="AM201" i="20"/>
  <c r="AO46" i="20"/>
  <c r="AK46" i="20" s="1"/>
  <c r="AM157" i="20"/>
  <c r="AJ157" i="20" s="1"/>
  <c r="AH116" i="20"/>
  <c r="AQ94" i="20"/>
  <c r="AM92" i="20"/>
  <c r="AN201" i="20"/>
  <c r="AG46" i="20"/>
  <c r="AI46" i="20" s="1"/>
  <c r="AH158" i="20"/>
  <c r="AN128" i="20"/>
  <c r="AO157" i="20"/>
  <c r="AK157" i="20" s="1"/>
  <c r="AO116" i="20"/>
  <c r="AK116" i="20" s="1"/>
  <c r="AH94" i="20"/>
  <c r="AQ201" i="20"/>
  <c r="AH128" i="20"/>
  <c r="AQ157" i="20"/>
  <c r="AO94" i="20"/>
  <c r="AK94" i="20" s="1"/>
  <c r="AQ90" i="20"/>
  <c r="AM46" i="20"/>
  <c r="AL65" i="20"/>
  <c r="AL128" i="20"/>
  <c r="AH157" i="20"/>
  <c r="AO153" i="20"/>
  <c r="AK153" i="20" s="1"/>
  <c r="AL94" i="20"/>
  <c r="AG90" i="20"/>
  <c r="AL201" i="20"/>
  <c r="AL46" i="20"/>
  <c r="AN65" i="20"/>
  <c r="AG157" i="20"/>
  <c r="AO71" i="20"/>
  <c r="AK71" i="20" s="1"/>
  <c r="AM153" i="20"/>
  <c r="AL90" i="20"/>
  <c r="AG201" i="20"/>
  <c r="AN46" i="20"/>
  <c r="AM28" i="20"/>
  <c r="AL52" i="20"/>
  <c r="AQ70" i="20"/>
  <c r="AL83" i="20"/>
  <c r="AG101" i="20"/>
  <c r="AH90" i="20"/>
  <c r="AQ92" i="20"/>
  <c r="AN198" i="20"/>
  <c r="AH187" i="20"/>
  <c r="AH168" i="20"/>
  <c r="AN136" i="20"/>
  <c r="AM62" i="20"/>
  <c r="AH28" i="20"/>
  <c r="AI28" i="20" s="1"/>
  <c r="AG70" i="20"/>
  <c r="AH101" i="20"/>
  <c r="AH198" i="20"/>
  <c r="AL20" i="20"/>
  <c r="AH24" i="20"/>
  <c r="AO163" i="20"/>
  <c r="AK163" i="20" s="1"/>
  <c r="AN116" i="20"/>
  <c r="AG27" i="20"/>
  <c r="AG24" i="20"/>
  <c r="AM14" i="20"/>
  <c r="AG164" i="20"/>
  <c r="AQ163" i="20"/>
  <c r="AN176" i="20"/>
  <c r="AG52" i="20"/>
  <c r="AN117" i="20"/>
  <c r="AM24" i="20"/>
  <c r="AL164" i="20"/>
  <c r="AH52" i="20"/>
  <c r="AL27" i="20"/>
  <c r="AL78" i="20"/>
  <c r="AQ187" i="20"/>
  <c r="AH104" i="20"/>
  <c r="AM165" i="20"/>
  <c r="AL36" i="20"/>
  <c r="AQ170" i="20"/>
  <c r="AO192" i="20"/>
  <c r="AK192" i="20" s="1"/>
  <c r="AQ81" i="20"/>
  <c r="AL187" i="20"/>
  <c r="AO165" i="20"/>
  <c r="AK165" i="20" s="1"/>
  <c r="AO36" i="20"/>
  <c r="AK36" i="20" s="1"/>
  <c r="AL178" i="20"/>
  <c r="AN127" i="20"/>
  <c r="AN52" i="20"/>
  <c r="AO198" i="20"/>
  <c r="AK198" i="20" s="1"/>
  <c r="AG187" i="20"/>
  <c r="AM169" i="20"/>
  <c r="AH178" i="20"/>
  <c r="AH127" i="20"/>
  <c r="AG136" i="20"/>
  <c r="AO52" i="20"/>
  <c r="AK52" i="20" s="1"/>
  <c r="AN7" i="20"/>
  <c r="AL198" i="20"/>
  <c r="AM187" i="20"/>
  <c r="AM168" i="20"/>
  <c r="AL136" i="20"/>
  <c r="AG43" i="20"/>
  <c r="AL70" i="20"/>
  <c r="AG108" i="20"/>
  <c r="AO184" i="20"/>
  <c r="AK184" i="20" s="1"/>
  <c r="AN200" i="20"/>
  <c r="AL137" i="20"/>
  <c r="AL122" i="20"/>
  <c r="AH48" i="20"/>
  <c r="AO112" i="20"/>
  <c r="AK112" i="20" s="1"/>
  <c r="AG112" i="20"/>
  <c r="AL112" i="20"/>
  <c r="AN112" i="20"/>
  <c r="AH112" i="20"/>
  <c r="AQ112" i="20"/>
  <c r="AL180" i="20"/>
  <c r="AG198" i="20"/>
  <c r="AQ200" i="20"/>
  <c r="AO180" i="20"/>
  <c r="AK180" i="20" s="1"/>
  <c r="AN187" i="20"/>
  <c r="AL24" i="20"/>
  <c r="AM106" i="20"/>
  <c r="AG186" i="20"/>
  <c r="AN145" i="20"/>
  <c r="AG13" i="20"/>
  <c r="AI13" i="20" s="1"/>
  <c r="AH108" i="20"/>
  <c r="AL69" i="20"/>
  <c r="AG165" i="20"/>
  <c r="AI165" i="20" s="1"/>
  <c r="AQ175" i="20"/>
  <c r="AN158" i="20"/>
  <c r="AO137" i="20"/>
  <c r="AK137" i="20" s="1"/>
  <c r="AG170" i="20"/>
  <c r="AH57" i="20"/>
  <c r="AG168" i="20"/>
  <c r="AM164" i="20"/>
  <c r="AM48" i="20"/>
  <c r="AG163" i="20"/>
  <c r="AM127" i="20"/>
  <c r="AN33" i="20"/>
  <c r="AN179" i="20"/>
  <c r="AO125" i="20"/>
  <c r="AK125" i="20" s="1"/>
  <c r="AO105" i="20"/>
  <c r="AK105" i="20" s="1"/>
  <c r="AN135" i="20"/>
  <c r="AH27" i="20"/>
  <c r="AQ171" i="20"/>
  <c r="AG40" i="20"/>
  <c r="AO98" i="20"/>
  <c r="AK98" i="20" s="1"/>
  <c r="AN16" i="20"/>
  <c r="AH144" i="20"/>
  <c r="AG144" i="20"/>
  <c r="AN144" i="20"/>
  <c r="AO144" i="20"/>
  <c r="AK144" i="20" s="1"/>
  <c r="AL171" i="20"/>
  <c r="AO21" i="20"/>
  <c r="AK21" i="20" s="1"/>
  <c r="AL21" i="20"/>
  <c r="AN21" i="20"/>
  <c r="AG21" i="20"/>
  <c r="AM51" i="20"/>
  <c r="AL51" i="20"/>
  <c r="AO51" i="20"/>
  <c r="AK51" i="20" s="1"/>
  <c r="AO70" i="20"/>
  <c r="AK70" i="20" s="1"/>
  <c r="AL102" i="20"/>
  <c r="AH102" i="20"/>
  <c r="AN137" i="20"/>
  <c r="AN57" i="20"/>
  <c r="AG48" i="20"/>
  <c r="AN84" i="20"/>
  <c r="AG171" i="20"/>
  <c r="AN40" i="20"/>
  <c r="AL67" i="20"/>
  <c r="AO67" i="20"/>
  <c r="AK67" i="20" s="1"/>
  <c r="AN67" i="20"/>
  <c r="AQ67" i="20"/>
  <c r="AH67" i="20"/>
  <c r="AG67" i="20"/>
  <c r="AM67" i="20"/>
  <c r="AL28" i="20"/>
  <c r="AN28" i="20"/>
  <c r="AO79" i="20"/>
  <c r="AK79" i="20" s="1"/>
  <c r="AM79" i="20"/>
  <c r="AO57" i="20"/>
  <c r="AK57" i="20" s="1"/>
  <c r="AO40" i="20"/>
  <c r="AK40" i="20" s="1"/>
  <c r="AO129" i="20"/>
  <c r="AK129" i="20" s="1"/>
  <c r="AG129" i="20"/>
  <c r="AQ172" i="20"/>
  <c r="AL172" i="20"/>
  <c r="AH172" i="20"/>
  <c r="AN172" i="20"/>
  <c r="AM172" i="20"/>
  <c r="AO172" i="20"/>
  <c r="AK172" i="20" s="1"/>
  <c r="AG172" i="20"/>
  <c r="AH49" i="20"/>
  <c r="AN49" i="20"/>
  <c r="AM171" i="20"/>
  <c r="AO59" i="20"/>
  <c r="AK59" i="20" s="1"/>
  <c r="AO169" i="20"/>
  <c r="AK169" i="20" s="1"/>
  <c r="AN32" i="20"/>
  <c r="AQ84" i="20"/>
  <c r="AM83" i="20"/>
  <c r="AL59" i="20"/>
  <c r="AG150" i="20"/>
  <c r="AQ180" i="20"/>
  <c r="AO117" i="20"/>
  <c r="AK117" i="20" s="1"/>
  <c r="AH186" i="20"/>
  <c r="AM145" i="20"/>
  <c r="AO28" i="20"/>
  <c r="AK28" i="20" s="1"/>
  <c r="AQ69" i="20"/>
  <c r="AH179" i="20"/>
  <c r="AG175" i="20"/>
  <c r="AQ169" i="20"/>
  <c r="AH65" i="20"/>
  <c r="AQ63" i="20"/>
  <c r="AG36" i="20"/>
  <c r="AG131" i="20"/>
  <c r="AM130" i="20"/>
  <c r="AQ128" i="20"/>
  <c r="AQ57" i="20"/>
  <c r="AQ164" i="20"/>
  <c r="AL49" i="20"/>
  <c r="AQ136" i="20"/>
  <c r="AG33" i="20"/>
  <c r="AN62" i="20"/>
  <c r="AH125" i="20"/>
  <c r="AI125" i="20" s="1"/>
  <c r="AO49" i="20"/>
  <c r="AK49" i="20" s="1"/>
  <c r="AO84" i="20"/>
  <c r="AK84" i="20" s="1"/>
  <c r="AH171" i="20"/>
  <c r="AQ135" i="20"/>
  <c r="AN93" i="20"/>
  <c r="AQ98" i="20"/>
  <c r="AG16" i="20"/>
  <c r="AO55" i="20"/>
  <c r="AK55" i="20" s="1"/>
  <c r="AG55" i="20"/>
  <c r="AI55" i="20" s="1"/>
  <c r="AN55" i="20"/>
  <c r="AL55" i="20"/>
  <c r="AO108" i="20"/>
  <c r="AK108" i="20" s="1"/>
  <c r="AM69" i="20"/>
  <c r="AM116" i="20"/>
  <c r="AL116" i="20"/>
  <c r="AG116" i="20"/>
  <c r="AN171" i="20"/>
  <c r="AM112" i="20"/>
  <c r="AN134" i="20"/>
  <c r="AL7" i="20"/>
  <c r="AO7" i="20"/>
  <c r="AK7" i="20" s="1"/>
  <c r="AO185" i="20"/>
  <c r="AK185" i="20" s="1"/>
  <c r="AG185" i="20"/>
  <c r="AN185" i="20"/>
  <c r="AL185" i="20"/>
  <c r="AM185" i="20"/>
  <c r="AL79" i="20"/>
  <c r="AL174" i="20"/>
  <c r="AO174" i="20"/>
  <c r="AK174" i="20" s="1"/>
  <c r="AM174" i="20"/>
  <c r="AG174" i="20"/>
  <c r="AH79" i="20"/>
  <c r="AG200" i="20"/>
  <c r="AM59" i="20"/>
  <c r="AN83" i="20"/>
  <c r="AO200" i="20"/>
  <c r="AK200" i="20" s="1"/>
  <c r="AH59" i="20"/>
  <c r="AO32" i="20"/>
  <c r="AK32" i="20" s="1"/>
  <c r="AL117" i="20"/>
  <c r="AN24" i="20"/>
  <c r="AQ186" i="20"/>
  <c r="AO104" i="20"/>
  <c r="AK104" i="20" s="1"/>
  <c r="AL133" i="20"/>
  <c r="AH32" i="20"/>
  <c r="AN69" i="20"/>
  <c r="AM131" i="20"/>
  <c r="AM107" i="20"/>
  <c r="AM158" i="20"/>
  <c r="AN169" i="20"/>
  <c r="AG65" i="20"/>
  <c r="AO131" i="20"/>
  <c r="AK131" i="20" s="1"/>
  <c r="AQ130" i="20"/>
  <c r="AG128" i="20"/>
  <c r="AO178" i="20"/>
  <c r="AK178" i="20" s="1"/>
  <c r="AQ122" i="20"/>
  <c r="AH126" i="20"/>
  <c r="AN192" i="20"/>
  <c r="AO33" i="20"/>
  <c r="AK33" i="20" s="1"/>
  <c r="AG179" i="20"/>
  <c r="AH18" i="20"/>
  <c r="AM84" i="20"/>
  <c r="AN129" i="20"/>
  <c r="AG143" i="20"/>
  <c r="AL181" i="20"/>
  <c r="AG95" i="20"/>
  <c r="AL93" i="20"/>
  <c r="AG134" i="20"/>
  <c r="AL134" i="20"/>
  <c r="AM31" i="20"/>
  <c r="AG31" i="20"/>
  <c r="AL31" i="20"/>
  <c r="AH31" i="20"/>
  <c r="AO31" i="20"/>
  <c r="AK31" i="20" s="1"/>
  <c r="AN31" i="20"/>
  <c r="AN3" i="20"/>
  <c r="AH3" i="20"/>
  <c r="AQ65" i="20"/>
  <c r="AO150" i="20"/>
  <c r="AK150" i="20" s="1"/>
  <c r="AH107" i="20"/>
  <c r="AI107" i="20" s="1"/>
  <c r="AG169" i="20"/>
  <c r="AH122" i="20"/>
  <c r="AL32" i="20"/>
  <c r="AH200" i="20"/>
  <c r="AL18" i="20"/>
  <c r="AG196" i="20"/>
  <c r="AH117" i="20"/>
  <c r="AO24" i="20"/>
  <c r="AK24" i="20" s="1"/>
  <c r="AG145" i="20"/>
  <c r="AM104" i="20"/>
  <c r="AL165" i="20"/>
  <c r="AQ107" i="20"/>
  <c r="AO158" i="20"/>
  <c r="AK158" i="20" s="1"/>
  <c r="AH169" i="20"/>
  <c r="AM65" i="20"/>
  <c r="AQ108" i="20"/>
  <c r="AH170" i="20"/>
  <c r="AN178" i="20"/>
  <c r="AN122" i="20"/>
  <c r="AN48" i="20"/>
  <c r="AG192" i="20"/>
  <c r="AI192" i="20" s="1"/>
  <c r="AG49" i="20"/>
  <c r="AQ129" i="20"/>
  <c r="AH40" i="20"/>
  <c r="AL16" i="20"/>
  <c r="AO134" i="20"/>
  <c r="AK134" i="20" s="1"/>
  <c r="AH87" i="20"/>
  <c r="AN87" i="20"/>
  <c r="AL87" i="20"/>
  <c r="AM87" i="20"/>
  <c r="AG87" i="20"/>
  <c r="AO87" i="20"/>
  <c r="AK87" i="20" s="1"/>
  <c r="AQ87" i="20"/>
  <c r="AL108" i="20"/>
  <c r="AO142" i="20"/>
  <c r="AK142" i="20" s="1"/>
  <c r="AN142" i="20"/>
  <c r="AM142" i="20"/>
  <c r="AQ142" i="20"/>
  <c r="AH142" i="20"/>
  <c r="AG142" i="20"/>
  <c r="AQ185" i="20"/>
  <c r="AM102" i="20"/>
  <c r="AL120" i="20"/>
  <c r="AN120" i="20"/>
  <c r="AQ120" i="20"/>
  <c r="AG120" i="20"/>
  <c r="AO120" i="20"/>
  <c r="AK120" i="20" s="1"/>
  <c r="AM120" i="20"/>
  <c r="AM108" i="20"/>
  <c r="AO102" i="20"/>
  <c r="AK102" i="20" s="1"/>
  <c r="AQ134" i="20"/>
  <c r="AH70" i="20"/>
  <c r="AO197" i="20"/>
  <c r="AK197" i="20" s="1"/>
  <c r="AH197" i="20"/>
  <c r="AM197" i="20"/>
  <c r="AL197" i="20"/>
  <c r="AQ197" i="20"/>
  <c r="AN197" i="20"/>
  <c r="AG197" i="20"/>
  <c r="AG23" i="20"/>
  <c r="AH23" i="20"/>
  <c r="AM23" i="20"/>
  <c r="AO23" i="20"/>
  <c r="AK23" i="20" s="1"/>
  <c r="AN160" i="20"/>
  <c r="AM160" i="20"/>
  <c r="AQ160" i="20"/>
  <c r="AL160" i="20"/>
  <c r="AM19" i="20"/>
  <c r="AH19" i="20"/>
  <c r="AL19" i="20"/>
  <c r="AG19" i="20"/>
  <c r="AN19" i="20"/>
  <c r="AL12" i="20"/>
  <c r="AH12" i="20"/>
  <c r="AG12" i="20"/>
  <c r="AM12" i="20"/>
  <c r="AO12" i="20"/>
  <c r="AK12" i="20" s="1"/>
  <c r="AN12" i="20"/>
  <c r="AM13" i="20"/>
  <c r="AG160" i="20"/>
  <c r="AO47" i="20"/>
  <c r="AK47" i="20" s="1"/>
  <c r="AG47" i="20"/>
  <c r="AM47" i="20"/>
  <c r="AN47" i="20"/>
  <c r="AN77" i="20"/>
  <c r="AO160" i="20"/>
  <c r="AK160" i="20" s="1"/>
  <c r="AO50" i="20"/>
  <c r="AK50" i="20" s="1"/>
  <c r="AG50" i="20"/>
  <c r="AH50" i="20"/>
  <c r="AL50" i="20"/>
  <c r="AM50" i="20"/>
  <c r="AH160" i="20"/>
  <c r="AO77" i="20"/>
  <c r="AK77" i="20" s="1"/>
  <c r="AM77" i="20"/>
  <c r="AH77" i="20"/>
  <c r="AL77" i="20"/>
  <c r="AL13" i="20"/>
  <c r="AO13" i="20"/>
  <c r="AK13" i="20" s="1"/>
  <c r="AN13" i="20"/>
  <c r="AQ195" i="20"/>
  <c r="AM195" i="20"/>
  <c r="AH195" i="20"/>
  <c r="AN195" i="20"/>
  <c r="AO195" i="20"/>
  <c r="AK195" i="20" s="1"/>
  <c r="AG195" i="20"/>
  <c r="AL195" i="20"/>
  <c r="AN110" i="20"/>
  <c r="AO110" i="20"/>
  <c r="AK110" i="20" s="1"/>
  <c r="AQ110" i="20"/>
  <c r="AG110" i="20"/>
  <c r="AL110" i="20"/>
  <c r="AH110" i="20"/>
  <c r="AM110" i="20"/>
  <c r="AN75" i="20"/>
  <c r="AG75" i="20"/>
  <c r="AO75" i="20"/>
  <c r="AK75" i="20" s="1"/>
  <c r="AQ75" i="20"/>
  <c r="AM75" i="20"/>
  <c r="AL75" i="20"/>
  <c r="AH75" i="20"/>
  <c r="AN161" i="20"/>
  <c r="AO161" i="20"/>
  <c r="AK161" i="20" s="1"/>
  <c r="AH161" i="20"/>
  <c r="AM161" i="20"/>
  <c r="AQ161" i="20"/>
  <c r="AG6" i="20"/>
  <c r="AM6" i="20"/>
  <c r="AN6" i="20"/>
  <c r="AL6" i="20"/>
  <c r="AO6" i="20"/>
  <c r="AK6" i="20" s="1"/>
  <c r="AH6" i="20"/>
  <c r="AO166" i="20"/>
  <c r="AK166" i="20" s="1"/>
  <c r="AL166" i="20"/>
  <c r="AH166" i="20"/>
  <c r="AN166" i="20"/>
  <c r="AM166" i="20"/>
  <c r="AH88" i="20"/>
  <c r="AO88" i="20"/>
  <c r="AK88" i="20" s="1"/>
  <c r="AL88" i="20"/>
  <c r="AG88" i="20"/>
  <c r="AN88" i="20"/>
  <c r="AQ85" i="20"/>
  <c r="AG85" i="20"/>
  <c r="AH85" i="20"/>
  <c r="AN85" i="20"/>
  <c r="AO85" i="20"/>
  <c r="AK85" i="20" s="1"/>
  <c r="AL85" i="20"/>
  <c r="AM85" i="20"/>
  <c r="AO177" i="20"/>
  <c r="AK177" i="20" s="1"/>
  <c r="AQ177" i="20"/>
  <c r="AL177" i="20"/>
  <c r="AN177" i="20"/>
  <c r="AH177" i="20"/>
  <c r="AN23" i="20"/>
  <c r="AQ77" i="20"/>
  <c r="AO141" i="20"/>
  <c r="AK141" i="20" s="1"/>
  <c r="AG141" i="20"/>
  <c r="AQ141" i="20"/>
  <c r="AM141" i="20"/>
  <c r="AN141" i="20"/>
  <c r="AH141" i="20"/>
  <c r="AG152" i="20"/>
  <c r="AM152" i="20"/>
  <c r="AQ152" i="20"/>
  <c r="AO152" i="20"/>
  <c r="AK152" i="20" s="1"/>
  <c r="AH152" i="20"/>
  <c r="AL152" i="20"/>
  <c r="AN152" i="20"/>
  <c r="AN30" i="20"/>
  <c r="AO30" i="20"/>
  <c r="AK30" i="20" s="1"/>
  <c r="AG30" i="20"/>
  <c r="AL30" i="20"/>
  <c r="AM30" i="20"/>
  <c r="AH30" i="20"/>
  <c r="AL23" i="20"/>
  <c r="AN153" i="20"/>
  <c r="AQ153" i="20"/>
  <c r="AL153" i="20"/>
  <c r="AG153" i="20"/>
  <c r="AG113" i="20"/>
  <c r="AN113" i="20"/>
  <c r="AL113" i="20"/>
  <c r="AM113" i="20"/>
  <c r="AH113" i="20"/>
  <c r="AO113" i="20"/>
  <c r="AK113" i="20" s="1"/>
  <c r="AL103" i="20"/>
  <c r="AO103" i="20"/>
  <c r="AK103" i="20" s="1"/>
  <c r="AH103" i="20"/>
  <c r="AM103" i="20"/>
  <c r="AQ103" i="20"/>
  <c r="AN103" i="20"/>
  <c r="AG103" i="20"/>
  <c r="AO64" i="20"/>
  <c r="AK64" i="20" s="1"/>
  <c r="AG64" i="20"/>
  <c r="AH64" i="20"/>
  <c r="AN64" i="20"/>
  <c r="AM64" i="20"/>
  <c r="AQ64" i="20"/>
  <c r="AL64" i="20"/>
  <c r="AL9" i="20"/>
  <c r="AN9" i="20"/>
  <c r="AO9" i="20"/>
  <c r="AK9" i="20" s="1"/>
  <c r="AH9" i="20"/>
  <c r="AH118" i="20"/>
  <c r="AG118" i="20"/>
  <c r="AO118" i="20"/>
  <c r="AK118" i="20" s="1"/>
  <c r="AM118" i="20"/>
  <c r="AL118" i="20"/>
  <c r="AO53" i="20"/>
  <c r="AK53" i="20" s="1"/>
  <c r="AM53" i="20"/>
  <c r="AG53" i="20"/>
  <c r="AH53" i="20"/>
  <c r="AO97" i="20"/>
  <c r="AK97" i="20" s="1"/>
  <c r="AM97" i="20"/>
  <c r="AL97" i="20"/>
  <c r="AQ97" i="20"/>
  <c r="AG97" i="20"/>
  <c r="AI97" i="20" s="1"/>
  <c r="AN97" i="20"/>
  <c r="AL60" i="20"/>
  <c r="AO60" i="20"/>
  <c r="AK60" i="20" s="1"/>
  <c r="AH60" i="20"/>
  <c r="AM60" i="20"/>
  <c r="AN60" i="20"/>
  <c r="AQ60" i="20"/>
  <c r="AG60" i="20"/>
  <c r="AO190" i="20"/>
  <c r="AK190" i="20" s="1"/>
  <c r="AN190" i="20"/>
  <c r="AM190" i="20"/>
  <c r="AH190" i="20"/>
  <c r="AL190" i="20"/>
  <c r="AQ190" i="20"/>
  <c r="AG190" i="20"/>
  <c r="AL183" i="20"/>
  <c r="AO183" i="20"/>
  <c r="AK183" i="20" s="1"/>
  <c r="AG183" i="20"/>
  <c r="AM183" i="20"/>
  <c r="AH183" i="20"/>
  <c r="AN183" i="20"/>
  <c r="AO42" i="20"/>
  <c r="AK42" i="20" s="1"/>
  <c r="AM42" i="20"/>
  <c r="AG42" i="20"/>
  <c r="AL42" i="20"/>
  <c r="AH42" i="20"/>
  <c r="AN42" i="20"/>
  <c r="AM154" i="20"/>
  <c r="AH154" i="20"/>
  <c r="AO154" i="20"/>
  <c r="AK154" i="20" s="1"/>
  <c r="AQ154" i="20"/>
  <c r="AG154" i="20"/>
  <c r="AN154" i="20"/>
  <c r="AL154" i="20"/>
  <c r="AG9" i="20"/>
  <c r="AM177" i="20"/>
  <c r="AG166" i="20"/>
  <c r="AH11" i="20"/>
  <c r="AM11" i="20"/>
  <c r="AN11" i="20"/>
  <c r="AL11" i="20"/>
  <c r="AG11" i="20"/>
  <c r="AO11" i="20"/>
  <c r="AK11" i="20" s="1"/>
  <c r="AG161" i="20"/>
  <c r="AM119" i="20"/>
  <c r="AH119" i="20"/>
  <c r="AO119" i="20"/>
  <c r="AK119" i="20" s="1"/>
  <c r="AN119" i="20"/>
  <c r="AQ119" i="20"/>
  <c r="AG119" i="20"/>
  <c r="AL119" i="20"/>
  <c r="AN58" i="20"/>
  <c r="AQ58" i="20"/>
  <c r="AM58" i="20"/>
  <c r="AG58" i="20"/>
  <c r="AL58" i="20"/>
  <c r="AH58" i="20"/>
  <c r="AO58" i="20"/>
  <c r="AK58" i="20" s="1"/>
  <c r="AG80" i="20"/>
  <c r="AN80" i="20"/>
  <c r="AQ80" i="20"/>
  <c r="AL80" i="20"/>
  <c r="AO80" i="20"/>
  <c r="AK80" i="20" s="1"/>
  <c r="AH80" i="20"/>
  <c r="AM80" i="20"/>
  <c r="AL155" i="20"/>
  <c r="AH155" i="20"/>
  <c r="AN155" i="20"/>
  <c r="AQ155" i="20"/>
  <c r="AG155" i="20"/>
  <c r="AO155" i="20"/>
  <c r="AK155" i="20" s="1"/>
  <c r="AL47" i="20"/>
  <c r="AQ166" i="20"/>
  <c r="AL161" i="20"/>
  <c r="AH72" i="20"/>
  <c r="AO72" i="20"/>
  <c r="AK72" i="20" s="1"/>
  <c r="AQ72" i="20"/>
  <c r="AG72" i="20"/>
  <c r="AN72" i="20"/>
  <c r="AL72" i="20"/>
  <c r="AQ149" i="20"/>
  <c r="AL149" i="20"/>
  <c r="AM149" i="20"/>
  <c r="AG149" i="20"/>
  <c r="AH149" i="20"/>
  <c r="AO149" i="20"/>
  <c r="AK149" i="20" s="1"/>
  <c r="AN149" i="20"/>
  <c r="AQ167" i="20"/>
  <c r="AM167" i="20"/>
  <c r="AH167" i="20"/>
  <c r="AL167" i="20"/>
  <c r="AG167" i="20"/>
  <c r="AO167" i="20"/>
  <c r="AK167" i="20" s="1"/>
  <c r="AL22" i="20"/>
  <c r="AN22" i="20"/>
  <c r="AM22" i="20"/>
  <c r="AG22" i="20"/>
  <c r="AH22" i="20"/>
  <c r="AO22" i="20"/>
  <c r="AK22" i="20" s="1"/>
  <c r="AQ88" i="20"/>
  <c r="AL53" i="20"/>
  <c r="AQ191" i="20"/>
  <c r="AH191" i="20"/>
  <c r="AO191" i="20"/>
  <c r="AK191" i="20" s="1"/>
  <c r="AM191" i="20"/>
  <c r="AG191" i="20"/>
  <c r="AL191" i="20"/>
  <c r="AN191" i="20"/>
  <c r="AM155" i="20"/>
  <c r="AH81" i="20"/>
  <c r="AN35" i="20"/>
  <c r="AH105" i="20"/>
  <c r="AL44" i="20"/>
  <c r="AO176" i="20"/>
  <c r="AK176" i="20" s="1"/>
  <c r="AN143" i="20"/>
  <c r="AN140" i="20"/>
  <c r="AN95" i="20"/>
  <c r="AL162" i="20"/>
  <c r="AN4" i="20"/>
  <c r="AH43" i="20"/>
  <c r="AL189" i="20"/>
  <c r="AL41" i="20"/>
  <c r="AQ147" i="20"/>
  <c r="AN132" i="20"/>
  <c r="AG61" i="20"/>
  <c r="AO196" i="20"/>
  <c r="AK196" i="20" s="1"/>
  <c r="AM194" i="20"/>
  <c r="AO82" i="20"/>
  <c r="AK82" i="20" s="1"/>
  <c r="AH34" i="20"/>
  <c r="AO126" i="20"/>
  <c r="AK126" i="20" s="1"/>
  <c r="AG81" i="20"/>
  <c r="AH35" i="20"/>
  <c r="AN44" i="20"/>
  <c r="AO143" i="20"/>
  <c r="AK143" i="20" s="1"/>
  <c r="AL140" i="20"/>
  <c r="AM95" i="20"/>
  <c r="AQ61" i="20"/>
  <c r="AL43" i="20"/>
  <c r="AN189" i="20"/>
  <c r="AM41" i="20"/>
  <c r="AN147" i="20"/>
  <c r="AM132" i="20"/>
  <c r="AO61" i="20"/>
  <c r="AK61" i="20" s="1"/>
  <c r="AN196" i="20"/>
  <c r="AQ194" i="20"/>
  <c r="AL82" i="20"/>
  <c r="AM34" i="20"/>
  <c r="AG162" i="20"/>
  <c r="AO189" i="20"/>
  <c r="AK189" i="20" s="1"/>
  <c r="AH41" i="20"/>
  <c r="AG132" i="20"/>
  <c r="AI132" i="20" s="1"/>
  <c r="AM61" i="20"/>
  <c r="AL196" i="20"/>
  <c r="AL194" i="20"/>
  <c r="AQ82" i="20"/>
  <c r="AO34" i="20"/>
  <c r="AK34" i="20" s="1"/>
  <c r="AL123" i="20"/>
  <c r="AG123" i="20"/>
  <c r="AN124" i="20"/>
  <c r="AL35" i="20"/>
  <c r="AL105" i="20"/>
  <c r="AO44" i="20"/>
  <c r="AK44" i="20" s="1"/>
  <c r="AQ143" i="20"/>
  <c r="AO140" i="20"/>
  <c r="AK140" i="20" s="1"/>
  <c r="AO181" i="20"/>
  <c r="AK181" i="20" s="1"/>
  <c r="AH95" i="20"/>
  <c r="AQ162" i="20"/>
  <c r="AN194" i="20"/>
  <c r="AM189" i="20"/>
  <c r="AM147" i="20"/>
  <c r="AO132" i="20"/>
  <c r="AK132" i="20" s="1"/>
  <c r="AL61" i="20"/>
  <c r="AG194" i="20"/>
  <c r="AG82" i="20"/>
  <c r="AL34" i="20"/>
  <c r="AM150" i="20"/>
  <c r="AL107" i="20"/>
  <c r="AN139" i="20"/>
  <c r="AG139" i="20"/>
  <c r="AL139" i="20"/>
  <c r="AQ139" i="20"/>
  <c r="AO139" i="20"/>
  <c r="AK139" i="20" s="1"/>
  <c r="AM139" i="20"/>
  <c r="AH139" i="20"/>
  <c r="AO20" i="20"/>
  <c r="AK20" i="20" s="1"/>
  <c r="AO90" i="20"/>
  <c r="AK90" i="20" s="1"/>
  <c r="AL17" i="20"/>
  <c r="AQ104" i="20"/>
  <c r="AO26" i="20"/>
  <c r="AK26" i="20" s="1"/>
  <c r="AN26" i="20"/>
  <c r="AL26" i="20"/>
  <c r="AH26" i="20"/>
  <c r="AQ165" i="20"/>
  <c r="AO107" i="20"/>
  <c r="AK107" i="20" s="1"/>
  <c r="AH137" i="20"/>
  <c r="AN36" i="20"/>
  <c r="AM170" i="20"/>
  <c r="AL57" i="20"/>
  <c r="AN168" i="20"/>
  <c r="AN8" i="20"/>
  <c r="AG122" i="20"/>
  <c r="AH164" i="20"/>
  <c r="AG126" i="20"/>
  <c r="AL163" i="20"/>
  <c r="AL192" i="20"/>
  <c r="AH136" i="20"/>
  <c r="AN18" i="20"/>
  <c r="AO124" i="20"/>
  <c r="AK124" i="20" s="1"/>
  <c r="AM81" i="20"/>
  <c r="AM105" i="20"/>
  <c r="AM44" i="20"/>
  <c r="AM140" i="20"/>
  <c r="AH181" i="20"/>
  <c r="AO95" i="20"/>
  <c r="AK95" i="20" s="1"/>
  <c r="AH162" i="20"/>
  <c r="AO43" i="20"/>
  <c r="AK43" i="20" s="1"/>
  <c r="AH189" i="20"/>
  <c r="AO41" i="20"/>
  <c r="AK41" i="20" s="1"/>
  <c r="AG147" i="20"/>
  <c r="AL132" i="20"/>
  <c r="AN61" i="20"/>
  <c r="AO4" i="20"/>
  <c r="AK4" i="20" s="1"/>
  <c r="AH82" i="20"/>
  <c r="AG34" i="20"/>
  <c r="AL56" i="20"/>
  <c r="AO56" i="20"/>
  <c r="AK56" i="20" s="1"/>
  <c r="AG56" i="20"/>
  <c r="AQ56" i="20"/>
  <c r="AH56" i="20"/>
  <c r="AN56" i="20"/>
  <c r="AM56" i="20"/>
  <c r="AH83" i="20"/>
  <c r="AQ176" i="20"/>
  <c r="AH176" i="20"/>
  <c r="AI176" i="20" s="1"/>
  <c r="AG96" i="20"/>
  <c r="AN96" i="20"/>
  <c r="AM96" i="20"/>
  <c r="AL96" i="20"/>
  <c r="AQ96" i="20"/>
  <c r="AH96" i="20"/>
  <c r="AO96" i="20"/>
  <c r="AK96" i="20" s="1"/>
  <c r="AO76" i="20"/>
  <c r="AK76" i="20" s="1"/>
  <c r="AG76" i="20"/>
  <c r="AN76" i="20"/>
  <c r="AQ76" i="20"/>
  <c r="AH76" i="20"/>
  <c r="AL76" i="20"/>
  <c r="AM76" i="20"/>
  <c r="AG151" i="20"/>
  <c r="AH151" i="20"/>
  <c r="AN151" i="20"/>
  <c r="AO151" i="20"/>
  <c r="AK151" i="20" s="1"/>
  <c r="AM151" i="20"/>
  <c r="AQ151" i="20"/>
  <c r="AL151" i="20"/>
  <c r="AH150" i="20"/>
  <c r="AM25" i="20"/>
  <c r="AH25" i="20"/>
  <c r="AO25" i="20"/>
  <c r="AK25" i="20" s="1"/>
  <c r="AL25" i="20"/>
  <c r="AG25" i="20"/>
  <c r="AN25" i="20"/>
  <c r="AO83" i="20"/>
  <c r="AK83" i="20" s="1"/>
  <c r="AM101" i="20"/>
  <c r="AH14" i="20"/>
  <c r="AI14" i="20" s="1"/>
  <c r="AL14" i="20"/>
  <c r="AN14" i="20"/>
  <c r="AO14" i="20"/>
  <c r="AK14" i="20" s="1"/>
  <c r="AM91" i="20"/>
  <c r="AL91" i="20"/>
  <c r="AQ91" i="20"/>
  <c r="AO91" i="20"/>
  <c r="AK91" i="20" s="1"/>
  <c r="AN91" i="20"/>
  <c r="AH91" i="20"/>
  <c r="AG91" i="20"/>
  <c r="AQ156" i="20"/>
  <c r="AN156" i="20"/>
  <c r="AM156" i="20"/>
  <c r="AL156" i="20"/>
  <c r="AO156" i="20"/>
  <c r="AK156" i="20" s="1"/>
  <c r="AG156" i="20"/>
  <c r="AH156" i="20"/>
  <c r="AQ198" i="20"/>
  <c r="AG59" i="20"/>
  <c r="AG17" i="20"/>
  <c r="AL150" i="20"/>
  <c r="AN20" i="20"/>
  <c r="AQ117" i="20"/>
  <c r="AM90" i="20"/>
  <c r="AN104" i="20"/>
  <c r="AN107" i="20"/>
  <c r="AL158" i="20"/>
  <c r="AG137" i="20"/>
  <c r="AG26" i="20"/>
  <c r="AN170" i="20"/>
  <c r="AG178" i="20"/>
  <c r="AO168" i="20"/>
  <c r="AK168" i="20" s="1"/>
  <c r="AG8" i="20"/>
  <c r="AM122" i="20"/>
  <c r="AM126" i="20"/>
  <c r="AO48" i="20"/>
  <c r="AK48" i="20" s="1"/>
  <c r="AH163" i="20"/>
  <c r="AM192" i="20"/>
  <c r="AL127" i="20"/>
  <c r="AO136" i="20"/>
  <c r="AK136" i="20" s="1"/>
  <c r="AQ124" i="20"/>
  <c r="AN81" i="20"/>
  <c r="AG35" i="20"/>
  <c r="AQ105" i="20"/>
  <c r="AG44" i="20"/>
  <c r="AL143" i="20"/>
  <c r="AQ140" i="20"/>
  <c r="AN181" i="20"/>
  <c r="AL95" i="20"/>
  <c r="AO162" i="20"/>
  <c r="AK162" i="20" s="1"/>
  <c r="AM17" i="20"/>
  <c r="AM43" i="20"/>
  <c r="AG189" i="20"/>
  <c r="AG41" i="20"/>
  <c r="AL147" i="20"/>
  <c r="AQ132" i="20"/>
  <c r="AM196" i="20"/>
  <c r="AG20" i="20"/>
  <c r="AO101" i="20"/>
  <c r="AK101" i="20" s="1"/>
  <c r="AG63" i="20"/>
  <c r="AO63" i="20"/>
  <c r="AK63" i="20" s="1"/>
  <c r="AM63" i="20"/>
  <c r="AL63" i="20"/>
  <c r="AH63" i="20"/>
  <c r="AM4" i="20"/>
  <c r="AG4" i="20"/>
  <c r="AH4" i="20"/>
  <c r="AL4" i="20"/>
  <c r="AM200" i="20"/>
  <c r="AQ59" i="20"/>
  <c r="AN150" i="20"/>
  <c r="AH20" i="20"/>
  <c r="AM117" i="20"/>
  <c r="AG18" i="20"/>
  <c r="AN165" i="20"/>
  <c r="AQ158" i="20"/>
  <c r="AI100" i="20"/>
  <c r="AQ137" i="20"/>
  <c r="AH17" i="20"/>
  <c r="AH36" i="20"/>
  <c r="AL170" i="20"/>
  <c r="AM57" i="20"/>
  <c r="AQ178" i="20"/>
  <c r="AQ168" i="20"/>
  <c r="AM8" i="20"/>
  <c r="AO164" i="20"/>
  <c r="AK164" i="20" s="1"/>
  <c r="AG32" i="20"/>
  <c r="AL126" i="20"/>
  <c r="AN163" i="20"/>
  <c r="AQ192" i="20"/>
  <c r="AG127" i="20"/>
  <c r="AI148" i="20"/>
  <c r="AM124" i="20"/>
  <c r="AL81" i="20"/>
  <c r="AO35" i="20"/>
  <c r="AK35" i="20" s="1"/>
  <c r="AG105" i="20"/>
  <c r="AM176" i="20"/>
  <c r="AM143" i="20"/>
  <c r="AH140" i="20"/>
  <c r="AQ181" i="20"/>
  <c r="AM162" i="20"/>
  <c r="AN41" i="20"/>
  <c r="AH147" i="20"/>
  <c r="AH196" i="20"/>
  <c r="AH194" i="20"/>
  <c r="AN82" i="20"/>
  <c r="AN17" i="20"/>
  <c r="AM18" i="20"/>
  <c r="AL104" i="20"/>
  <c r="AQ126" i="20"/>
  <c r="AH62" i="20"/>
  <c r="AG62" i="20"/>
  <c r="AL62" i="20"/>
  <c r="AO62" i="20"/>
  <c r="AK62" i="20" s="1"/>
  <c r="AH111" i="20"/>
  <c r="AN111" i="20"/>
  <c r="AQ111" i="20"/>
  <c r="AG111" i="20"/>
  <c r="AL111" i="20"/>
  <c r="AM111" i="20"/>
  <c r="AO111" i="20"/>
  <c r="AK111" i="20" s="1"/>
  <c r="AJ100" i="20"/>
  <c r="AO74" i="20"/>
  <c r="AK74" i="20" s="1"/>
  <c r="AM74" i="20"/>
  <c r="AN74" i="20"/>
  <c r="AQ74" i="20"/>
  <c r="AH74" i="20"/>
  <c r="AQ127" i="20"/>
  <c r="AH124" i="20"/>
  <c r="AL124" i="20"/>
  <c r="AL176" i="20"/>
  <c r="AG181" i="20"/>
  <c r="AN123" i="20"/>
  <c r="K53" i="17"/>
  <c r="K109" i="17"/>
  <c r="K81" i="17"/>
  <c r="AR2" i="20" l="1"/>
  <c r="AI39" i="20"/>
  <c r="AI123" i="20"/>
  <c r="AI121" i="20"/>
  <c r="AI199" i="20"/>
  <c r="AI54" i="20"/>
  <c r="AI146" i="20"/>
  <c r="AI77" i="20"/>
  <c r="AI185" i="20"/>
  <c r="AI5" i="20"/>
  <c r="AI66" i="20"/>
  <c r="AI10" i="20"/>
  <c r="AI104" i="20"/>
  <c r="AI177" i="20"/>
  <c r="AI47" i="20"/>
  <c r="AI158" i="20"/>
  <c r="AI74" i="20"/>
  <c r="AI145" i="20"/>
  <c r="AI135" i="20"/>
  <c r="AI143" i="20"/>
  <c r="AI57" i="20"/>
  <c r="AJ98" i="20"/>
  <c r="AI83" i="20"/>
  <c r="AI129" i="20"/>
  <c r="AJ115" i="20"/>
  <c r="AI175" i="20"/>
  <c r="AJ186" i="20"/>
  <c r="AJ121" i="20"/>
  <c r="AI120" i="20"/>
  <c r="AJ70" i="20"/>
  <c r="AJ109" i="20"/>
  <c r="AI71" i="20"/>
  <c r="AI51" i="20"/>
  <c r="AJ199" i="20"/>
  <c r="AJ29" i="20"/>
  <c r="AI173" i="20"/>
  <c r="AJ101" i="20"/>
  <c r="AI153" i="20"/>
  <c r="AJ33" i="20"/>
  <c r="AI94" i="20"/>
  <c r="AJ188" i="20"/>
  <c r="AI38" i="20"/>
  <c r="AJ173" i="20"/>
  <c r="AI106" i="20"/>
  <c r="AJ114" i="20"/>
  <c r="AI98" i="20"/>
  <c r="AJ182" i="20"/>
  <c r="AI109" i="20"/>
  <c r="AI78" i="20"/>
  <c r="AJ86" i="20"/>
  <c r="AJ175" i="20"/>
  <c r="AI138" i="20"/>
  <c r="AI99" i="20"/>
  <c r="AJ159" i="20"/>
  <c r="AI8" i="20"/>
  <c r="AJ133" i="20"/>
  <c r="AJ144" i="20"/>
  <c r="AI134" i="20"/>
  <c r="AJ71" i="20"/>
  <c r="AI86" i="20"/>
  <c r="AI29" i="20"/>
  <c r="AI124" i="20"/>
  <c r="AJ129" i="20"/>
  <c r="AJ135" i="20"/>
  <c r="AJ10" i="20"/>
  <c r="AJ73" i="20"/>
  <c r="AJ45" i="20"/>
  <c r="AI61" i="20"/>
  <c r="AJ37" i="20"/>
  <c r="AI117" i="20"/>
  <c r="AJ130" i="20"/>
  <c r="AJ38" i="20"/>
  <c r="AI140" i="20"/>
  <c r="AI16" i="20"/>
  <c r="AI114" i="20"/>
  <c r="AI7" i="20"/>
  <c r="AJ125" i="20"/>
  <c r="AI79" i="20"/>
  <c r="AI37" i="20"/>
  <c r="AI84" i="20"/>
  <c r="AJ146" i="20"/>
  <c r="AJ40" i="20"/>
  <c r="AJ179" i="20"/>
  <c r="AI33" i="20"/>
  <c r="AI21" i="20"/>
  <c r="AI102" i="20"/>
  <c r="AI159" i="20"/>
  <c r="AI73" i="20"/>
  <c r="AI44" i="20"/>
  <c r="AI201" i="20"/>
  <c r="AJ164" i="20"/>
  <c r="AI15" i="20"/>
  <c r="AJ66" i="20"/>
  <c r="AI174" i="20"/>
  <c r="AJ178" i="20"/>
  <c r="AI128" i="20"/>
  <c r="AJ136" i="20"/>
  <c r="AI24" i="20"/>
  <c r="AI157" i="20"/>
  <c r="AJ99" i="20"/>
  <c r="AI131" i="20"/>
  <c r="AI127" i="20"/>
  <c r="AJ90" i="20"/>
  <c r="AI136" i="20"/>
  <c r="AJ7" i="20"/>
  <c r="AJ180" i="20"/>
  <c r="AJ78" i="20"/>
  <c r="AI69" i="20"/>
  <c r="AJ15" i="20"/>
  <c r="AI70" i="20"/>
  <c r="AJ131" i="20"/>
  <c r="AJ27" i="20"/>
  <c r="AJ36" i="20"/>
  <c r="AI43" i="20"/>
  <c r="AI52" i="20"/>
  <c r="AI101" i="20"/>
  <c r="AJ201" i="20"/>
  <c r="AI164" i="20"/>
  <c r="AI116" i="20"/>
  <c r="AJ52" i="20"/>
  <c r="AI95" i="20"/>
  <c r="AI18" i="20"/>
  <c r="AI32" i="20"/>
  <c r="AJ198" i="20"/>
  <c r="AJ46" i="20"/>
  <c r="AJ89" i="20"/>
  <c r="AJ148" i="20"/>
  <c r="AJ65" i="20"/>
  <c r="AJ158" i="20"/>
  <c r="AI59" i="20"/>
  <c r="AI184" i="20"/>
  <c r="AI93" i="20"/>
  <c r="AJ68" i="20"/>
  <c r="AI65" i="20"/>
  <c r="AJ106" i="20"/>
  <c r="AJ138" i="20"/>
  <c r="AI180" i="20"/>
  <c r="AJ92" i="20"/>
  <c r="AI188" i="20"/>
  <c r="AI89" i="20"/>
  <c r="AI48" i="20"/>
  <c r="AJ127" i="20"/>
  <c r="AI178" i="20"/>
  <c r="AJ168" i="20"/>
  <c r="AJ20" i="20"/>
  <c r="AR12" i="20"/>
  <c r="C12" i="20" s="1"/>
  <c r="A12" i="20" s="1"/>
  <c r="F12" i="20" s="1"/>
  <c r="AI40" i="20"/>
  <c r="AJ184" i="20"/>
  <c r="AI3" i="20"/>
  <c r="AI187" i="20"/>
  <c r="AI196" i="20"/>
  <c r="AJ3" i="20"/>
  <c r="AJ94" i="20"/>
  <c r="AJ169" i="20"/>
  <c r="AR186" i="20"/>
  <c r="C186" i="20" s="1"/>
  <c r="A186" i="20" s="1"/>
  <c r="F186" i="20" s="1"/>
  <c r="AR180" i="20"/>
  <c r="C180" i="20" s="1"/>
  <c r="A180" i="20" s="1"/>
  <c r="F180" i="20" s="1"/>
  <c r="AR3" i="20"/>
  <c r="C3" i="20" s="1"/>
  <c r="A3" i="20" s="1"/>
  <c r="F3" i="20" s="1"/>
  <c r="AR49" i="20"/>
  <c r="C49" i="20" s="1"/>
  <c r="A49" i="20" s="1"/>
  <c r="F49" i="20" s="1"/>
  <c r="AR179" i="20"/>
  <c r="C179" i="20" s="1"/>
  <c r="A179" i="20" s="1"/>
  <c r="F179" i="20" s="1"/>
  <c r="AR52" i="20"/>
  <c r="C52" i="20" s="1"/>
  <c r="A52" i="20" s="1"/>
  <c r="F52" i="20" s="1"/>
  <c r="AR17" i="20"/>
  <c r="C17" i="20" s="1"/>
  <c r="A17" i="20" s="1"/>
  <c r="F17" i="20" s="1"/>
  <c r="AR5" i="20"/>
  <c r="C5" i="20" s="1"/>
  <c r="A5" i="20" s="1"/>
  <c r="F5" i="20" s="1"/>
  <c r="AR54" i="20"/>
  <c r="C54" i="20" s="1"/>
  <c r="A54" i="20" s="1"/>
  <c r="F54" i="20" s="1"/>
  <c r="AR15" i="20"/>
  <c r="C15" i="20" s="1"/>
  <c r="A15" i="20" s="1"/>
  <c r="F15" i="20" s="1"/>
  <c r="AR20" i="20"/>
  <c r="C20" i="20" s="1"/>
  <c r="A20" i="20" s="1"/>
  <c r="F20" i="20" s="1"/>
  <c r="AR188" i="20"/>
  <c r="C188" i="20" s="1"/>
  <c r="A188" i="20" s="1"/>
  <c r="F188" i="20" s="1"/>
  <c r="AR41" i="20"/>
  <c r="C41" i="20" s="1"/>
  <c r="A41" i="20" s="1"/>
  <c r="F41" i="20" s="1"/>
  <c r="AR9" i="20"/>
  <c r="C9" i="20" s="1"/>
  <c r="A9" i="20" s="1"/>
  <c r="F9" i="20" s="1"/>
  <c r="AR40" i="20"/>
  <c r="C40" i="20" s="1"/>
  <c r="A40" i="20" s="1"/>
  <c r="F40" i="20" s="1"/>
  <c r="AR39" i="20"/>
  <c r="C39" i="20" s="1"/>
  <c r="A39" i="20" s="1"/>
  <c r="F39" i="20" s="1"/>
  <c r="AR185" i="20"/>
  <c r="C185" i="20" s="1"/>
  <c r="A185" i="20" s="1"/>
  <c r="F185" i="20" s="1"/>
  <c r="AR187" i="20"/>
  <c r="C187" i="20" s="1"/>
  <c r="A187" i="20" s="1"/>
  <c r="F187" i="20" s="1"/>
  <c r="AR48" i="20"/>
  <c r="C48" i="20" s="1"/>
  <c r="A48" i="20" s="1"/>
  <c r="F48" i="20" s="1"/>
  <c r="AR37" i="20"/>
  <c r="C37" i="20" s="1"/>
  <c r="A37" i="20" s="1"/>
  <c r="F37" i="20" s="1"/>
  <c r="AR4" i="20"/>
  <c r="C4" i="20" s="1"/>
  <c r="A4" i="20" s="1"/>
  <c r="F4" i="20" s="1"/>
  <c r="AR25" i="20"/>
  <c r="C25" i="20" s="1"/>
  <c r="A25" i="20" s="1"/>
  <c r="F25" i="20" s="1"/>
  <c r="AR50" i="20"/>
  <c r="C50" i="20" s="1"/>
  <c r="A50" i="20" s="1"/>
  <c r="F50" i="20" s="1"/>
  <c r="AR51" i="20"/>
  <c r="C51" i="20" s="1"/>
  <c r="A51" i="20" s="1"/>
  <c r="F51" i="20" s="1"/>
  <c r="AR181" i="20"/>
  <c r="C181" i="20" s="1"/>
  <c r="A181" i="20" s="1"/>
  <c r="F181" i="20" s="1"/>
  <c r="AR47" i="20"/>
  <c r="C47" i="20" s="1"/>
  <c r="A47" i="20" s="1"/>
  <c r="F47" i="20" s="1"/>
  <c r="AR45" i="20"/>
  <c r="C45" i="20" s="1"/>
  <c r="A45" i="20" s="1"/>
  <c r="F45" i="20" s="1"/>
  <c r="AR18" i="20"/>
  <c r="C18" i="20" s="1"/>
  <c r="A18" i="20" s="1"/>
  <c r="F18" i="20" s="1"/>
  <c r="AR22" i="20"/>
  <c r="C22" i="20" s="1"/>
  <c r="A22" i="20" s="1"/>
  <c r="F22" i="20" s="1"/>
  <c r="AR53" i="20"/>
  <c r="C53" i="20" s="1"/>
  <c r="A53" i="20" s="1"/>
  <c r="F53" i="20" s="1"/>
  <c r="AR28" i="20"/>
  <c r="C28" i="20" s="1"/>
  <c r="A28" i="20" s="1"/>
  <c r="F28" i="20" s="1"/>
  <c r="AR24" i="20"/>
  <c r="C24" i="20" s="1"/>
  <c r="A24" i="20" s="1"/>
  <c r="F24" i="20" s="1"/>
  <c r="AR14" i="20"/>
  <c r="C14" i="20" s="1"/>
  <c r="A14" i="20" s="1"/>
  <c r="F14" i="20" s="1"/>
  <c r="AR175" i="20"/>
  <c r="C175" i="20" s="1"/>
  <c r="A175" i="20" s="1"/>
  <c r="F175" i="20" s="1"/>
  <c r="AR43" i="20"/>
  <c r="C43" i="20" s="1"/>
  <c r="A43" i="20" s="1"/>
  <c r="F43" i="20" s="1"/>
  <c r="AR27" i="20"/>
  <c r="C27" i="20" s="1"/>
  <c r="A27" i="20" s="1"/>
  <c r="F27" i="20" s="1"/>
  <c r="AR42" i="20"/>
  <c r="C42" i="20" s="1"/>
  <c r="A42" i="20" s="1"/>
  <c r="F42" i="20" s="1"/>
  <c r="AR11" i="20"/>
  <c r="C11" i="20" s="1"/>
  <c r="A11" i="20" s="1"/>
  <c r="F11" i="20" s="1"/>
  <c r="AR31" i="20"/>
  <c r="C31" i="20" s="1"/>
  <c r="A31" i="20" s="1"/>
  <c r="F31" i="20" s="1"/>
  <c r="AR30" i="20"/>
  <c r="C30" i="20" s="1"/>
  <c r="A30" i="20" s="1"/>
  <c r="F30" i="20" s="1"/>
  <c r="AR21" i="20"/>
  <c r="C21" i="20" s="1"/>
  <c r="A21" i="20" s="1"/>
  <c r="F21" i="20" s="1"/>
  <c r="AR44" i="20"/>
  <c r="C44" i="20" s="1"/>
  <c r="A44" i="20" s="1"/>
  <c r="F44" i="20" s="1"/>
  <c r="AR190" i="20"/>
  <c r="C190" i="20" s="1"/>
  <c r="A190" i="20" s="1"/>
  <c r="F190" i="20" s="1"/>
  <c r="AR177" i="20"/>
  <c r="C177" i="20" s="1"/>
  <c r="A177" i="20" s="1"/>
  <c r="F177" i="20" s="1"/>
  <c r="AI170" i="20"/>
  <c r="AJ128" i="20"/>
  <c r="AR183" i="20"/>
  <c r="C183" i="20" s="1"/>
  <c r="A183" i="20" s="1"/>
  <c r="F183" i="20" s="1"/>
  <c r="AR46" i="20"/>
  <c r="C46" i="20" s="1"/>
  <c r="A46" i="20" s="1"/>
  <c r="F46" i="20" s="1"/>
  <c r="AR7" i="20"/>
  <c r="C7" i="20" s="1"/>
  <c r="A7" i="20" s="1"/>
  <c r="F7" i="20" s="1"/>
  <c r="AR32" i="20"/>
  <c r="C32" i="20" s="1"/>
  <c r="A32" i="20" s="1"/>
  <c r="F32" i="20" s="1"/>
  <c r="AR6" i="20"/>
  <c r="C6" i="20" s="1"/>
  <c r="A6" i="20" s="1"/>
  <c r="F6" i="20" s="1"/>
  <c r="AR29" i="20"/>
  <c r="C29" i="20" s="1"/>
  <c r="A29" i="20" s="1"/>
  <c r="F29" i="20" s="1"/>
  <c r="AR182" i="20"/>
  <c r="C182" i="20" s="1"/>
  <c r="A182" i="20" s="1"/>
  <c r="F182" i="20" s="1"/>
  <c r="AR35" i="20"/>
  <c r="C35" i="20" s="1"/>
  <c r="A35" i="20" s="1"/>
  <c r="F35" i="20" s="1"/>
  <c r="AR192" i="20"/>
  <c r="C192" i="20" s="1"/>
  <c r="A192" i="20" s="1"/>
  <c r="F192" i="20" s="1"/>
  <c r="AR176" i="20"/>
  <c r="C176" i="20" s="1"/>
  <c r="A176" i="20" s="1"/>
  <c r="F176" i="20" s="1"/>
  <c r="AI90" i="20"/>
  <c r="AR36" i="20"/>
  <c r="C36" i="20" s="1"/>
  <c r="A36" i="20" s="1"/>
  <c r="F36" i="20" s="1"/>
  <c r="AR23" i="20"/>
  <c r="C23" i="20" s="1"/>
  <c r="A23" i="20" s="1"/>
  <c r="F23" i="20" s="1"/>
  <c r="AR174" i="20"/>
  <c r="C174" i="20" s="1"/>
  <c r="A174" i="20" s="1"/>
  <c r="F174" i="20" s="1"/>
  <c r="AR34" i="20"/>
  <c r="C34" i="20" s="1"/>
  <c r="A34" i="20" s="1"/>
  <c r="F34" i="20" s="1"/>
  <c r="AR13" i="20"/>
  <c r="C13" i="20" s="1"/>
  <c r="A13" i="20" s="1"/>
  <c r="F13" i="20" s="1"/>
  <c r="AR10" i="20"/>
  <c r="C10" i="20" s="1"/>
  <c r="A10" i="20" s="1"/>
  <c r="F10" i="20" s="1"/>
  <c r="AR189" i="20"/>
  <c r="C189" i="20" s="1"/>
  <c r="A189" i="20" s="1"/>
  <c r="F189" i="20" s="1"/>
  <c r="AR184" i="20"/>
  <c r="C184" i="20" s="1"/>
  <c r="A184" i="20" s="1"/>
  <c r="F184" i="20" s="1"/>
  <c r="AR178" i="20"/>
  <c r="C178" i="20" s="1"/>
  <c r="A178" i="20" s="1"/>
  <c r="F178" i="20" s="1"/>
  <c r="AR191" i="20"/>
  <c r="C191" i="20" s="1"/>
  <c r="A191" i="20" s="1"/>
  <c r="F191" i="20" s="1"/>
  <c r="AI168" i="20"/>
  <c r="AR26" i="20"/>
  <c r="C26" i="20" s="1"/>
  <c r="A26" i="20" s="1"/>
  <c r="F26" i="20" s="1"/>
  <c r="AR16" i="20"/>
  <c r="C16" i="20" s="1"/>
  <c r="A16" i="20" s="1"/>
  <c r="F16" i="20" s="1"/>
  <c r="AR19" i="20"/>
  <c r="C19" i="20" s="1"/>
  <c r="A19" i="20" s="1"/>
  <c r="F19" i="20" s="1"/>
  <c r="AR33" i="20"/>
  <c r="C33" i="20" s="1"/>
  <c r="A33" i="20" s="1"/>
  <c r="F33" i="20" s="1"/>
  <c r="AR8" i="20"/>
  <c r="C8" i="20" s="1"/>
  <c r="A8" i="20" s="1"/>
  <c r="F8" i="20" s="1"/>
  <c r="AR38" i="20"/>
  <c r="C38" i="20" s="1"/>
  <c r="A38" i="20" s="1"/>
  <c r="F38" i="20" s="1"/>
  <c r="AR193" i="20"/>
  <c r="C193" i="20" s="1"/>
  <c r="A193" i="20" s="1"/>
  <c r="F193" i="20" s="1"/>
  <c r="AI27" i="20"/>
  <c r="AJ122" i="20"/>
  <c r="AI198" i="20"/>
  <c r="AI62" i="20"/>
  <c r="AI91" i="20"/>
  <c r="AJ108" i="20"/>
  <c r="AJ187" i="20"/>
  <c r="AI108" i="20"/>
  <c r="AJ14" i="20"/>
  <c r="AJ81" i="20"/>
  <c r="AJ48" i="20"/>
  <c r="AJ142" i="20"/>
  <c r="AJ134" i="20"/>
  <c r="AJ8" i="20"/>
  <c r="AJ32" i="20"/>
  <c r="AJ72" i="20"/>
  <c r="AI200" i="20"/>
  <c r="AI150" i="20"/>
  <c r="AI154" i="20"/>
  <c r="AI11" i="20"/>
  <c r="AI80" i="20"/>
  <c r="AJ59" i="20"/>
  <c r="AJ42" i="20"/>
  <c r="AJ181" i="20"/>
  <c r="AJ103" i="20"/>
  <c r="AI41" i="20"/>
  <c r="AJ104" i="20"/>
  <c r="AI189" i="20"/>
  <c r="AJ28" i="20"/>
  <c r="AI183" i="20"/>
  <c r="AI126" i="20"/>
  <c r="AI137" i="20"/>
  <c r="AI122" i="20"/>
  <c r="AI191" i="20"/>
  <c r="AJ6" i="20"/>
  <c r="AI195" i="20"/>
  <c r="AJ24" i="20"/>
  <c r="AI36" i="20"/>
  <c r="AI179" i="20"/>
  <c r="AJ83" i="20"/>
  <c r="AI172" i="20"/>
  <c r="AR55" i="20"/>
  <c r="C55" i="20" s="1"/>
  <c r="A55" i="20" s="1"/>
  <c r="F55" i="20" s="1"/>
  <c r="AJ84" i="20"/>
  <c r="AJ117" i="20"/>
  <c r="AI34" i="20"/>
  <c r="AJ19" i="20"/>
  <c r="AJ55" i="20"/>
  <c r="AJ51" i="20"/>
  <c r="AJ145" i="20"/>
  <c r="AJ200" i="20"/>
  <c r="AI105" i="20"/>
  <c r="AJ143" i="20"/>
  <c r="AI25" i="20"/>
  <c r="AI58" i="20"/>
  <c r="AJ152" i="20"/>
  <c r="AJ141" i="20"/>
  <c r="AI87" i="20"/>
  <c r="AJ21" i="20"/>
  <c r="AI161" i="20"/>
  <c r="AJ62" i="20"/>
  <c r="AJ63" i="20"/>
  <c r="AI149" i="20"/>
  <c r="AI12" i="20"/>
  <c r="AI171" i="20"/>
  <c r="AI144" i="20"/>
  <c r="AI163" i="20"/>
  <c r="AJ137" i="20"/>
  <c r="AJ149" i="20"/>
  <c r="AJ16" i="20"/>
  <c r="AJ93" i="20"/>
  <c r="AJ116" i="20"/>
  <c r="AI67" i="20"/>
  <c r="AI186" i="20"/>
  <c r="AR130" i="20"/>
  <c r="C130" i="20" s="1"/>
  <c r="A130" i="20" s="1"/>
  <c r="F130" i="20" s="1"/>
  <c r="AI142" i="20"/>
  <c r="AJ172" i="20"/>
  <c r="AJ60" i="20"/>
  <c r="AJ31" i="20"/>
  <c r="AJ102" i="20"/>
  <c r="AI181" i="20"/>
  <c r="AI31" i="20"/>
  <c r="AJ174" i="20"/>
  <c r="AI20" i="20"/>
  <c r="AJ105" i="20"/>
  <c r="AI53" i="20"/>
  <c r="AJ194" i="20"/>
  <c r="AI64" i="20"/>
  <c r="AJ74" i="20"/>
  <c r="AJ139" i="20"/>
  <c r="AJ196" i="20"/>
  <c r="AJ22" i="20"/>
  <c r="AJ155" i="20"/>
  <c r="AI166" i="20"/>
  <c r="AJ183" i="20"/>
  <c r="AI60" i="20"/>
  <c r="AR108" i="20"/>
  <c r="C108" i="20" s="1"/>
  <c r="A108" i="20" s="1"/>
  <c r="F108" i="20" s="1"/>
  <c r="AJ87" i="20"/>
  <c r="AJ79" i="20"/>
  <c r="AJ49" i="20"/>
  <c r="AJ171" i="20"/>
  <c r="AJ69" i="20"/>
  <c r="AJ18" i="20"/>
  <c r="AJ176" i="20"/>
  <c r="AJ165" i="20"/>
  <c r="AI76" i="20"/>
  <c r="AI96" i="20"/>
  <c r="AI139" i="20"/>
  <c r="AI119" i="20"/>
  <c r="AJ118" i="20"/>
  <c r="AJ153" i="20"/>
  <c r="AJ88" i="20"/>
  <c r="AI160" i="20"/>
  <c r="AI23" i="20"/>
  <c r="AI169" i="20"/>
  <c r="AJ67" i="20"/>
  <c r="AJ112" i="20"/>
  <c r="AR168" i="20"/>
  <c r="C168" i="20" s="1"/>
  <c r="A168" i="20" s="1"/>
  <c r="F168" i="20" s="1"/>
  <c r="AJ35" i="20"/>
  <c r="AI141" i="20"/>
  <c r="AJ4" i="20"/>
  <c r="AI63" i="20"/>
  <c r="AJ195" i="20"/>
  <c r="AI197" i="20"/>
  <c r="AJ120" i="20"/>
  <c r="AI49" i="20"/>
  <c r="AJ185" i="20"/>
  <c r="AI112" i="20"/>
  <c r="AR125" i="20"/>
  <c r="C125" i="20" s="1"/>
  <c r="A125" i="20" s="1"/>
  <c r="F125" i="20" s="1"/>
  <c r="AR59" i="20"/>
  <c r="C59" i="20" s="1"/>
  <c r="A59" i="20" s="1"/>
  <c r="F59" i="20" s="1"/>
  <c r="AJ126" i="20"/>
  <c r="AR112" i="20"/>
  <c r="C112" i="20" s="1"/>
  <c r="A112" i="20" s="1"/>
  <c r="F112" i="20" s="1"/>
  <c r="AI156" i="20"/>
  <c r="AR127" i="20"/>
  <c r="C127" i="20" s="1"/>
  <c r="A127" i="20" s="1"/>
  <c r="F127" i="20" s="1"/>
  <c r="AR115" i="20"/>
  <c r="C115" i="20" s="1"/>
  <c r="A115" i="20" s="1"/>
  <c r="F115" i="20" s="1"/>
  <c r="AR137" i="20"/>
  <c r="C137" i="20" s="1"/>
  <c r="A137" i="20" s="1"/>
  <c r="F137" i="20" s="1"/>
  <c r="AJ147" i="20"/>
  <c r="AR198" i="20"/>
  <c r="C198" i="20" s="1"/>
  <c r="A198" i="20" s="1"/>
  <c r="F198" i="20" s="1"/>
  <c r="C2" i="20"/>
  <c r="A2" i="20" s="1"/>
  <c r="F2" i="20" s="1"/>
  <c r="AJ192" i="20"/>
  <c r="AJ57" i="20"/>
  <c r="AI26" i="20"/>
  <c r="AR82" i="20"/>
  <c r="C82" i="20" s="1"/>
  <c r="A82" i="20" s="1"/>
  <c r="F82" i="20" s="1"/>
  <c r="AJ140" i="20"/>
  <c r="AJ162" i="20"/>
  <c r="AJ53" i="20"/>
  <c r="AR72" i="20"/>
  <c r="C72" i="20" s="1"/>
  <c r="A72" i="20" s="1"/>
  <c r="F72" i="20" s="1"/>
  <c r="AR166" i="20"/>
  <c r="C166" i="20" s="1"/>
  <c r="A166" i="20" s="1"/>
  <c r="F166" i="20" s="1"/>
  <c r="AR155" i="20"/>
  <c r="C155" i="20" s="1"/>
  <c r="A155" i="20" s="1"/>
  <c r="F155" i="20" s="1"/>
  <c r="AR80" i="20"/>
  <c r="C80" i="20" s="1"/>
  <c r="A80" i="20" s="1"/>
  <c r="F80" i="20" s="1"/>
  <c r="AJ119" i="20"/>
  <c r="AI118" i="20"/>
  <c r="AR103" i="20"/>
  <c r="C103" i="20" s="1"/>
  <c r="A103" i="20" s="1"/>
  <c r="F103" i="20" s="1"/>
  <c r="AI113" i="20"/>
  <c r="AR196" i="20"/>
  <c r="C196" i="20" s="1"/>
  <c r="A196" i="20" s="1"/>
  <c r="F196" i="20" s="1"/>
  <c r="AR77" i="20"/>
  <c r="C77" i="20" s="1"/>
  <c r="A77" i="20" s="1"/>
  <c r="F77" i="20" s="1"/>
  <c r="AI88" i="20"/>
  <c r="AR195" i="20"/>
  <c r="C195" i="20" s="1"/>
  <c r="A195" i="20" s="1"/>
  <c r="F195" i="20" s="1"/>
  <c r="AR102" i="20"/>
  <c r="C102" i="20" s="1"/>
  <c r="A102" i="20" s="1"/>
  <c r="F102" i="20" s="1"/>
  <c r="AI19" i="20"/>
  <c r="AR156" i="20"/>
  <c r="C156" i="20" s="1"/>
  <c r="A156" i="20" s="1"/>
  <c r="F156" i="20" s="1"/>
  <c r="AR172" i="20"/>
  <c r="C172" i="20" s="1"/>
  <c r="A172" i="20" s="1"/>
  <c r="F172" i="20" s="1"/>
  <c r="AJ163" i="20"/>
  <c r="AJ26" i="20"/>
  <c r="AJ34" i="20"/>
  <c r="AR162" i="20"/>
  <c r="C162" i="20" s="1"/>
  <c r="A162" i="20" s="1"/>
  <c r="F162" i="20" s="1"/>
  <c r="AR100" i="20"/>
  <c r="C100" i="20" s="1"/>
  <c r="A100" i="20" s="1"/>
  <c r="F100" i="20" s="1"/>
  <c r="AI167" i="20"/>
  <c r="AJ154" i="20"/>
  <c r="AI42" i="20"/>
  <c r="AR99" i="20"/>
  <c r="C99" i="20" s="1"/>
  <c r="A99" i="20" s="1"/>
  <c r="F99" i="20" s="1"/>
  <c r="AR90" i="20"/>
  <c r="C90" i="20" s="1"/>
  <c r="A90" i="20" s="1"/>
  <c r="F90" i="20" s="1"/>
  <c r="AR122" i="20"/>
  <c r="C122" i="20" s="1"/>
  <c r="A122" i="20" s="1"/>
  <c r="F122" i="20" s="1"/>
  <c r="AR81" i="20"/>
  <c r="C81" i="20" s="1"/>
  <c r="A81" i="20" s="1"/>
  <c r="F81" i="20" s="1"/>
  <c r="AR164" i="20"/>
  <c r="C164" i="20" s="1"/>
  <c r="A164" i="20" s="1"/>
  <c r="F164" i="20" s="1"/>
  <c r="AR120" i="20"/>
  <c r="C120" i="20" s="1"/>
  <c r="A120" i="20" s="1"/>
  <c r="F120" i="20" s="1"/>
  <c r="AR123" i="20"/>
  <c r="C123" i="20" s="1"/>
  <c r="A123" i="20" s="1"/>
  <c r="F123" i="20" s="1"/>
  <c r="AR70" i="20"/>
  <c r="C70" i="20" s="1"/>
  <c r="A70" i="20" s="1"/>
  <c r="F70" i="20" s="1"/>
  <c r="AR101" i="20"/>
  <c r="C101" i="20" s="1"/>
  <c r="A101" i="20" s="1"/>
  <c r="F101" i="20" s="1"/>
  <c r="AR89" i="20"/>
  <c r="C89" i="20" s="1"/>
  <c r="A89" i="20" s="1"/>
  <c r="F89" i="20" s="1"/>
  <c r="AR157" i="20"/>
  <c r="C157" i="20" s="1"/>
  <c r="A157" i="20" s="1"/>
  <c r="F157" i="20" s="1"/>
  <c r="AR200" i="20"/>
  <c r="C200" i="20" s="1"/>
  <c r="A200" i="20" s="1"/>
  <c r="F200" i="20" s="1"/>
  <c r="AR134" i="20"/>
  <c r="C134" i="20" s="1"/>
  <c r="A134" i="20" s="1"/>
  <c r="F134" i="20" s="1"/>
  <c r="AR68" i="20"/>
  <c r="C68" i="20" s="1"/>
  <c r="A68" i="20" s="1"/>
  <c r="F68" i="20" s="1"/>
  <c r="AR63" i="20"/>
  <c r="C63" i="20" s="1"/>
  <c r="A63" i="20" s="1"/>
  <c r="F63" i="20" s="1"/>
  <c r="AJ85" i="20"/>
  <c r="AI75" i="20"/>
  <c r="AR98" i="20"/>
  <c r="C98" i="20" s="1"/>
  <c r="A98" i="20" s="1"/>
  <c r="F98" i="20" s="1"/>
  <c r="AR69" i="20"/>
  <c r="C69" i="20" s="1"/>
  <c r="A69" i="20" s="1"/>
  <c r="F69" i="20" s="1"/>
  <c r="AR92" i="20"/>
  <c r="C92" i="20" s="1"/>
  <c r="A92" i="20" s="1"/>
  <c r="F92" i="20" s="1"/>
  <c r="AJ160" i="20"/>
  <c r="AR126" i="20"/>
  <c r="C126" i="20" s="1"/>
  <c r="A126" i="20" s="1"/>
  <c r="F126" i="20" s="1"/>
  <c r="AR117" i="20"/>
  <c r="C117" i="20" s="1"/>
  <c r="A117" i="20" s="1"/>
  <c r="F117" i="20" s="1"/>
  <c r="AR139" i="20"/>
  <c r="C139" i="20" s="1"/>
  <c r="A139" i="20" s="1"/>
  <c r="F139" i="20" s="1"/>
  <c r="AI82" i="20"/>
  <c r="AI162" i="20"/>
  <c r="AJ191" i="20"/>
  <c r="AR146" i="20"/>
  <c r="C146" i="20" s="1"/>
  <c r="A146" i="20" s="1"/>
  <c r="F146" i="20" s="1"/>
  <c r="AJ167" i="20"/>
  <c r="AJ58" i="20"/>
  <c r="AR119" i="20"/>
  <c r="C119" i="20" s="1"/>
  <c r="A119" i="20" s="1"/>
  <c r="F119" i="20" s="1"/>
  <c r="AR141" i="20"/>
  <c r="C141" i="20" s="1"/>
  <c r="A141" i="20" s="1"/>
  <c r="F141" i="20" s="1"/>
  <c r="AR145" i="20"/>
  <c r="C145" i="20" s="1"/>
  <c r="A145" i="20" s="1"/>
  <c r="F145" i="20" s="1"/>
  <c r="AR121" i="20"/>
  <c r="C121" i="20" s="1"/>
  <c r="A121" i="20" s="1"/>
  <c r="F121" i="20" s="1"/>
  <c r="AR65" i="20"/>
  <c r="C65" i="20" s="1"/>
  <c r="A65" i="20" s="1"/>
  <c r="F65" i="20" s="1"/>
  <c r="AR160" i="20"/>
  <c r="C160" i="20" s="1"/>
  <c r="A160" i="20" s="1"/>
  <c r="F160" i="20" s="1"/>
  <c r="AR95" i="20"/>
  <c r="C95" i="20" s="1"/>
  <c r="A95" i="20" s="1"/>
  <c r="F95" i="20" s="1"/>
  <c r="AR154" i="20"/>
  <c r="C154" i="20" s="1"/>
  <c r="A154" i="20" s="1"/>
  <c r="F154" i="20" s="1"/>
  <c r="AR153" i="20"/>
  <c r="C153" i="20" s="1"/>
  <c r="A153" i="20" s="1"/>
  <c r="F153" i="20" s="1"/>
  <c r="AJ30" i="20"/>
  <c r="AR152" i="20"/>
  <c r="C152" i="20" s="1"/>
  <c r="A152" i="20" s="1"/>
  <c r="F152" i="20" s="1"/>
  <c r="AJ177" i="20"/>
  <c r="AJ13" i="20"/>
  <c r="AJ50" i="20"/>
  <c r="AR86" i="20"/>
  <c r="C86" i="20" s="1"/>
  <c r="A86" i="20" s="1"/>
  <c r="F86" i="20" s="1"/>
  <c r="AR67" i="20"/>
  <c r="C67" i="20" s="1"/>
  <c r="A67" i="20" s="1"/>
  <c r="F67" i="20" s="1"/>
  <c r="AR107" i="20"/>
  <c r="C107" i="20" s="1"/>
  <c r="A107" i="20" s="1"/>
  <c r="F107" i="20" s="1"/>
  <c r="AR197" i="20"/>
  <c r="C197" i="20" s="1"/>
  <c r="A197" i="20" s="1"/>
  <c r="F197" i="20" s="1"/>
  <c r="AR140" i="20"/>
  <c r="C140" i="20" s="1"/>
  <c r="A140" i="20" s="1"/>
  <c r="F140" i="20" s="1"/>
  <c r="AR158" i="20"/>
  <c r="C158" i="20" s="1"/>
  <c r="A158" i="20" s="1"/>
  <c r="F158" i="20" s="1"/>
  <c r="AR73" i="20"/>
  <c r="C73" i="20" s="1"/>
  <c r="A73" i="20" s="1"/>
  <c r="F73" i="20" s="1"/>
  <c r="AR56" i="20"/>
  <c r="C56" i="20" s="1"/>
  <c r="A56" i="20" s="1"/>
  <c r="F56" i="20" s="1"/>
  <c r="AR147" i="20"/>
  <c r="C147" i="20" s="1"/>
  <c r="A147" i="20" s="1"/>
  <c r="F147" i="20" s="1"/>
  <c r="AR114" i="20"/>
  <c r="C114" i="20" s="1"/>
  <c r="A114" i="20" s="1"/>
  <c r="F114" i="20" s="1"/>
  <c r="AR135" i="20"/>
  <c r="C135" i="20" s="1"/>
  <c r="A135" i="20" s="1"/>
  <c r="F135" i="20" s="1"/>
  <c r="AJ111" i="20"/>
  <c r="AJ150" i="20"/>
  <c r="AJ25" i="20"/>
  <c r="AR159" i="20"/>
  <c r="C159" i="20" s="1"/>
  <c r="A159" i="20" s="1"/>
  <c r="F159" i="20" s="1"/>
  <c r="AJ61" i="20"/>
  <c r="AR88" i="20"/>
  <c r="C88" i="20" s="1"/>
  <c r="A88" i="20" s="1"/>
  <c r="F88" i="20" s="1"/>
  <c r="AJ170" i="20"/>
  <c r="AI17" i="20"/>
  <c r="AR142" i="20"/>
  <c r="C142" i="20" s="1"/>
  <c r="A142" i="20" s="1"/>
  <c r="F142" i="20" s="1"/>
  <c r="AJ151" i="20"/>
  <c r="AJ76" i="20"/>
  <c r="AR96" i="20"/>
  <c r="C96" i="20" s="1"/>
  <c r="A96" i="20" s="1"/>
  <c r="F96" i="20" s="1"/>
  <c r="AJ132" i="20"/>
  <c r="AJ17" i="20"/>
  <c r="AR143" i="20"/>
  <c r="C143" i="20" s="1"/>
  <c r="A143" i="20" s="1"/>
  <c r="F143" i="20" s="1"/>
  <c r="AJ123" i="20"/>
  <c r="AR194" i="20"/>
  <c r="C194" i="20" s="1"/>
  <c r="A194" i="20" s="1"/>
  <c r="F194" i="20" s="1"/>
  <c r="AJ43" i="20"/>
  <c r="AI81" i="20"/>
  <c r="AJ189" i="20"/>
  <c r="AJ44" i="20"/>
  <c r="AR109" i="20"/>
  <c r="C109" i="20" s="1"/>
  <c r="A109" i="20" s="1"/>
  <c r="F109" i="20" s="1"/>
  <c r="AR167" i="20"/>
  <c r="C167" i="20" s="1"/>
  <c r="A167" i="20" s="1"/>
  <c r="F167" i="20" s="1"/>
  <c r="AR131" i="20"/>
  <c r="C131" i="20" s="1"/>
  <c r="A131" i="20" s="1"/>
  <c r="F131" i="20" s="1"/>
  <c r="AJ47" i="20"/>
  <c r="AR128" i="20"/>
  <c r="C128" i="20" s="1"/>
  <c r="A128" i="20" s="1"/>
  <c r="F128" i="20" s="1"/>
  <c r="AR58" i="20"/>
  <c r="C58" i="20" s="1"/>
  <c r="A58" i="20" s="1"/>
  <c r="F58" i="20" s="1"/>
  <c r="AI190" i="20"/>
  <c r="AR60" i="20"/>
  <c r="C60" i="20" s="1"/>
  <c r="A60" i="20" s="1"/>
  <c r="F60" i="20" s="1"/>
  <c r="AR97" i="20"/>
  <c r="C97" i="20" s="1"/>
  <c r="A97" i="20" s="1"/>
  <c r="F97" i="20" s="1"/>
  <c r="AJ9" i="20"/>
  <c r="AR62" i="20"/>
  <c r="C62" i="20" s="1"/>
  <c r="A62" i="20" s="1"/>
  <c r="F62" i="20" s="1"/>
  <c r="AR163" i="20"/>
  <c r="C163" i="20" s="1"/>
  <c r="A163" i="20" s="1"/>
  <c r="F163" i="20" s="1"/>
  <c r="AI30" i="20"/>
  <c r="AR71" i="20"/>
  <c r="C71" i="20" s="1"/>
  <c r="A71" i="20" s="1"/>
  <c r="F71" i="20" s="1"/>
  <c r="AI85" i="20"/>
  <c r="AJ75" i="20"/>
  <c r="AJ110" i="20"/>
  <c r="AJ77" i="20"/>
  <c r="AR136" i="20"/>
  <c r="C136" i="20" s="1"/>
  <c r="A136" i="20" s="1"/>
  <c r="F136" i="20" s="1"/>
  <c r="AR116" i="20"/>
  <c r="C116" i="20" s="1"/>
  <c r="A116" i="20" s="1"/>
  <c r="F116" i="20" s="1"/>
  <c r="AR66" i="20"/>
  <c r="C66" i="20" s="1"/>
  <c r="A66" i="20" s="1"/>
  <c r="F66" i="20" s="1"/>
  <c r="AR79" i="20"/>
  <c r="C79" i="20" s="1"/>
  <c r="A79" i="20" s="1"/>
  <c r="F79" i="20" s="1"/>
  <c r="AJ197" i="20"/>
  <c r="AR113" i="20"/>
  <c r="C113" i="20" s="1"/>
  <c r="A113" i="20" s="1"/>
  <c r="F113" i="20" s="1"/>
  <c r="AR124" i="20"/>
  <c r="C124" i="20" s="1"/>
  <c r="A124" i="20" s="1"/>
  <c r="F124" i="20" s="1"/>
  <c r="AR74" i="20"/>
  <c r="C74" i="20" s="1"/>
  <c r="A74" i="20" s="1"/>
  <c r="F74" i="20" s="1"/>
  <c r="AI151" i="20"/>
  <c r="AR104" i="20"/>
  <c r="C104" i="20" s="1"/>
  <c r="A104" i="20" s="1"/>
  <c r="F104" i="20" s="1"/>
  <c r="AJ41" i="20"/>
  <c r="AR106" i="20"/>
  <c r="C106" i="20" s="1"/>
  <c r="A106" i="20" s="1"/>
  <c r="F106" i="20" s="1"/>
  <c r="AR149" i="20"/>
  <c r="C149" i="20" s="1"/>
  <c r="A149" i="20" s="1"/>
  <c r="F149" i="20" s="1"/>
  <c r="AR57" i="20"/>
  <c r="C57" i="20" s="1"/>
  <c r="A57" i="20" s="1"/>
  <c r="F57" i="20" s="1"/>
  <c r="AR150" i="20"/>
  <c r="C150" i="20" s="1"/>
  <c r="A150" i="20" s="1"/>
  <c r="F150" i="20" s="1"/>
  <c r="AI111" i="20"/>
  <c r="AJ124" i="20"/>
  <c r="AR111" i="20"/>
  <c r="C111" i="20" s="1"/>
  <c r="A111" i="20" s="1"/>
  <c r="F111" i="20" s="1"/>
  <c r="AR199" i="20"/>
  <c r="C199" i="20" s="1"/>
  <c r="A199" i="20" s="1"/>
  <c r="F199" i="20" s="1"/>
  <c r="AI4" i="20"/>
  <c r="AR105" i="20"/>
  <c r="C105" i="20" s="1"/>
  <c r="A105" i="20" s="1"/>
  <c r="F105" i="20" s="1"/>
  <c r="AJ156" i="20"/>
  <c r="AR91" i="20"/>
  <c r="C91" i="20" s="1"/>
  <c r="A91" i="20" s="1"/>
  <c r="F91" i="20" s="1"/>
  <c r="AR201" i="20"/>
  <c r="C201" i="20" s="1"/>
  <c r="A201" i="20" s="1"/>
  <c r="F201" i="20" s="1"/>
  <c r="AR151" i="20"/>
  <c r="C151" i="20" s="1"/>
  <c r="A151" i="20" s="1"/>
  <c r="F151" i="20" s="1"/>
  <c r="AJ96" i="20"/>
  <c r="AJ56" i="20"/>
  <c r="AI147" i="20"/>
  <c r="AR165" i="20"/>
  <c r="C165" i="20" s="1"/>
  <c r="A165" i="20" s="1"/>
  <c r="F165" i="20" s="1"/>
  <c r="AJ107" i="20"/>
  <c r="AR61" i="20"/>
  <c r="C61" i="20" s="1"/>
  <c r="A61" i="20" s="1"/>
  <c r="F61" i="20" s="1"/>
  <c r="AI22" i="20"/>
  <c r="AJ161" i="20"/>
  <c r="AI9" i="20"/>
  <c r="AJ97" i="20"/>
  <c r="AJ64" i="20"/>
  <c r="AI103" i="20"/>
  <c r="AR171" i="20"/>
  <c r="C171" i="20" s="1"/>
  <c r="A171" i="20" s="1"/>
  <c r="F171" i="20" s="1"/>
  <c r="AJ113" i="20"/>
  <c r="AR169" i="20"/>
  <c r="C169" i="20" s="1"/>
  <c r="A169" i="20" s="1"/>
  <c r="F169" i="20" s="1"/>
  <c r="AI152" i="20"/>
  <c r="AR85" i="20"/>
  <c r="C85" i="20" s="1"/>
  <c r="A85" i="20" s="1"/>
  <c r="F85" i="20" s="1"/>
  <c r="AI6" i="20"/>
  <c r="AI110" i="20"/>
  <c r="AI50" i="20"/>
  <c r="AR170" i="20"/>
  <c r="C170" i="20" s="1"/>
  <c r="A170" i="20" s="1"/>
  <c r="F170" i="20" s="1"/>
  <c r="AR94" i="20"/>
  <c r="C94" i="20" s="1"/>
  <c r="A94" i="20" s="1"/>
  <c r="F94" i="20" s="1"/>
  <c r="AJ12" i="20"/>
  <c r="AR83" i="20"/>
  <c r="C83" i="20" s="1"/>
  <c r="A83" i="20" s="1"/>
  <c r="F83" i="20" s="1"/>
  <c r="AR84" i="20"/>
  <c r="C84" i="20" s="1"/>
  <c r="A84" i="20" s="1"/>
  <c r="F84" i="20" s="1"/>
  <c r="AR93" i="20"/>
  <c r="C93" i="20" s="1"/>
  <c r="A93" i="20" s="1"/>
  <c r="F93" i="20" s="1"/>
  <c r="AI194" i="20"/>
  <c r="AR173" i="20"/>
  <c r="C173" i="20" s="1"/>
  <c r="A173" i="20" s="1"/>
  <c r="F173" i="20" s="1"/>
  <c r="AR87" i="20"/>
  <c r="C87" i="20" s="1"/>
  <c r="A87" i="20" s="1"/>
  <c r="F87" i="20" s="1"/>
  <c r="AR129" i="20"/>
  <c r="C129" i="20" s="1"/>
  <c r="A129" i="20" s="1"/>
  <c r="F129" i="20" s="1"/>
  <c r="AI56" i="20"/>
  <c r="AJ82" i="20"/>
  <c r="AR132" i="20"/>
  <c r="C132" i="20" s="1"/>
  <c r="A132" i="20" s="1"/>
  <c r="F132" i="20" s="1"/>
  <c r="AJ95" i="20"/>
  <c r="AI35" i="20"/>
  <c r="AJ91" i="20"/>
  <c r="AR76" i="20"/>
  <c r="C76" i="20" s="1"/>
  <c r="A76" i="20" s="1"/>
  <c r="F76" i="20" s="1"/>
  <c r="AR118" i="20"/>
  <c r="C118" i="20" s="1"/>
  <c r="A118" i="20" s="1"/>
  <c r="F118" i="20" s="1"/>
  <c r="AI72" i="20"/>
  <c r="AI155" i="20"/>
  <c r="AJ80" i="20"/>
  <c r="AJ11" i="20"/>
  <c r="AJ190" i="20"/>
  <c r="AR64" i="20"/>
  <c r="C64" i="20" s="1"/>
  <c r="A64" i="20" s="1"/>
  <c r="F64" i="20" s="1"/>
  <c r="AR148" i="20"/>
  <c r="C148" i="20" s="1"/>
  <c r="A148" i="20" s="1"/>
  <c r="F148" i="20" s="1"/>
  <c r="AJ23" i="20"/>
  <c r="AR78" i="20"/>
  <c r="C78" i="20" s="1"/>
  <c r="A78" i="20" s="1"/>
  <c r="F78" i="20" s="1"/>
  <c r="AJ166" i="20"/>
  <c r="AR161" i="20"/>
  <c r="C161" i="20" s="1"/>
  <c r="A161" i="20" s="1"/>
  <c r="F161" i="20" s="1"/>
  <c r="AR75" i="20"/>
  <c r="C75" i="20" s="1"/>
  <c r="A75" i="20" s="1"/>
  <c r="F75" i="20" s="1"/>
  <c r="AR110" i="20"/>
  <c r="C110" i="20" s="1"/>
  <c r="A110" i="20" s="1"/>
  <c r="F110" i="20" s="1"/>
  <c r="AR144" i="20"/>
  <c r="C144" i="20" s="1"/>
  <c r="A144" i="20" s="1"/>
  <c r="F144" i="20" s="1"/>
  <c r="AR138" i="20"/>
  <c r="C138" i="20" s="1"/>
  <c r="A138" i="20" s="1"/>
  <c r="F138" i="20" s="1"/>
  <c r="AR133" i="20"/>
  <c r="C133" i="20" s="1"/>
  <c r="A133" i="20" s="1"/>
  <c r="F133" i="20" s="1"/>
  <c r="J24" i="17" l="1"/>
  <c r="J25" i="1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<sst xmlns="http://schemas.openxmlformats.org/spreadsheetml/2006/main" count="5529" uniqueCount="1447">
  <si>
    <t>R#</t>
  </si>
  <si>
    <t>PLAYER</t>
  </si>
  <si>
    <t>POS</t>
  </si>
  <si>
    <t>TEAM</t>
  </si>
  <si>
    <t>GP</t>
  </si>
  <si>
    <t>MPG</t>
  </si>
  <si>
    <t>FG%</t>
  </si>
  <si>
    <t>FT%</t>
  </si>
  <si>
    <t>3PM</t>
  </si>
  <si>
    <t>PTS</t>
  </si>
  <si>
    <t>TREB</t>
  </si>
  <si>
    <t>AST</t>
  </si>
  <si>
    <t>STL</t>
  </si>
  <si>
    <t>BLK</t>
  </si>
  <si>
    <t>TO</t>
  </si>
  <si>
    <t>TOTAL</t>
  </si>
  <si>
    <t>Joel Embiid</t>
  </si>
  <si>
    <t>C</t>
  </si>
  <si>
    <t>PHI</t>
  </si>
  <si>
    <t>Nikola Jokic</t>
  </si>
  <si>
    <t>DEN</t>
  </si>
  <si>
    <t>Shai Gilgeous-Alexander</t>
  </si>
  <si>
    <t>PG,SG</t>
  </si>
  <si>
    <t>OKC</t>
  </si>
  <si>
    <t>Anthony Davis</t>
  </si>
  <si>
    <t>PF,C</t>
  </si>
  <si>
    <t>LAL</t>
  </si>
  <si>
    <t>Luka Doncic</t>
  </si>
  <si>
    <t>PG</t>
  </si>
  <si>
    <t>DAL</t>
  </si>
  <si>
    <t>Victor Wembanyama</t>
  </si>
  <si>
    <t>SA</t>
  </si>
  <si>
    <t>Kevin Durant</t>
  </si>
  <si>
    <t>SF,PF</t>
  </si>
  <si>
    <t>PHO</t>
  </si>
  <si>
    <t>Donovan Mitchell</t>
  </si>
  <si>
    <t>CLE</t>
  </si>
  <si>
    <t>Kawhi Leonard</t>
  </si>
  <si>
    <t>SG,SF,PF</t>
  </si>
  <si>
    <t>LAC</t>
  </si>
  <si>
    <t>Kyrie Irving</t>
  </si>
  <si>
    <t>Tyrese Haliburton</t>
  </si>
  <si>
    <t>IND</t>
  </si>
  <si>
    <t>Devin Booker</t>
  </si>
  <si>
    <t>PG,SG,SF</t>
  </si>
  <si>
    <t>LeBron James</t>
  </si>
  <si>
    <t>Jayson Tatum</t>
  </si>
  <si>
    <t>BOS</t>
  </si>
  <si>
    <t>Kristaps Porzingis</t>
  </si>
  <si>
    <t>Stephen Curry</t>
  </si>
  <si>
    <t>GS</t>
  </si>
  <si>
    <t>Paul George</t>
  </si>
  <si>
    <t>LaMelo Ball</t>
  </si>
  <si>
    <t>CHA</t>
  </si>
  <si>
    <t>Damian Lillard</t>
  </si>
  <si>
    <t>MIL</t>
  </si>
  <si>
    <t>Lauri Markkanen</t>
  </si>
  <si>
    <t>UTA</t>
  </si>
  <si>
    <t>Scottie Barnes</t>
  </si>
  <si>
    <t>TOR</t>
  </si>
  <si>
    <t>Trae Young</t>
  </si>
  <si>
    <t>ATL</t>
  </si>
  <si>
    <t>Domantas Sabonis</t>
  </si>
  <si>
    <t>SAC</t>
  </si>
  <si>
    <t>James Harden</t>
  </si>
  <si>
    <t>Giannis Antetokounmpo</t>
  </si>
  <si>
    <t>Chet Holmgren</t>
  </si>
  <si>
    <t>Jalen Brunson</t>
  </si>
  <si>
    <t>NY</t>
  </si>
  <si>
    <t>Tyrese Maxey</t>
  </si>
  <si>
    <t>Fred VanVleet</t>
  </si>
  <si>
    <t>HOU</t>
  </si>
  <si>
    <t>Karl-Anthony Towns</t>
  </si>
  <si>
    <t>MIN</t>
  </si>
  <si>
    <t>Anthony Edwards</t>
  </si>
  <si>
    <t>SG,SF</t>
  </si>
  <si>
    <t>Jimmy Butler</t>
  </si>
  <si>
    <t>MIA</t>
  </si>
  <si>
    <t>Desmond Bane</t>
  </si>
  <si>
    <t>MEM</t>
  </si>
  <si>
    <t>Jamal Murray</t>
  </si>
  <si>
    <t>DeMar DeRozan</t>
  </si>
  <si>
    <t>CHI</t>
  </si>
  <si>
    <t>De'Aaron Fox</t>
  </si>
  <si>
    <t>Derrick White</t>
  </si>
  <si>
    <t>Ja Morant</t>
  </si>
  <si>
    <t>Dejounte Murray</t>
  </si>
  <si>
    <t>Evan Mobley</t>
  </si>
  <si>
    <t>Jarrett Allen</t>
  </si>
  <si>
    <t>Jaren Jackson Jr.</t>
  </si>
  <si>
    <t>Deandre Ayton</t>
  </si>
  <si>
    <t>POR</t>
  </si>
  <si>
    <t>Daniel Gafford</t>
  </si>
  <si>
    <t>Jalen Williams</t>
  </si>
  <si>
    <t>CJ McCollum</t>
  </si>
  <si>
    <t>NO</t>
  </si>
  <si>
    <t>Bam Adebayo</t>
  </si>
  <si>
    <t>Cade Cunningham</t>
  </si>
  <si>
    <t>DET</t>
  </si>
  <si>
    <t>Myles Turner</t>
  </si>
  <si>
    <t>Brook Lopez</t>
  </si>
  <si>
    <t>Rudy Gobert</t>
  </si>
  <si>
    <t>Jalen Johnson</t>
  </si>
  <si>
    <t>Nikola Vucevic</t>
  </si>
  <si>
    <t>Tobias Harris</t>
  </si>
  <si>
    <t>Alperen Sengün</t>
  </si>
  <si>
    <t>Bradley Beal</t>
  </si>
  <si>
    <t>Miles Bridges</t>
  </si>
  <si>
    <t>D'Angelo Russell</t>
  </si>
  <si>
    <t>Brandon Ingram</t>
  </si>
  <si>
    <t>Jalen Duren</t>
  </si>
  <si>
    <t>Franz Wagner</t>
  </si>
  <si>
    <t>ORL</t>
  </si>
  <si>
    <t>Terry Rozier</t>
  </si>
  <si>
    <t>Alex Caruso</t>
  </si>
  <si>
    <t>Anfernee Simons</t>
  </si>
  <si>
    <t>Grayson Allen</t>
  </si>
  <si>
    <t>Jrue Holiday</t>
  </si>
  <si>
    <t>Jaylen Brown</t>
  </si>
  <si>
    <t>Julius Randle</t>
  </si>
  <si>
    <t>PF</t>
  </si>
  <si>
    <t>Mark Williams</t>
  </si>
  <si>
    <t>Pascal Siakam</t>
  </si>
  <si>
    <t>Austin Reaves</t>
  </si>
  <si>
    <t>Zach LaVine</t>
  </si>
  <si>
    <t>Devin Vassell</t>
  </si>
  <si>
    <t>Nicolas Claxton</t>
  </si>
  <si>
    <t>BKN</t>
  </si>
  <si>
    <t>Zion Williamson</t>
  </si>
  <si>
    <t>Herbert Jones</t>
  </si>
  <si>
    <t>John Collins</t>
  </si>
  <si>
    <t>Michael Porter Jr.</t>
  </si>
  <si>
    <t>Bogdan Bogdanovic</t>
  </si>
  <si>
    <t>Darius Garland</t>
  </si>
  <si>
    <t>Collin Sexton</t>
  </si>
  <si>
    <t>Draymond Green</t>
  </si>
  <si>
    <t>Walker Kessler</t>
  </si>
  <si>
    <t>Tyler Herro</t>
  </si>
  <si>
    <t>Kyle Kuzma</t>
  </si>
  <si>
    <t>WAS</t>
  </si>
  <si>
    <t>Keegan Murray</t>
  </si>
  <si>
    <t>Khris Middleton</t>
  </si>
  <si>
    <t>Isaiah Hartenstein</t>
  </si>
  <si>
    <t>OG Anunoby</t>
  </si>
  <si>
    <t>Mike Conley</t>
  </si>
  <si>
    <t>Tyus Jones</t>
  </si>
  <si>
    <t>Coby White</t>
  </si>
  <si>
    <t>Donte DiVincenzo</t>
  </si>
  <si>
    <t>Mikal Bridges</t>
  </si>
  <si>
    <t>Scotty Pippen Jr.</t>
  </si>
  <si>
    <t>Jakob Poeltl</t>
  </si>
  <si>
    <t>Marcus Smart</t>
  </si>
  <si>
    <t>Trey Murphy III</t>
  </si>
  <si>
    <t>Jusuf Nurkic</t>
  </si>
  <si>
    <t>Ivica Zubac</t>
  </si>
  <si>
    <t>Al Horford</t>
  </si>
  <si>
    <t>Jabari Smith Jr.</t>
  </si>
  <si>
    <t>Jerami Grant</t>
  </si>
  <si>
    <t>Klay Thompson</t>
  </si>
  <si>
    <t>Immanuel Quickley</t>
  </si>
  <si>
    <t>Clint Capela</t>
  </si>
  <si>
    <t>Robert Williams III</t>
  </si>
  <si>
    <t>Jonas Valanciunas</t>
  </si>
  <si>
    <t>Brandon Miller</t>
  </si>
  <si>
    <t>Onyeka Okongwu</t>
  </si>
  <si>
    <t>Deni Avdija</t>
  </si>
  <si>
    <t>Cam Thomas</t>
  </si>
  <si>
    <t>Jalen Suggs</t>
  </si>
  <si>
    <t>Paolo Banchero</t>
  </si>
  <si>
    <t>Jordan Poole</t>
  </si>
  <si>
    <t>Bobby Portis</t>
  </si>
  <si>
    <t>Josh Giddey</t>
  </si>
  <si>
    <t>Dereck Lively II</t>
  </si>
  <si>
    <t>Malcolm Brogdon</t>
  </si>
  <si>
    <t>De'Anthony Melton</t>
  </si>
  <si>
    <t>Naz Reid</t>
  </si>
  <si>
    <t>Tre Jones</t>
  </si>
  <si>
    <t>Kentavious Caldwell-Pope</t>
  </si>
  <si>
    <t>Chris Paul</t>
  </si>
  <si>
    <t>Jalen Green</t>
  </si>
  <si>
    <t>Malik Monk</t>
  </si>
  <si>
    <t>Aaron Nesmith</t>
  </si>
  <si>
    <t>Max Strus</t>
  </si>
  <si>
    <t>Dennis Schröder</t>
  </si>
  <si>
    <t>Ayo Dosunmu</t>
  </si>
  <si>
    <t>Tari Eason</t>
  </si>
  <si>
    <t>Josh Hart</t>
  </si>
  <si>
    <t>Buddy Hield</t>
  </si>
  <si>
    <t>Keldon Johnson</t>
  </si>
  <si>
    <t>De'Andre Hunter</t>
  </si>
  <si>
    <t>Aaron Gordon</t>
  </si>
  <si>
    <t>Amen Thompson</t>
  </si>
  <si>
    <t>Cameron Johnson</t>
  </si>
  <si>
    <t>T.J. McConnell</t>
  </si>
  <si>
    <t>Duncan Robinson</t>
  </si>
  <si>
    <t>P.J. Washington</t>
  </si>
  <si>
    <t>Kelly Oubre Jr.</t>
  </si>
  <si>
    <t>Shaedon Sharpe</t>
  </si>
  <si>
    <t>Jonathan Kuminga</t>
  </si>
  <si>
    <t>RJ Barrett</t>
  </si>
  <si>
    <t>Saddiq Bey</t>
  </si>
  <si>
    <t>Luguentz Dort</t>
  </si>
  <si>
    <t>Ben Simmons</t>
  </si>
  <si>
    <t>Jordan Clarkson</t>
  </si>
  <si>
    <t>Isaiah Stewart</t>
  </si>
  <si>
    <t>Rui Hachimura</t>
  </si>
  <si>
    <t>Obi Toppin</t>
  </si>
  <si>
    <t>Paul Reed</t>
  </si>
  <si>
    <t>Jaime Jaquez Jr.</t>
  </si>
  <si>
    <t>Matisse Thybulle</t>
  </si>
  <si>
    <t>Luke Kennard</t>
  </si>
  <si>
    <t>Marvin Bagley III</t>
  </si>
  <si>
    <t>Norman Powell</t>
  </si>
  <si>
    <t>Santi Aldama</t>
  </si>
  <si>
    <t>Wendell Carter Jr.</t>
  </si>
  <si>
    <t>Patrick Williams</t>
  </si>
  <si>
    <t>Zach Collins</t>
  </si>
  <si>
    <t>Tre Mann</t>
  </si>
  <si>
    <t>Royce O'Neale</t>
  </si>
  <si>
    <t>Gary Trent Jr.</t>
  </si>
  <si>
    <t>Moritz Wagner</t>
  </si>
  <si>
    <t>Ausar Thompson</t>
  </si>
  <si>
    <t>John Konchar</t>
  </si>
  <si>
    <t>Simone Fontecchio</t>
  </si>
  <si>
    <t>SF</t>
  </si>
  <si>
    <t>Russell Westbrook</t>
  </si>
  <si>
    <t>Jalen Smith</t>
  </si>
  <si>
    <t>Jaden McDaniels</t>
  </si>
  <si>
    <t>Dorian Finney-Smith</t>
  </si>
  <si>
    <t>SF,PF,C</t>
  </si>
  <si>
    <t>Brandin Podziemski</t>
  </si>
  <si>
    <t>SG</t>
  </si>
  <si>
    <t>Larry Nance Jr.</t>
  </si>
  <si>
    <t>Grant Williams</t>
  </si>
  <si>
    <t>Luke Kornet</t>
  </si>
  <si>
    <t>Isaiah Jackson</t>
  </si>
  <si>
    <t>Dillon Brooks</t>
  </si>
  <si>
    <t>Dyson Daniels</t>
  </si>
  <si>
    <t>Bennedict Mathurin</t>
  </si>
  <si>
    <t>Jaden Ivey</t>
  </si>
  <si>
    <t>Corey Kispert</t>
  </si>
  <si>
    <t>Andrew Nembhard</t>
  </si>
  <si>
    <t>Rank</t>
  </si>
  <si>
    <t>Scoot Henderson</t>
  </si>
  <si>
    <t>Andrew Wiggins</t>
  </si>
  <si>
    <t>Mitchell Robinson</t>
  </si>
  <si>
    <t>Steven Adams</t>
  </si>
  <si>
    <t>Player</t>
  </si>
  <si>
    <t>Alperen Sengun</t>
  </si>
  <si>
    <t>Delta</t>
  </si>
  <si>
    <t>Kevin Porter Jr.</t>
  </si>
  <si>
    <t>Kris Dunn</t>
  </si>
  <si>
    <t>Kyle Anderson</t>
  </si>
  <si>
    <t>Harrison Barnes</t>
  </si>
  <si>
    <t>Jarred Vanderbilt</t>
  </si>
  <si>
    <t>Kevon Looney</t>
  </si>
  <si>
    <t>Quentin Grimes</t>
  </si>
  <si>
    <t>Drew Eubanks</t>
  </si>
  <si>
    <t>Caleb Martin</t>
  </si>
  <si>
    <t>Jay Huff</t>
  </si>
  <si>
    <t>Chris Boucher</t>
  </si>
  <si>
    <t>Tim Hardaway Jr.</t>
  </si>
  <si>
    <t>Thomas Bryant</t>
  </si>
  <si>
    <t>Bones Hyland</t>
  </si>
  <si>
    <t>Jose Alvarado</t>
  </si>
  <si>
    <t>Taylor Hendricks</t>
  </si>
  <si>
    <t>Trayce Jackson-Davis</t>
  </si>
  <si>
    <t>Keon Ellis</t>
  </si>
  <si>
    <t>Keyonte George</t>
  </si>
  <si>
    <t>Alexandre Sarr</t>
  </si>
  <si>
    <t>Bilal Coulibaly</t>
  </si>
  <si>
    <t>Noah Clowney</t>
  </si>
  <si>
    <t>Donovan Clingan</t>
  </si>
  <si>
    <t>Zach Edey</t>
  </si>
  <si>
    <t>Karlo Matkovic</t>
  </si>
  <si>
    <t>Miles McBride</t>
  </si>
  <si>
    <t>Christian Braun</t>
  </si>
  <si>
    <t>Zaccharie Risacher</t>
  </si>
  <si>
    <t>Andre Drummond</t>
  </si>
  <si>
    <t>Reed Sheppard</t>
  </si>
  <si>
    <t>Nikola Jovic</t>
  </si>
  <si>
    <t>FGM</t>
  </si>
  <si>
    <t>FGA</t>
  </si>
  <si>
    <t>FTM</t>
  </si>
  <si>
    <t>FTA</t>
  </si>
  <si>
    <t>YAHOO</t>
  </si>
  <si>
    <t>Stephon Castle</t>
  </si>
  <si>
    <t>Gradey Dick</t>
  </si>
  <si>
    <t>Matas Buzelis</t>
  </si>
  <si>
    <t>Kel'el Ware</t>
  </si>
  <si>
    <t>Cam Whitmore</t>
  </si>
  <si>
    <t>Rob Dillingham</t>
  </si>
  <si>
    <t>Sam Hauser</t>
  </si>
  <si>
    <t>Payton Pritchard</t>
  </si>
  <si>
    <t>Precious Achiuwa</t>
  </si>
  <si>
    <t>Yves Missi</t>
  </si>
  <si>
    <t>GG Jackson II</t>
  </si>
  <si>
    <t>Nickeil Alexander-Walker</t>
  </si>
  <si>
    <t>Jared McCain</t>
  </si>
  <si>
    <t>Peyton Watson</t>
  </si>
  <si>
    <t>Bronny James</t>
  </si>
  <si>
    <t>Ron Holland II</t>
  </si>
  <si>
    <t>Cason Wallace</t>
  </si>
  <si>
    <t>Dalton Knecht</t>
  </si>
  <si>
    <t>Day'Ron Sharpe</t>
  </si>
  <si>
    <t>Derrick Jones Jr.</t>
  </si>
  <si>
    <t>Josh Green</t>
  </si>
  <si>
    <t>Jaxson Hayes</t>
  </si>
  <si>
    <t>Kyle Filipowski</t>
  </si>
  <si>
    <t>Anthony Black</t>
  </si>
  <si>
    <t>Devin Carter</t>
  </si>
  <si>
    <t>Goga Bitadze</t>
  </si>
  <si>
    <t>Dario Saric</t>
  </si>
  <si>
    <t>Jarace Walker</t>
  </si>
  <si>
    <t>Jabari Walker</t>
  </si>
  <si>
    <t>Isaac Okoro</t>
  </si>
  <si>
    <t>Moses Moody</t>
  </si>
  <si>
    <t>Jake LaRavia</t>
  </si>
  <si>
    <t>Taurean Prince</t>
  </si>
  <si>
    <t>Ziaire Williams</t>
  </si>
  <si>
    <t>Naji Marshall</t>
  </si>
  <si>
    <t>Isaiah Joe</t>
  </si>
  <si>
    <t>Marcus Sasser</t>
  </si>
  <si>
    <t>Aaron Wiggins</t>
  </si>
  <si>
    <t>Julian Strawther</t>
  </si>
  <si>
    <t>Toumani Camara</t>
  </si>
  <si>
    <t>Cody Williams</t>
  </si>
  <si>
    <t>Sam Merrill</t>
  </si>
  <si>
    <t>Jock Landale</t>
  </si>
  <si>
    <t>Brice Sensabaugh</t>
  </si>
  <si>
    <t>Jericho Sims</t>
  </si>
  <si>
    <t>Julian Champagnie</t>
  </si>
  <si>
    <t>Johnny Furphy</t>
  </si>
  <si>
    <t>Jaden Hardy</t>
  </si>
  <si>
    <t>Jaylin Williams</t>
  </si>
  <si>
    <t>Neemias Queta</t>
  </si>
  <si>
    <t>Isaiah Collier</t>
  </si>
  <si>
    <t>Max Christie</t>
  </si>
  <si>
    <t>Jordan Hawkins</t>
  </si>
  <si>
    <t>DeAndre Jordan</t>
  </si>
  <si>
    <t>Davion Mitchell</t>
  </si>
  <si>
    <t>Kyshawn George</t>
  </si>
  <si>
    <t>Gary Payton II</t>
  </si>
  <si>
    <t>Trey Lyles</t>
  </si>
  <si>
    <t>Charles Bassey</t>
  </si>
  <si>
    <t>Ousmane Dieng</t>
  </si>
  <si>
    <t>Adem Bona</t>
  </si>
  <si>
    <t>Craig Porter Jr.</t>
  </si>
  <si>
    <t>Tyler Kolek</t>
  </si>
  <si>
    <t>Dean Wade</t>
  </si>
  <si>
    <t>Terrence Shannon Jr.</t>
  </si>
  <si>
    <t>Ja'Kobe Walter</t>
  </si>
  <si>
    <t>Leonard Miller</t>
  </si>
  <si>
    <t>Kenrich Williams</t>
  </si>
  <si>
    <t>Olivier-Maxence Prosper</t>
  </si>
  <si>
    <t>Caleb Houstan</t>
  </si>
  <si>
    <t>Jaylon Tyson</t>
  </si>
  <si>
    <t>Ty Jerome</t>
  </si>
  <si>
    <t>AJ Green</t>
  </si>
  <si>
    <t>Jamal Shead</t>
  </si>
  <si>
    <t>Josh Okogie</t>
  </si>
  <si>
    <t>Zeke Nnaji</t>
  </si>
  <si>
    <t>Josh Minott</t>
  </si>
  <si>
    <t>Andre Jackson Jr.</t>
  </si>
  <si>
    <t>Baylor Scheierman</t>
  </si>
  <si>
    <t>Jordan McLaughlin</t>
  </si>
  <si>
    <t>Projected Rank</t>
  </si>
  <si>
    <t>ADP</t>
  </si>
  <si>
    <t>Do not draft</t>
  </si>
  <si>
    <t>x</t>
  </si>
  <si>
    <t>FGpct</t>
  </si>
  <si>
    <t>FTpct</t>
  </si>
  <si>
    <t>FG%_stdev</t>
  </si>
  <si>
    <t>FT%_stdev</t>
  </si>
  <si>
    <t>3PM_stdev</t>
  </si>
  <si>
    <t>PTS_stdev</t>
  </si>
  <si>
    <t>TREB_stdev</t>
  </si>
  <si>
    <t>AST_stdev</t>
  </si>
  <si>
    <t>STL_stdev</t>
  </si>
  <si>
    <t>BLK_stdev</t>
  </si>
  <si>
    <t>TO_stdev</t>
  </si>
  <si>
    <t>FGM_stdev</t>
  </si>
  <si>
    <t>FGA_stdev</t>
  </si>
  <si>
    <t>FTM_stdev</t>
  </si>
  <si>
    <t>FTA_stdev</t>
  </si>
  <si>
    <t>Demar Derozan</t>
  </si>
  <si>
    <t>Donte Divincenzo</t>
  </si>
  <si>
    <t>Plus_categories</t>
  </si>
  <si>
    <t>Negative Categories</t>
  </si>
  <si>
    <t>Percentage</t>
  </si>
  <si>
    <t>Fred Vanvleet</t>
  </si>
  <si>
    <t>Below Average</t>
  </si>
  <si>
    <t>Excellent</t>
  </si>
  <si>
    <t>Good</t>
  </si>
  <si>
    <t>Above Average</t>
  </si>
  <si>
    <t>Stregnths</t>
  </si>
  <si>
    <t>Weakness</t>
  </si>
  <si>
    <t>LY Rank</t>
  </si>
  <si>
    <t>Rds1-2</t>
  </si>
  <si>
    <t>Rd3-4</t>
  </si>
  <si>
    <t>Rd 5-6</t>
  </si>
  <si>
    <t>Rd 7-8</t>
  </si>
  <si>
    <t>Rd 9-10</t>
  </si>
  <si>
    <t>Rd 11-12</t>
  </si>
  <si>
    <t>Rd 13-14</t>
  </si>
  <si>
    <t>Pick</t>
  </si>
  <si>
    <t>Draft</t>
  </si>
  <si>
    <t>Nikola Jokić</t>
  </si>
  <si>
    <t>Luka Dončić</t>
  </si>
  <si>
    <t>Kristaps Porziņģis</t>
  </si>
  <si>
    <t>Jusuf Nurkić</t>
  </si>
  <si>
    <t>10.16.a</t>
  </si>
  <si>
    <t>P.J. Washington Jr.</t>
  </si>
  <si>
    <t>10.16.b</t>
  </si>
  <si>
    <t>10.17.a</t>
  </si>
  <si>
    <t>10.17.b</t>
  </si>
  <si>
    <t>10.18.a</t>
  </si>
  <si>
    <t>10.18.b</t>
  </si>
  <si>
    <t>10.18.c</t>
  </si>
  <si>
    <t>10.18.d</t>
  </si>
  <si>
    <t>Fair Value</t>
  </si>
  <si>
    <t>MYTOTAL</t>
  </si>
  <si>
    <t>MYRANK</t>
  </si>
  <si>
    <t>SG,SF,PF,C</t>
  </si>
  <si>
    <t>Justin Champagnie</t>
  </si>
  <si>
    <t>Dru Smith</t>
  </si>
  <si>
    <t>Bub Carrington</t>
  </si>
  <si>
    <r>
      <t>0.579</t>
    </r>
    <r>
      <rPr>
        <sz val="8.4"/>
        <color rgb="FF22292F"/>
        <rFont val="Helvetica"/>
        <family val="2"/>
      </rPr>
      <t>(10.9/18.9)</t>
    </r>
  </si>
  <si>
    <r>
      <t>0.808</t>
    </r>
    <r>
      <rPr>
        <sz val="8.4"/>
        <color rgb="FF22292F"/>
        <rFont val="Helvetica"/>
        <family val="2"/>
      </rPr>
      <t>(4.9/6.0)</t>
    </r>
  </si>
  <si>
    <r>
      <t>0.527</t>
    </r>
    <r>
      <rPr>
        <sz val="8.4"/>
        <color rgb="FF22292F"/>
        <rFont val="Helvetica"/>
        <family val="2"/>
      </rPr>
      <t>(11.1/21.0)</t>
    </r>
  </si>
  <si>
    <r>
      <t>0.886</t>
    </r>
    <r>
      <rPr>
        <sz val="8.4"/>
        <color rgb="FF22292F"/>
        <rFont val="Helvetica"/>
        <family val="2"/>
      </rPr>
      <t>(7.8/8.8)</t>
    </r>
  </si>
  <si>
    <r>
      <t>0.470</t>
    </r>
    <r>
      <rPr>
        <sz val="8.4"/>
        <color rgb="FF22292F"/>
        <rFont val="Helvetica"/>
        <family val="2"/>
      </rPr>
      <t>(8.6/18.4)</t>
    </r>
  </si>
  <si>
    <r>
      <t>0.827</t>
    </r>
    <r>
      <rPr>
        <sz val="8.4"/>
        <color rgb="FF22292F"/>
        <rFont val="Helvetica"/>
        <family val="2"/>
      </rPr>
      <t>(4.1/5.0)</t>
    </r>
  </si>
  <si>
    <r>
      <t>0.473</t>
    </r>
    <r>
      <rPr>
        <sz val="8.4"/>
        <color rgb="FF22292F"/>
        <rFont val="Helvetica"/>
        <family val="2"/>
      </rPr>
      <t>(10.4/22.0)</t>
    </r>
  </si>
  <si>
    <r>
      <t>0.785</t>
    </r>
    <r>
      <rPr>
        <sz val="8.4"/>
        <color rgb="FF22292F"/>
        <rFont val="Helvetica"/>
        <family val="2"/>
      </rPr>
      <t>(6.5/8.3)</t>
    </r>
  </si>
  <si>
    <r>
      <t>0.607</t>
    </r>
    <r>
      <rPr>
        <sz val="8.4"/>
        <color rgb="FF22292F"/>
        <rFont val="Helvetica"/>
        <family val="2"/>
      </rPr>
      <t>(12.0/19.8)</t>
    </r>
  </si>
  <si>
    <r>
      <t>0.633</t>
    </r>
    <r>
      <rPr>
        <sz val="8.4"/>
        <color rgb="FF22292F"/>
        <rFont val="Helvetica"/>
        <family val="2"/>
      </rPr>
      <t>(6.8/10.8)</t>
    </r>
  </si>
  <si>
    <r>
      <t>0.521</t>
    </r>
    <r>
      <rPr>
        <sz val="8.4"/>
        <color rgb="FF22292F"/>
        <rFont val="Helvetica"/>
        <family val="2"/>
      </rPr>
      <t>(9.4/18.0)</t>
    </r>
  </si>
  <si>
    <r>
      <t>0.787</t>
    </r>
    <r>
      <rPr>
        <sz val="8.4"/>
        <color rgb="FF22292F"/>
        <rFont val="Helvetica"/>
        <family val="2"/>
      </rPr>
      <t>(5.6/7.1)</t>
    </r>
  </si>
  <si>
    <r>
      <t>0.463</t>
    </r>
    <r>
      <rPr>
        <sz val="8.4"/>
        <color rgb="FF22292F"/>
        <rFont val="Helvetica"/>
        <family val="2"/>
      </rPr>
      <t>(9.8/21.1)</t>
    </r>
  </si>
  <si>
    <r>
      <t>0.856</t>
    </r>
    <r>
      <rPr>
        <sz val="8.4"/>
        <color rgb="FF22292F"/>
        <rFont val="Helvetica"/>
        <family val="2"/>
      </rPr>
      <t>(4.6/5.4)</t>
    </r>
  </si>
  <si>
    <r>
      <t>0.449</t>
    </r>
    <r>
      <rPr>
        <sz val="8.4"/>
        <color rgb="FF22292F"/>
        <rFont val="Helvetica"/>
        <family val="2"/>
      </rPr>
      <t>(9.3/20.6)</t>
    </r>
  </si>
  <si>
    <r>
      <t>0.837</t>
    </r>
    <r>
      <rPr>
        <sz val="8.4"/>
        <color rgb="FF22292F"/>
        <rFont val="Helvetica"/>
        <family val="2"/>
      </rPr>
      <t>(5.6/6.7)</t>
    </r>
  </si>
  <si>
    <r>
      <t>0.516</t>
    </r>
    <r>
      <rPr>
        <sz val="8.4"/>
        <color rgb="FF22292F"/>
        <rFont val="Helvetica"/>
        <family val="2"/>
      </rPr>
      <t>(8.4/16.3)</t>
    </r>
  </si>
  <si>
    <r>
      <t>0.846</t>
    </r>
    <r>
      <rPr>
        <sz val="8.4"/>
        <color rgb="FF22292F"/>
        <rFont val="Helvetica"/>
        <family val="2"/>
      </rPr>
      <t>(4.5/5.3)</t>
    </r>
  </si>
  <si>
    <r>
      <t>0.425</t>
    </r>
    <r>
      <rPr>
        <sz val="8.4"/>
        <color rgb="FF22292F"/>
        <rFont val="Helvetica"/>
        <family val="2"/>
      </rPr>
      <t>(6.2/14.6)</t>
    </r>
  </si>
  <si>
    <r>
      <t>0.874</t>
    </r>
    <r>
      <rPr>
        <sz val="8.4"/>
        <color rgb="FF22292F"/>
        <rFont val="Helvetica"/>
        <family val="2"/>
      </rPr>
      <t>(5.4/6.2)</t>
    </r>
  </si>
  <si>
    <r>
      <t>0.476</t>
    </r>
    <r>
      <rPr>
        <sz val="8.4"/>
        <color rgb="FF22292F"/>
        <rFont val="Helvetica"/>
        <family val="2"/>
      </rPr>
      <t>(9.1/19.2)</t>
    </r>
  </si>
  <si>
    <r>
      <t>0.890</t>
    </r>
    <r>
      <rPr>
        <sz val="8.4"/>
        <color rgb="FF22292F"/>
        <rFont val="Helvetica"/>
        <family val="2"/>
      </rPr>
      <t>(5.9/6.6)</t>
    </r>
  </si>
  <si>
    <r>
      <t>0.428</t>
    </r>
    <r>
      <rPr>
        <sz val="8.4"/>
        <color rgb="FF22292F"/>
        <rFont val="Helvetica"/>
        <family val="2"/>
      </rPr>
      <t>(7.8/18.1)</t>
    </r>
  </si>
  <si>
    <r>
      <t>0.867</t>
    </r>
    <r>
      <rPr>
        <sz val="8.4"/>
        <color rgb="FF22292F"/>
        <rFont val="Helvetica"/>
        <family val="2"/>
      </rPr>
      <t>(6.5/7.5)</t>
    </r>
  </si>
  <si>
    <r>
      <t>0.524</t>
    </r>
    <r>
      <rPr>
        <sz val="8.4"/>
        <color rgb="FF22292F"/>
        <rFont val="Helvetica"/>
        <family val="2"/>
      </rPr>
      <t>(9.1/17.4)</t>
    </r>
  </si>
  <si>
    <r>
      <t>0.848</t>
    </r>
    <r>
      <rPr>
        <sz val="8.4"/>
        <color rgb="FF22292F"/>
        <rFont val="Helvetica"/>
        <family val="2"/>
      </rPr>
      <t>(4.5/5.3)</t>
    </r>
  </si>
  <si>
    <r>
      <t>0.444</t>
    </r>
    <r>
      <rPr>
        <sz val="8.4"/>
        <color rgb="FF22292F"/>
        <rFont val="Helvetica"/>
        <family val="2"/>
      </rPr>
      <t>(9.4/21.2)</t>
    </r>
  </si>
  <si>
    <r>
      <t>0.872</t>
    </r>
    <r>
      <rPr>
        <sz val="8.4"/>
        <color rgb="FF22292F"/>
        <rFont val="Helvetica"/>
        <family val="2"/>
      </rPr>
      <t>(4.9/5.6)</t>
    </r>
  </si>
  <si>
    <r>
      <t>0.449</t>
    </r>
    <r>
      <rPr>
        <sz val="8.4"/>
        <color rgb="FF22292F"/>
        <rFont val="Helvetica"/>
        <family val="2"/>
      </rPr>
      <t>(8.1/18.1)</t>
    </r>
  </si>
  <si>
    <r>
      <t>0.928</t>
    </r>
    <r>
      <rPr>
        <sz val="8.4"/>
        <color rgb="FF22292F"/>
        <rFont val="Helvetica"/>
        <family val="2"/>
      </rPr>
      <t>(4.0/4.3)</t>
    </r>
  </si>
  <si>
    <r>
      <t>0.526</t>
    </r>
    <r>
      <rPr>
        <sz val="8.4"/>
        <color rgb="FF22292F"/>
        <rFont val="Helvetica"/>
        <family val="2"/>
      </rPr>
      <t>(9.3/17.6)</t>
    </r>
  </si>
  <si>
    <r>
      <t>0.764</t>
    </r>
    <r>
      <rPr>
        <sz val="8.4"/>
        <color rgb="FF22292F"/>
        <rFont val="Helvetica"/>
        <family val="2"/>
      </rPr>
      <t>(3.9/5.1)</t>
    </r>
  </si>
  <si>
    <r>
      <t>0.580</t>
    </r>
    <r>
      <rPr>
        <sz val="8.4"/>
        <color rgb="FF22292F"/>
        <rFont val="Helvetica"/>
        <family val="2"/>
      </rPr>
      <t>(7.5/13.0)</t>
    </r>
  </si>
  <si>
    <r>
      <t>0.757</t>
    </r>
    <r>
      <rPr>
        <sz val="8.4"/>
        <color rgb="FF22292F"/>
        <rFont val="Helvetica"/>
        <family val="2"/>
      </rPr>
      <t>(3.1/4.1)</t>
    </r>
  </si>
  <si>
    <r>
      <t>0.413</t>
    </r>
    <r>
      <rPr>
        <sz val="8.4"/>
        <color rgb="FF22292F"/>
        <rFont val="Helvetica"/>
        <family val="2"/>
      </rPr>
      <t>(8.6/20.9)</t>
    </r>
  </si>
  <si>
    <r>
      <t>0.849</t>
    </r>
    <r>
      <rPr>
        <sz val="8.4"/>
        <color rgb="FF22292F"/>
        <rFont val="Helvetica"/>
        <family val="2"/>
      </rPr>
      <t>(4.2/4.9)</t>
    </r>
  </si>
  <si>
    <r>
      <t>0.449</t>
    </r>
    <r>
      <rPr>
        <sz val="8.4"/>
        <color rgb="FF22292F"/>
        <rFont val="Helvetica"/>
        <family val="2"/>
      </rPr>
      <t>(8.4/18.7)</t>
    </r>
  </si>
  <si>
    <r>
      <t>0.843</t>
    </r>
    <r>
      <rPr>
        <sz val="8.4"/>
        <color rgb="FF22292F"/>
        <rFont val="Helvetica"/>
        <family val="2"/>
      </rPr>
      <t>(4.4/5.2)</t>
    </r>
  </si>
  <si>
    <r>
      <t>0.558</t>
    </r>
    <r>
      <rPr>
        <sz val="8.4"/>
        <color rgb="FF22292F"/>
        <rFont val="Helvetica"/>
        <family val="2"/>
      </rPr>
      <t>(7.4/13.3)</t>
    </r>
  </si>
  <si>
    <r>
      <t>0.721</t>
    </r>
    <r>
      <rPr>
        <sz val="8.4"/>
        <color rgb="FF22292F"/>
        <rFont val="Helvetica"/>
        <family val="2"/>
      </rPr>
      <t>(3.0/4.2)</t>
    </r>
  </si>
  <si>
    <r>
      <t>0.444</t>
    </r>
    <r>
      <rPr>
        <sz val="8.4"/>
        <color rgb="FF22292F"/>
        <rFont val="Helvetica"/>
        <family val="2"/>
      </rPr>
      <t>(6.3/14.2)</t>
    </r>
  </si>
  <si>
    <r>
      <t>0.868</t>
    </r>
    <r>
      <rPr>
        <sz val="8.4"/>
        <color rgb="FF22292F"/>
        <rFont val="Helvetica"/>
        <family val="2"/>
      </rPr>
      <t>(1.8/2.1)</t>
    </r>
  </si>
  <si>
    <r>
      <t>0.474</t>
    </r>
    <r>
      <rPr>
        <sz val="8.4"/>
        <color rgb="FF22292F"/>
        <rFont val="Helvetica"/>
        <family val="2"/>
      </rPr>
      <t>(8.0/16.9)</t>
    </r>
  </si>
  <si>
    <r>
      <t>0.873</t>
    </r>
    <r>
      <rPr>
        <sz val="8.4"/>
        <color rgb="FF22292F"/>
        <rFont val="Helvetica"/>
        <family val="2"/>
      </rPr>
      <t>(3.1/3.5)</t>
    </r>
  </si>
  <si>
    <r>
      <t>0.483</t>
    </r>
    <r>
      <rPr>
        <sz val="8.4"/>
        <color rgb="FF22292F"/>
        <rFont val="Helvetica"/>
        <family val="2"/>
      </rPr>
      <t>(9.5/19.7)</t>
    </r>
  </si>
  <si>
    <r>
      <t>0.835</t>
    </r>
    <r>
      <rPr>
        <sz val="8.4"/>
        <color rgb="FF22292F"/>
        <rFont val="Helvetica"/>
        <family val="2"/>
      </rPr>
      <t>(5.5/6.5)</t>
    </r>
  </si>
  <si>
    <r>
      <t>0.553</t>
    </r>
    <r>
      <rPr>
        <sz val="8.4"/>
        <color rgb="FF22292F"/>
        <rFont val="Helvetica"/>
        <family val="2"/>
      </rPr>
      <t>(6.0/10.8)</t>
    </r>
  </si>
  <si>
    <r>
      <t>0.690</t>
    </r>
    <r>
      <rPr>
        <sz val="8.4"/>
        <color rgb="FF22292F"/>
        <rFont val="Helvetica"/>
        <family val="2"/>
      </rPr>
      <t>(2.6/3.8)</t>
    </r>
  </si>
  <si>
    <r>
      <t>0.459</t>
    </r>
    <r>
      <rPr>
        <sz val="8.4"/>
        <color rgb="FF22292F"/>
        <rFont val="Helvetica"/>
        <family val="2"/>
      </rPr>
      <t>(7.5/16.2)</t>
    </r>
  </si>
  <si>
    <r>
      <t>0.766</t>
    </r>
    <r>
      <rPr>
        <sz val="8.4"/>
        <color rgb="FF22292F"/>
        <rFont val="Helvetica"/>
        <family val="2"/>
      </rPr>
      <t>(3.4/4.5)</t>
    </r>
  </si>
  <si>
    <r>
      <t>0.466</t>
    </r>
    <r>
      <rPr>
        <sz val="8.4"/>
        <color rgb="FF22292F"/>
        <rFont val="Helvetica"/>
        <family val="2"/>
      </rPr>
      <t>(8.7/18.7)</t>
    </r>
  </si>
  <si>
    <r>
      <t>0.796</t>
    </r>
    <r>
      <rPr>
        <sz val="8.4"/>
        <color rgb="FF22292F"/>
        <rFont val="Helvetica"/>
        <family val="2"/>
      </rPr>
      <t>(4.2/5.2)</t>
    </r>
  </si>
  <si>
    <r>
      <t>0.484</t>
    </r>
    <r>
      <rPr>
        <sz val="8.4"/>
        <color rgb="FF22292F"/>
        <rFont val="Helvetica"/>
        <family val="2"/>
      </rPr>
      <t>(8.1/16.8)</t>
    </r>
  </si>
  <si>
    <r>
      <t>0.801</t>
    </r>
    <r>
      <rPr>
        <sz val="8.4"/>
        <color rgb="FF22292F"/>
        <rFont val="Helvetica"/>
        <family val="2"/>
      </rPr>
      <t>(3.5/4.4)</t>
    </r>
  </si>
  <si>
    <r>
      <t>0.444</t>
    </r>
    <r>
      <rPr>
        <sz val="8.4"/>
        <color rgb="FF22292F"/>
        <rFont val="Helvetica"/>
        <family val="2"/>
      </rPr>
      <t>(7.5/16.8)</t>
    </r>
  </si>
  <si>
    <r>
      <t>0.868</t>
    </r>
    <r>
      <rPr>
        <sz val="8.4"/>
        <color rgb="FF22292F"/>
        <rFont val="Helvetica"/>
        <family val="2"/>
      </rPr>
      <t>(4.0/4.6)</t>
    </r>
  </si>
  <si>
    <r>
      <t>0.467</t>
    </r>
    <r>
      <rPr>
        <sz val="8.4"/>
        <color rgb="FF22292F"/>
        <rFont val="Helvetica"/>
        <family val="2"/>
      </rPr>
      <t>(8.0/17.2)</t>
    </r>
  </si>
  <si>
    <r>
      <t>0.796</t>
    </r>
    <r>
      <rPr>
        <sz val="8.4"/>
        <color rgb="FF22292F"/>
        <rFont val="Helvetica"/>
        <family val="2"/>
      </rPr>
      <t>(4.7/5.9)</t>
    </r>
  </si>
  <si>
    <r>
      <t>0.491</t>
    </r>
    <r>
      <rPr>
        <sz val="8.4"/>
        <color rgb="FF22292F"/>
        <rFont val="Helvetica"/>
        <family val="2"/>
      </rPr>
      <t>(5.6/11.4)</t>
    </r>
  </si>
  <si>
    <r>
      <t>0.772</t>
    </r>
    <r>
      <rPr>
        <sz val="8.4"/>
        <color rgb="FF22292F"/>
        <rFont val="Helvetica"/>
        <family val="2"/>
      </rPr>
      <t>(2.8/3.6)</t>
    </r>
  </si>
  <si>
    <r>
      <t>0.507</t>
    </r>
    <r>
      <rPr>
        <sz val="8.4"/>
        <color rgb="FF22292F"/>
        <rFont val="Helvetica"/>
        <family val="2"/>
      </rPr>
      <t>(7.0/13.7)</t>
    </r>
  </si>
  <si>
    <r>
      <t>0.735</t>
    </r>
    <r>
      <rPr>
        <sz val="8.4"/>
        <color rgb="FF22292F"/>
        <rFont val="Helvetica"/>
        <family val="2"/>
      </rPr>
      <t>(2.2/3.0)</t>
    </r>
  </si>
  <si>
    <r>
      <t>0.470</t>
    </r>
    <r>
      <rPr>
        <sz val="8.4"/>
        <color rgb="FF22292F"/>
        <rFont val="Helvetica"/>
        <family val="2"/>
      </rPr>
      <t>(6.3/13.4)</t>
    </r>
  </si>
  <si>
    <r>
      <t>0.785</t>
    </r>
    <r>
      <rPr>
        <sz val="8.4"/>
        <color rgb="FF22292F"/>
        <rFont val="Helvetica"/>
        <family val="2"/>
      </rPr>
      <t>(2.2/2.8)</t>
    </r>
  </si>
  <si>
    <r>
      <t>0.472</t>
    </r>
    <r>
      <rPr>
        <sz val="8.4"/>
        <color rgb="FF22292F"/>
        <rFont val="Helvetica"/>
        <family val="2"/>
      </rPr>
      <t>(8.4/17.8)</t>
    </r>
  </si>
  <si>
    <r>
      <t>0.861</t>
    </r>
    <r>
      <rPr>
        <sz val="8.4"/>
        <color rgb="FF22292F"/>
        <rFont val="Helvetica"/>
        <family val="2"/>
      </rPr>
      <t>(4.3/5.0)</t>
    </r>
  </si>
  <si>
    <r>
      <t>0.492</t>
    </r>
    <r>
      <rPr>
        <sz val="8.4"/>
        <color rgb="FF22292F"/>
        <rFont val="Helvetica"/>
        <family val="2"/>
      </rPr>
      <t>(5.4/11.0)</t>
    </r>
  </si>
  <si>
    <r>
      <t>0.846</t>
    </r>
    <r>
      <rPr>
        <sz val="8.4"/>
        <color rgb="FF22292F"/>
        <rFont val="Helvetica"/>
        <family val="2"/>
      </rPr>
      <t>(6.0/7.1)</t>
    </r>
  </si>
  <si>
    <r>
      <t>0.494</t>
    </r>
    <r>
      <rPr>
        <sz val="8.4"/>
        <color rgb="FF22292F"/>
        <rFont val="Helvetica"/>
        <family val="2"/>
      </rPr>
      <t>(7.9/16.0)</t>
    </r>
  </si>
  <si>
    <r>
      <t>0.813</t>
    </r>
    <r>
      <rPr>
        <sz val="8.4"/>
        <color rgb="FF22292F"/>
        <rFont val="Helvetica"/>
        <family val="2"/>
      </rPr>
      <t>(2.6/3.2)</t>
    </r>
  </si>
  <si>
    <r>
      <t>0.525</t>
    </r>
    <r>
      <rPr>
        <sz val="8.4"/>
        <color rgb="FF22292F"/>
        <rFont val="Helvetica"/>
        <family val="2"/>
      </rPr>
      <t>(8.2/15.6)</t>
    </r>
  </si>
  <si>
    <r>
      <t>0.478</t>
    </r>
    <r>
      <rPr>
        <sz val="8.4"/>
        <color rgb="FF22292F"/>
        <rFont val="Helvetica"/>
        <family val="2"/>
      </rPr>
      <t>(5.5/11.5)</t>
    </r>
  </si>
  <si>
    <r>
      <t>0.641</t>
    </r>
    <r>
      <rPr>
        <sz val="8.4"/>
        <color rgb="FF22292F"/>
        <rFont val="Helvetica"/>
        <family val="2"/>
      </rPr>
      <t>(1.1/1.7)</t>
    </r>
  </si>
  <si>
    <r>
      <t>0.468</t>
    </r>
    <r>
      <rPr>
        <sz val="8.4"/>
        <color rgb="FF22292F"/>
        <rFont val="Helvetica"/>
        <family val="2"/>
      </rPr>
      <t>(10.8/23.0)</t>
    </r>
  </si>
  <si>
    <r>
      <t>0.750</t>
    </r>
    <r>
      <rPr>
        <sz val="8.4"/>
        <color rgb="FF22292F"/>
        <rFont val="Helvetica"/>
        <family val="2"/>
      </rPr>
      <t>(3.7/4.9)</t>
    </r>
  </si>
  <si>
    <r>
      <t>0.515</t>
    </r>
    <r>
      <rPr>
        <sz val="8.4"/>
        <color rgb="FF22292F"/>
        <rFont val="Helvetica"/>
        <family val="2"/>
      </rPr>
      <t>(9.3/18.0)</t>
    </r>
  </si>
  <si>
    <r>
      <t>0.748</t>
    </r>
    <r>
      <rPr>
        <sz val="8.4"/>
        <color rgb="FF22292F"/>
        <rFont val="Helvetica"/>
        <family val="2"/>
      </rPr>
      <t>(4.2/5.6)</t>
    </r>
  </si>
  <si>
    <r>
      <t>0.461</t>
    </r>
    <r>
      <rPr>
        <sz val="8.4"/>
        <color rgb="FF22292F"/>
        <rFont val="Helvetica"/>
        <family val="2"/>
      </rPr>
      <t>(7.0/15.2)</t>
    </r>
  </si>
  <si>
    <r>
      <t>0.858</t>
    </r>
    <r>
      <rPr>
        <sz val="8.4"/>
        <color rgb="FF22292F"/>
        <rFont val="Helvetica"/>
        <family val="2"/>
      </rPr>
      <t>(2.8/3.3)</t>
    </r>
  </si>
  <si>
    <r>
      <t>0.461</t>
    </r>
    <r>
      <rPr>
        <sz val="8.4"/>
        <color rgb="FF22292F"/>
        <rFont val="Helvetica"/>
        <family val="2"/>
      </rPr>
      <t>(7.9/17.1)</t>
    </r>
  </si>
  <si>
    <r>
      <t>0.866</t>
    </r>
    <r>
      <rPr>
        <sz val="8.4"/>
        <color rgb="FF22292F"/>
        <rFont val="Helvetica"/>
        <family val="2"/>
      </rPr>
      <t>(3.1/3.6)</t>
    </r>
  </si>
  <si>
    <r>
      <t>0.469</t>
    </r>
    <r>
      <rPr>
        <sz val="8.4"/>
        <color rgb="FF22292F"/>
        <rFont val="Helvetica"/>
        <family val="2"/>
      </rPr>
      <t>(6.1/13.0)</t>
    </r>
  </si>
  <si>
    <r>
      <t>0.866</t>
    </r>
    <r>
      <rPr>
        <sz val="8.4"/>
        <color rgb="FF22292F"/>
        <rFont val="Helvetica"/>
        <family val="2"/>
      </rPr>
      <t>(3.6/4.2)</t>
    </r>
  </si>
  <si>
    <r>
      <t>0.745</t>
    </r>
    <r>
      <rPr>
        <sz val="8.4"/>
        <color rgb="FF22292F"/>
        <rFont val="Helvetica"/>
        <family val="2"/>
      </rPr>
      <t>(6.2/8.3)</t>
    </r>
  </si>
  <si>
    <r>
      <t>0.483</t>
    </r>
    <r>
      <rPr>
        <sz val="8.4"/>
        <color rgb="FF22292F"/>
        <rFont val="Helvetica"/>
        <family val="2"/>
      </rPr>
      <t>(6.5/13.4)</t>
    </r>
  </si>
  <si>
    <r>
      <t>0.817</t>
    </r>
    <r>
      <rPr>
        <sz val="8.4"/>
        <color rgb="FF22292F"/>
        <rFont val="Helvetica"/>
        <family val="2"/>
      </rPr>
      <t>(3.8/4.7)</t>
    </r>
  </si>
  <si>
    <r>
      <t>0.451</t>
    </r>
    <r>
      <rPr>
        <sz val="8.4"/>
        <color rgb="FF22292F"/>
        <rFont val="Helvetica"/>
        <family val="2"/>
      </rPr>
      <t>(8.5/18.8)</t>
    </r>
  </si>
  <si>
    <r>
      <t>0.810</t>
    </r>
    <r>
      <rPr>
        <sz val="8.4"/>
        <color rgb="FF22292F"/>
        <rFont val="Helvetica"/>
        <family val="2"/>
      </rPr>
      <t>(5.6/6.9)</t>
    </r>
  </si>
  <si>
    <r>
      <t>0.475</t>
    </r>
    <r>
      <rPr>
        <sz val="8.4"/>
        <color rgb="FF22292F"/>
        <rFont val="Helvetica"/>
        <family val="2"/>
      </rPr>
      <t>(6.9/14.4)</t>
    </r>
  </si>
  <si>
    <r>
      <t>0.872</t>
    </r>
    <r>
      <rPr>
        <sz val="8.4"/>
        <color rgb="FF22292F"/>
        <rFont val="Helvetica"/>
        <family val="2"/>
      </rPr>
      <t>(2.5/2.9)</t>
    </r>
  </si>
  <si>
    <r>
      <t>47 </t>
    </r>
    <r>
      <rPr>
        <sz val="14"/>
        <color rgb="FF999999"/>
        <rFont val="Helvetica"/>
        <family val="2"/>
      </rPr>
      <t> 3</t>
    </r>
  </si>
  <si>
    <r>
      <t>0.497</t>
    </r>
    <r>
      <rPr>
        <sz val="8.4"/>
        <color rgb="FF22292F"/>
        <rFont val="Helvetica"/>
        <family val="2"/>
      </rPr>
      <t>(7.9/15.8)</t>
    </r>
  </si>
  <si>
    <r>
      <t>0.833</t>
    </r>
    <r>
      <rPr>
        <sz val="8.4"/>
        <color rgb="FF22292F"/>
        <rFont val="Helvetica"/>
        <family val="2"/>
      </rPr>
      <t>(3.2/3.8)</t>
    </r>
  </si>
  <si>
    <t>Cooper Flagg</t>
  </si>
  <si>
    <r>
      <t>0.473</t>
    </r>
    <r>
      <rPr>
        <sz val="8.4"/>
        <color rgb="FF22292F"/>
        <rFont val="Helvetica"/>
        <family val="2"/>
      </rPr>
      <t>(6.1/12.9)</t>
    </r>
  </si>
  <si>
    <r>
      <t>0.836</t>
    </r>
    <r>
      <rPr>
        <sz val="8.4"/>
        <color rgb="FF22292F"/>
        <rFont val="Helvetica"/>
        <family val="2"/>
      </rPr>
      <t>(3.5/4.2)</t>
    </r>
  </si>
  <si>
    <r>
      <t>0.447</t>
    </r>
    <r>
      <rPr>
        <sz val="8.4"/>
        <color rgb="FF22292F"/>
        <rFont val="Helvetica"/>
        <family val="2"/>
      </rPr>
      <t>(7.4/16.7)</t>
    </r>
  </si>
  <si>
    <r>
      <t>0.863</t>
    </r>
    <r>
      <rPr>
        <sz val="8.4"/>
        <color rgb="FF22292F"/>
        <rFont val="Helvetica"/>
        <family val="2"/>
      </rPr>
      <t>(6.4/7.4)</t>
    </r>
  </si>
  <si>
    <r>
      <t>0.483</t>
    </r>
    <r>
      <rPr>
        <sz val="8.4"/>
        <color rgb="FF22292F"/>
        <rFont val="Helvetica"/>
        <family val="2"/>
      </rPr>
      <t>(7.0/14.5)</t>
    </r>
  </si>
  <si>
    <r>
      <t>0.758</t>
    </r>
    <r>
      <rPr>
        <sz val="8.4"/>
        <color rgb="FF22292F"/>
        <rFont val="Helvetica"/>
        <family val="2"/>
      </rPr>
      <t>(3.6/4.7)</t>
    </r>
  </si>
  <si>
    <r>
      <t>51 </t>
    </r>
    <r>
      <rPr>
        <sz val="14"/>
        <color rgb="FF999999"/>
        <rFont val="Helvetica"/>
        <family val="2"/>
      </rPr>
      <t> 4</t>
    </r>
  </si>
  <si>
    <r>
      <t>0.478</t>
    </r>
    <r>
      <rPr>
        <sz val="8.4"/>
        <color rgb="FF22292F"/>
        <rFont val="Helvetica"/>
        <family val="2"/>
      </rPr>
      <t>(7.6/15.9)</t>
    </r>
  </si>
  <si>
    <r>
      <t>0.855</t>
    </r>
    <r>
      <rPr>
        <sz val="8.4"/>
        <color rgb="FF22292F"/>
        <rFont val="Helvetica"/>
        <family val="2"/>
      </rPr>
      <t>(5.4/6.3)</t>
    </r>
  </si>
  <si>
    <r>
      <t>0.450</t>
    </r>
    <r>
      <rPr>
        <sz val="8.4"/>
        <color rgb="FF22292F"/>
        <rFont val="Helvetica"/>
        <family val="2"/>
      </rPr>
      <t>(6.7/14.9)</t>
    </r>
  </si>
  <si>
    <r>
      <t>0.873</t>
    </r>
    <r>
      <rPr>
        <sz val="8.4"/>
        <color rgb="FF22292F"/>
        <rFont val="Helvetica"/>
        <family val="2"/>
      </rPr>
      <t>(3.7/4.3)</t>
    </r>
  </si>
  <si>
    <r>
      <t>0.636</t>
    </r>
    <r>
      <rPr>
        <sz val="8.4"/>
        <color rgb="FF22292F"/>
        <rFont val="Helvetica"/>
        <family val="2"/>
      </rPr>
      <t>(6.3/9.9)</t>
    </r>
  </si>
  <si>
    <r>
      <t>0.688</t>
    </r>
    <r>
      <rPr>
        <sz val="8.4"/>
        <color rgb="FF22292F"/>
        <rFont val="Helvetica"/>
        <family val="2"/>
      </rPr>
      <t>(1.9/2.7)</t>
    </r>
  </si>
  <si>
    <r>
      <t>0.483</t>
    </r>
    <r>
      <rPr>
        <sz val="8.4"/>
        <color rgb="FF22292F"/>
        <rFont val="Helvetica"/>
        <family val="2"/>
      </rPr>
      <t>(5.7/11.9)</t>
    </r>
  </si>
  <si>
    <r>
      <t>0.777</t>
    </r>
    <r>
      <rPr>
        <sz val="8.4"/>
        <color rgb="FF22292F"/>
        <rFont val="Helvetica"/>
        <family val="2"/>
      </rPr>
      <t>(2.4/3.1)</t>
    </r>
  </si>
  <si>
    <r>
      <t>0.670</t>
    </r>
    <r>
      <rPr>
        <sz val="8.4"/>
        <color rgb="FF22292F"/>
        <rFont val="Helvetica"/>
        <family val="2"/>
      </rPr>
      <t>(5.5/8.2)</t>
    </r>
  </si>
  <si>
    <r>
      <t>0.732</t>
    </r>
    <r>
      <rPr>
        <sz val="8.4"/>
        <color rgb="FF22292F"/>
        <rFont val="Helvetica"/>
        <family val="2"/>
      </rPr>
      <t>(2.6/3.6)</t>
    </r>
  </si>
  <si>
    <r>
      <t>0.655</t>
    </r>
    <r>
      <rPr>
        <sz val="8.4"/>
        <color rgb="FF22292F"/>
        <rFont val="Helvetica"/>
        <family val="2"/>
      </rPr>
      <t>(5.3/8.1)</t>
    </r>
  </si>
  <si>
    <r>
      <t>0.722</t>
    </r>
    <r>
      <rPr>
        <sz val="8.4"/>
        <color rgb="FF22292F"/>
        <rFont val="Helvetica"/>
        <family val="2"/>
      </rPr>
      <t>(2.2/3.1)</t>
    </r>
  </si>
  <si>
    <r>
      <t>0.478</t>
    </r>
    <r>
      <rPr>
        <sz val="8.4"/>
        <color rgb="FF22292F"/>
        <rFont val="Helvetica"/>
        <family val="2"/>
      </rPr>
      <t>(6.2/13.0)</t>
    </r>
  </si>
  <si>
    <r>
      <t>0.777</t>
    </r>
    <r>
      <rPr>
        <sz val="8.4"/>
        <color rgb="FF22292F"/>
        <rFont val="Helvetica"/>
        <family val="2"/>
      </rPr>
      <t>(4.0/5.1)</t>
    </r>
  </si>
  <si>
    <r>
      <t>0.480</t>
    </r>
    <r>
      <rPr>
        <sz val="8.4"/>
        <color rgb="FF22292F"/>
        <rFont val="Helvetica"/>
        <family val="2"/>
      </rPr>
      <t>(6.2/12.9)</t>
    </r>
  </si>
  <si>
    <r>
      <t>0.794</t>
    </r>
    <r>
      <rPr>
        <sz val="8.4"/>
        <color rgb="FF22292F"/>
        <rFont val="Helvetica"/>
        <family val="2"/>
      </rPr>
      <t>(2.0/2.5)</t>
    </r>
  </si>
  <si>
    <r>
      <t>0.473</t>
    </r>
    <r>
      <rPr>
        <sz val="8.4"/>
        <color rgb="FF22292F"/>
        <rFont val="Helvetica"/>
        <family val="2"/>
      </rPr>
      <t>(7.5/16.0)</t>
    </r>
  </si>
  <si>
    <r>
      <t>0.788</t>
    </r>
    <r>
      <rPr>
        <sz val="8.4"/>
        <color rgb="FF22292F"/>
        <rFont val="Helvetica"/>
        <family val="2"/>
      </rPr>
      <t>(2.2/2.7)</t>
    </r>
  </si>
  <si>
    <r>
      <t>0.505</t>
    </r>
    <r>
      <rPr>
        <sz val="8.4"/>
        <color rgb="FF22292F"/>
        <rFont val="Helvetica"/>
        <family val="2"/>
      </rPr>
      <t>(7.0/13.9)</t>
    </r>
  </si>
  <si>
    <r>
      <t>0.809</t>
    </r>
    <r>
      <rPr>
        <sz val="8.4"/>
        <color rgb="FF22292F"/>
        <rFont val="Helvetica"/>
        <family val="2"/>
      </rPr>
      <t>(1.4/1.7)</t>
    </r>
  </si>
  <si>
    <r>
      <t>0.656</t>
    </r>
    <r>
      <rPr>
        <sz val="8.4"/>
        <color rgb="FF22292F"/>
        <rFont val="Helvetica"/>
        <family val="2"/>
      </rPr>
      <t>(4.4/6.8)</t>
    </r>
  </si>
  <si>
    <r>
      <t>0.512</t>
    </r>
    <r>
      <rPr>
        <sz val="8.4"/>
        <color rgb="FF22292F"/>
        <rFont val="Helvetica"/>
        <family val="2"/>
      </rPr>
      <t>(1.1/2.2)</t>
    </r>
  </si>
  <si>
    <r>
      <t>0.611</t>
    </r>
    <r>
      <rPr>
        <sz val="8.4"/>
        <color rgb="FF22292F"/>
        <rFont val="Helvetica"/>
        <family val="2"/>
      </rPr>
      <t>(5.7/9.4)</t>
    </r>
  </si>
  <si>
    <r>
      <t>0.763</t>
    </r>
    <r>
      <rPr>
        <sz val="8.4"/>
        <color rgb="FF22292F"/>
        <rFont val="Helvetica"/>
        <family val="2"/>
      </rPr>
      <t>(2.7/3.5)</t>
    </r>
  </si>
  <si>
    <r>
      <t>0.551</t>
    </r>
    <r>
      <rPr>
        <sz val="8.4"/>
        <color rgb="FF22292F"/>
        <rFont val="Helvetica"/>
        <family val="2"/>
      </rPr>
      <t>(9.6/17.5)</t>
    </r>
  </si>
  <si>
    <r>
      <t>0.645</t>
    </r>
    <r>
      <rPr>
        <sz val="8.4"/>
        <color rgb="FF22292F"/>
        <rFont val="Helvetica"/>
        <family val="2"/>
      </rPr>
      <t>(5.0/7.8)</t>
    </r>
  </si>
  <si>
    <r>
      <t>0.569</t>
    </r>
    <r>
      <rPr>
        <sz val="8.4"/>
        <color rgb="FF22292F"/>
        <rFont val="Helvetica"/>
        <family val="2"/>
      </rPr>
      <t>(6.6/11.5)</t>
    </r>
  </si>
  <si>
    <r>
      <t>0.767</t>
    </r>
    <r>
      <rPr>
        <sz val="8.4"/>
        <color rgb="FF22292F"/>
        <rFont val="Helvetica"/>
        <family val="2"/>
      </rPr>
      <t>(1.0/1.3)</t>
    </r>
  </si>
  <si>
    <r>
      <t>0.542</t>
    </r>
    <r>
      <rPr>
        <sz val="8.4"/>
        <color rgb="FF22292F"/>
        <rFont val="Helvetica"/>
        <family val="2"/>
      </rPr>
      <t>(6.1/11.3)</t>
    </r>
  </si>
  <si>
    <r>
      <t>0.817</t>
    </r>
    <r>
      <rPr>
        <sz val="8.4"/>
        <color rgb="FF22292F"/>
        <rFont val="Helvetica"/>
        <family val="2"/>
      </rPr>
      <t>(2.3/2.8)</t>
    </r>
  </si>
  <si>
    <r>
      <t>0.470</t>
    </r>
    <r>
      <rPr>
        <sz val="8.4"/>
        <color rgb="FF22292F"/>
        <rFont val="Helvetica"/>
        <family val="2"/>
      </rPr>
      <t>(5.5/11.8)</t>
    </r>
  </si>
  <si>
    <r>
      <t>0.855</t>
    </r>
    <r>
      <rPr>
        <sz val="8.4"/>
        <color rgb="FF22292F"/>
        <rFont val="Helvetica"/>
        <family val="2"/>
      </rPr>
      <t>(2.4/2.8)</t>
    </r>
  </si>
  <si>
    <r>
      <t>0.540</t>
    </r>
    <r>
      <rPr>
        <sz val="8.4"/>
        <color rgb="FF22292F"/>
        <rFont val="Helvetica"/>
        <family val="2"/>
      </rPr>
      <t>(3.8/7.1)</t>
    </r>
  </si>
  <si>
    <r>
      <t>0.593</t>
    </r>
    <r>
      <rPr>
        <sz val="8.4"/>
        <color rgb="FF22292F"/>
        <rFont val="Helvetica"/>
        <family val="2"/>
      </rPr>
      <t>(1.3/2.2)</t>
    </r>
  </si>
  <si>
    <r>
      <t>0.664</t>
    </r>
    <r>
      <rPr>
        <sz val="8.4"/>
        <color rgb="FF22292F"/>
        <rFont val="Helvetica"/>
        <family val="2"/>
      </rPr>
      <t>(4.9/7.3)</t>
    </r>
  </si>
  <si>
    <r>
      <t>0.653</t>
    </r>
    <r>
      <rPr>
        <sz val="8.4"/>
        <color rgb="FF22292F"/>
        <rFont val="Helvetica"/>
        <family val="2"/>
      </rPr>
      <t>(2.8/4.3)</t>
    </r>
  </si>
  <si>
    <r>
      <t>0.632</t>
    </r>
    <r>
      <rPr>
        <sz val="8.4"/>
        <color rgb="FF22292F"/>
        <rFont val="Helvetica"/>
        <family val="2"/>
      </rPr>
      <t>(5.8/9.1)</t>
    </r>
  </si>
  <si>
    <r>
      <t>0.620</t>
    </r>
    <r>
      <rPr>
        <sz val="8.4"/>
        <color rgb="FF22292F"/>
        <rFont val="Helvetica"/>
        <family val="2"/>
      </rPr>
      <t>(1.5/2.4)</t>
    </r>
  </si>
  <si>
    <r>
      <t>0.466</t>
    </r>
    <r>
      <rPr>
        <sz val="8.4"/>
        <color rgb="FF22292F"/>
        <rFont val="Helvetica"/>
        <family val="2"/>
      </rPr>
      <t>(5.6/12.1)</t>
    </r>
  </si>
  <si>
    <r>
      <t>0.829</t>
    </r>
    <r>
      <rPr>
        <sz val="8.4"/>
        <color rgb="FF22292F"/>
        <rFont val="Helvetica"/>
        <family val="2"/>
      </rPr>
      <t>(0.9/1.1)</t>
    </r>
  </si>
  <si>
    <r>
      <t>0.422</t>
    </r>
    <r>
      <rPr>
        <sz val="8.4"/>
        <color rgb="FF22292F"/>
        <rFont val="Helvetica"/>
        <family val="2"/>
      </rPr>
      <t>(6.6/15.6)</t>
    </r>
  </si>
  <si>
    <r>
      <t>0.881</t>
    </r>
    <r>
      <rPr>
        <sz val="8.4"/>
        <color rgb="FF22292F"/>
        <rFont val="Helvetica"/>
        <family val="2"/>
      </rPr>
      <t>(3.0/3.4)</t>
    </r>
  </si>
  <si>
    <r>
      <t>0.528</t>
    </r>
    <r>
      <rPr>
        <sz val="8.4"/>
        <color rgb="FF22292F"/>
        <rFont val="Helvetica"/>
        <family val="2"/>
      </rPr>
      <t>(5.9/11.2)</t>
    </r>
  </si>
  <si>
    <r>
      <t>0.820</t>
    </r>
    <r>
      <rPr>
        <sz val="8.4"/>
        <color rgb="FF22292F"/>
        <rFont val="Helvetica"/>
        <family val="2"/>
      </rPr>
      <t>(2.5/3.1)</t>
    </r>
  </si>
  <si>
    <r>
      <t>0.472</t>
    </r>
    <r>
      <rPr>
        <sz val="8.4"/>
        <color rgb="FF22292F"/>
        <rFont val="Helvetica"/>
        <family val="2"/>
      </rPr>
      <t>(7.4/15.6)</t>
    </r>
  </si>
  <si>
    <r>
      <t>0.901</t>
    </r>
    <r>
      <rPr>
        <sz val="8.4"/>
        <color rgb="FF22292F"/>
        <rFont val="Helvetica"/>
        <family val="2"/>
      </rPr>
      <t>(2.9/3.2)</t>
    </r>
  </si>
  <si>
    <r>
      <t>0.446</t>
    </r>
    <r>
      <rPr>
        <sz val="8.4"/>
        <color rgb="FF22292F"/>
        <rFont val="Helvetica"/>
        <family val="2"/>
      </rPr>
      <t>(5.3/11.9)</t>
    </r>
  </si>
  <si>
    <r>
      <t>0.811</t>
    </r>
    <r>
      <rPr>
        <sz val="8.4"/>
        <color rgb="FF22292F"/>
        <rFont val="Helvetica"/>
        <family val="2"/>
      </rPr>
      <t>(2.1/2.6)</t>
    </r>
  </si>
  <si>
    <r>
      <t>0.617</t>
    </r>
    <r>
      <rPr>
        <sz val="8.4"/>
        <color rgb="FF22292F"/>
        <rFont val="Helvetica"/>
        <family val="2"/>
      </rPr>
      <t>(4.0/6.4)</t>
    </r>
  </si>
  <si>
    <r>
      <t>0.692</t>
    </r>
    <r>
      <rPr>
        <sz val="8.4"/>
        <color rgb="FF22292F"/>
        <rFont val="Helvetica"/>
        <family val="2"/>
      </rPr>
      <t>(1.5/2.1)</t>
    </r>
  </si>
  <si>
    <r>
      <t>0.447</t>
    </r>
    <r>
      <rPr>
        <sz val="8.4"/>
        <color rgb="FF22292F"/>
        <rFont val="Helvetica"/>
        <family val="2"/>
      </rPr>
      <t>(7.1/15.8)</t>
    </r>
  </si>
  <si>
    <r>
      <t>0.850</t>
    </r>
    <r>
      <rPr>
        <sz val="8.4"/>
        <color rgb="FF22292F"/>
        <rFont val="Helvetica"/>
        <family val="2"/>
      </rPr>
      <t>(2.7/3.2)</t>
    </r>
  </si>
  <si>
    <r>
      <t>0.446</t>
    </r>
    <r>
      <rPr>
        <sz val="8.4"/>
        <color rgb="FF22292F"/>
        <rFont val="Helvetica"/>
        <family val="2"/>
      </rPr>
      <t>(6.0/13.5)</t>
    </r>
  </si>
  <si>
    <r>
      <t>0.847</t>
    </r>
    <r>
      <rPr>
        <sz val="8.4"/>
        <color rgb="FF22292F"/>
        <rFont val="Helvetica"/>
        <family val="2"/>
      </rPr>
      <t>(2.5/2.9)</t>
    </r>
  </si>
  <si>
    <r>
      <t>0.452</t>
    </r>
    <r>
      <rPr>
        <sz val="8.4"/>
        <color rgb="FF22292F"/>
        <rFont val="Helvetica"/>
        <family val="2"/>
      </rPr>
      <t>(7.3/16.1)</t>
    </r>
  </si>
  <si>
    <r>
      <t>0.767</t>
    </r>
    <r>
      <rPr>
        <sz val="8.4"/>
        <color rgb="FF22292F"/>
        <rFont val="Helvetica"/>
        <family val="2"/>
      </rPr>
      <t>(1.9/2.5)</t>
    </r>
  </si>
  <si>
    <r>
      <t>0.582</t>
    </r>
    <r>
      <rPr>
        <sz val="8.4"/>
        <color rgb="FF22292F"/>
        <rFont val="Helvetica"/>
        <family val="2"/>
      </rPr>
      <t>(4.8/8.2)</t>
    </r>
  </si>
  <si>
    <r>
      <t>0.771</t>
    </r>
    <r>
      <rPr>
        <sz val="8.4"/>
        <color rgb="FF22292F"/>
        <rFont val="Helvetica"/>
        <family val="2"/>
      </rPr>
      <t>(2.0/2.6)</t>
    </r>
  </si>
  <si>
    <r>
      <t>0.461</t>
    </r>
    <r>
      <rPr>
        <sz val="8.4"/>
        <color rgb="FF22292F"/>
        <rFont val="Helvetica"/>
        <family val="2"/>
      </rPr>
      <t>(6.7/14.5)</t>
    </r>
  </si>
  <si>
    <r>
      <t>0.823</t>
    </r>
    <r>
      <rPr>
        <sz val="8.4"/>
        <color rgb="FF22292F"/>
        <rFont val="Helvetica"/>
        <family val="2"/>
      </rPr>
      <t>(3.9/4.7)</t>
    </r>
  </si>
  <si>
    <r>
      <t>0.478</t>
    </r>
    <r>
      <rPr>
        <sz val="8.4"/>
        <color rgb="FF22292F"/>
        <rFont val="Helvetica"/>
        <family val="2"/>
      </rPr>
      <t>(5.7/11.9)</t>
    </r>
  </si>
  <si>
    <r>
      <t>0.870</t>
    </r>
    <r>
      <rPr>
        <sz val="8.4"/>
        <color rgb="FF22292F"/>
        <rFont val="Helvetica"/>
        <family val="2"/>
      </rPr>
      <t>(2.2/2.5)</t>
    </r>
  </si>
  <si>
    <r>
      <t>0.471</t>
    </r>
    <r>
      <rPr>
        <sz val="8.4"/>
        <color rgb="FF22292F"/>
        <rFont val="Helvetica"/>
        <family val="2"/>
      </rPr>
      <t>(7.1/15.2)</t>
    </r>
  </si>
  <si>
    <r>
      <t>0.810</t>
    </r>
    <r>
      <rPr>
        <sz val="8.4"/>
        <color rgb="FF22292F"/>
        <rFont val="Helvetica"/>
        <family val="2"/>
      </rPr>
      <t>(3.3/4.1)</t>
    </r>
  </si>
  <si>
    <r>
      <t>0.428</t>
    </r>
    <r>
      <rPr>
        <sz val="8.4"/>
        <color rgb="FF22292F"/>
        <rFont val="Helvetica"/>
        <family val="2"/>
      </rPr>
      <t>(7.0/16.3)</t>
    </r>
  </si>
  <si>
    <r>
      <t>0.838</t>
    </r>
    <r>
      <rPr>
        <sz val="8.4"/>
        <color rgb="FF22292F"/>
        <rFont val="Helvetica"/>
        <family val="2"/>
      </rPr>
      <t>(2.2/2.6)</t>
    </r>
  </si>
  <si>
    <r>
      <t>0.506</t>
    </r>
    <r>
      <rPr>
        <sz val="8.4"/>
        <color rgb="FF22292F"/>
        <rFont val="Helvetica"/>
        <family val="2"/>
      </rPr>
      <t>(6.3/12.5)</t>
    </r>
  </si>
  <si>
    <r>
      <t>0.806</t>
    </r>
    <r>
      <rPr>
        <sz val="8.4"/>
        <color rgb="FF22292F"/>
        <rFont val="Helvetica"/>
        <family val="2"/>
      </rPr>
      <t>(1.9/2.4)</t>
    </r>
  </si>
  <si>
    <r>
      <t>0.455</t>
    </r>
    <r>
      <rPr>
        <sz val="8.4"/>
        <color rgb="FF22292F"/>
        <rFont val="Helvetica"/>
        <family val="2"/>
      </rPr>
      <t>(4.5/9.8)</t>
    </r>
  </si>
  <si>
    <r>
      <t>0.738</t>
    </r>
    <r>
      <rPr>
        <sz val="8.4"/>
        <color rgb="FF22292F"/>
        <rFont val="Helvetica"/>
        <family val="2"/>
      </rPr>
      <t>(1.4/1.9)</t>
    </r>
  </si>
  <si>
    <r>
      <t>0.557</t>
    </r>
    <r>
      <rPr>
        <sz val="8.4"/>
        <color rgb="FF22292F"/>
        <rFont val="Helvetica"/>
        <family val="2"/>
      </rPr>
      <t>(4.6/8.2)</t>
    </r>
  </si>
  <si>
    <r>
      <t>0.711</t>
    </r>
    <r>
      <rPr>
        <sz val="8.4"/>
        <color rgb="FF22292F"/>
        <rFont val="Helvetica"/>
        <family val="2"/>
      </rPr>
      <t>(1.8/2.5)</t>
    </r>
  </si>
  <si>
    <r>
      <t>0.469</t>
    </r>
    <r>
      <rPr>
        <sz val="8.4"/>
        <color rgb="FF22292F"/>
        <rFont val="Helvetica"/>
        <family val="2"/>
      </rPr>
      <t>(5.7/12.1)</t>
    </r>
  </si>
  <si>
    <r>
      <t>0.754</t>
    </r>
    <r>
      <rPr>
        <sz val="8.4"/>
        <color rgb="FF22292F"/>
        <rFont val="Helvetica"/>
        <family val="2"/>
      </rPr>
      <t>(1.5/2.0)</t>
    </r>
  </si>
  <si>
    <r>
      <t>0.433</t>
    </r>
    <r>
      <rPr>
        <sz val="8.4"/>
        <color rgb="FF22292F"/>
        <rFont val="Helvetica"/>
        <family val="2"/>
      </rPr>
      <t>(5.4/12.5)</t>
    </r>
  </si>
  <si>
    <r>
      <t>0.856</t>
    </r>
    <r>
      <rPr>
        <sz val="8.4"/>
        <color rgb="FF22292F"/>
        <rFont val="Helvetica"/>
        <family val="2"/>
      </rPr>
      <t>(3.3/3.9)</t>
    </r>
  </si>
  <si>
    <r>
      <t>0.456</t>
    </r>
    <r>
      <rPr>
        <sz val="8.4"/>
        <color rgb="FF22292F"/>
        <rFont val="Helvetica"/>
        <family val="2"/>
      </rPr>
      <t>(3.3/7.2)</t>
    </r>
  </si>
  <si>
    <r>
      <t>0.702</t>
    </r>
    <r>
      <rPr>
        <sz val="8.4"/>
        <color rgb="FF22292F"/>
        <rFont val="Helvetica"/>
        <family val="2"/>
      </rPr>
      <t>(1.3/1.8)</t>
    </r>
  </si>
  <si>
    <r>
      <t>0.453</t>
    </r>
    <r>
      <rPr>
        <sz val="8.4"/>
        <color rgb="FF22292F"/>
        <rFont val="Helvetica"/>
        <family val="2"/>
      </rPr>
      <t>(3.7/8.1)</t>
    </r>
  </si>
  <si>
    <r>
      <t>0.858</t>
    </r>
    <r>
      <rPr>
        <sz val="8.4"/>
        <color rgb="FF22292F"/>
        <rFont val="Helvetica"/>
        <family val="2"/>
      </rPr>
      <t>(1.8/2.1)</t>
    </r>
  </si>
  <si>
    <r>
      <t>0.477</t>
    </r>
    <r>
      <rPr>
        <sz val="8.4"/>
        <color rgb="FF22292F"/>
        <rFont val="Helvetica"/>
        <family val="2"/>
      </rPr>
      <t>(6.6/13.8)</t>
    </r>
  </si>
  <si>
    <r>
      <t>0.795</t>
    </r>
    <r>
      <rPr>
        <sz val="8.4"/>
        <color rgb="FF22292F"/>
        <rFont val="Helvetica"/>
        <family val="2"/>
      </rPr>
      <t>(4.1/5.2)</t>
    </r>
  </si>
  <si>
    <r>
      <t>0.423</t>
    </r>
    <r>
      <rPr>
        <sz val="8.4"/>
        <color rgb="FF22292F"/>
        <rFont val="Helvetica"/>
        <family val="2"/>
      </rPr>
      <t>(7.8/18.5)</t>
    </r>
  </si>
  <si>
    <r>
      <t>0.808</t>
    </r>
    <r>
      <rPr>
        <sz val="8.4"/>
        <color rgb="FF22292F"/>
        <rFont val="Helvetica"/>
        <family val="2"/>
      </rPr>
      <t>(3.7/4.6)</t>
    </r>
  </si>
  <si>
    <r>
      <t>0.559</t>
    </r>
    <r>
      <rPr>
        <sz val="8.4"/>
        <color rgb="FF22292F"/>
        <rFont val="Helvetica"/>
        <family val="2"/>
      </rPr>
      <t>(5.1/9.1)</t>
    </r>
  </si>
  <si>
    <r>
      <t>0.688</t>
    </r>
    <r>
      <rPr>
        <sz val="8.4"/>
        <color rgb="FF22292F"/>
        <rFont val="Helvetica"/>
        <family val="2"/>
      </rPr>
      <t>(0.9/1.3)</t>
    </r>
  </si>
  <si>
    <r>
      <t>0.482</t>
    </r>
    <r>
      <rPr>
        <sz val="8.4"/>
        <color rgb="FF22292F"/>
        <rFont val="Helvetica"/>
        <family val="2"/>
      </rPr>
      <t>(4.1/8.5)</t>
    </r>
  </si>
  <si>
    <r>
      <t>0.781</t>
    </r>
    <r>
      <rPr>
        <sz val="8.4"/>
        <color rgb="FF22292F"/>
        <rFont val="Helvetica"/>
        <family val="2"/>
      </rPr>
      <t>(1.5/1.9)</t>
    </r>
  </si>
  <si>
    <r>
      <t>0.596</t>
    </r>
    <r>
      <rPr>
        <sz val="8.4"/>
        <color rgb="FF22292F"/>
        <rFont val="Helvetica"/>
        <family val="2"/>
      </rPr>
      <t>(4.7/7.9)</t>
    </r>
  </si>
  <si>
    <r>
      <t>0.535</t>
    </r>
    <r>
      <rPr>
        <sz val="8.4"/>
        <color rgb="FF22292F"/>
        <rFont val="Helvetica"/>
        <family val="2"/>
      </rPr>
      <t>(1.3/2.4)</t>
    </r>
  </si>
  <si>
    <r>
      <t>0.481</t>
    </r>
    <r>
      <rPr>
        <sz val="8.4"/>
        <color rgb="FF22292F"/>
        <rFont val="Helvetica"/>
        <family val="2"/>
      </rPr>
      <t>(6.7/14.0)</t>
    </r>
  </si>
  <si>
    <r>
      <t>0.829</t>
    </r>
    <r>
      <rPr>
        <sz val="8.4"/>
        <color rgb="FF22292F"/>
        <rFont val="Helvetica"/>
        <family val="2"/>
      </rPr>
      <t>(1.4/1.7)</t>
    </r>
  </si>
  <si>
    <r>
      <t>0.700</t>
    </r>
    <r>
      <rPr>
        <sz val="8.4"/>
        <color rgb="FF22292F"/>
        <rFont val="Helvetica"/>
        <family val="2"/>
      </rPr>
      <t>(4.3/6.2)</t>
    </r>
  </si>
  <si>
    <r>
      <t>0.635</t>
    </r>
    <r>
      <rPr>
        <sz val="8.4"/>
        <color rgb="FF22292F"/>
        <rFont val="Helvetica"/>
        <family val="2"/>
      </rPr>
      <t>(1.4/2.2)</t>
    </r>
  </si>
  <si>
    <r>
      <t>0.481</t>
    </r>
    <r>
      <rPr>
        <sz val="8.4"/>
        <color rgb="FF22292F"/>
        <rFont val="Helvetica"/>
        <family val="2"/>
      </rPr>
      <t>(3.1/6.5)</t>
    </r>
  </si>
  <si>
    <r>
      <t>0.816</t>
    </r>
    <r>
      <rPr>
        <sz val="8.4"/>
        <color rgb="FF22292F"/>
        <rFont val="Helvetica"/>
        <family val="2"/>
      </rPr>
      <t>(0.9/1.1)</t>
    </r>
  </si>
  <si>
    <r>
      <t>0.451</t>
    </r>
    <r>
      <rPr>
        <sz val="8.4"/>
        <color rgb="FF22292F"/>
        <rFont val="Helvetica"/>
        <family val="2"/>
      </rPr>
      <t>(6.7/14.8)</t>
    </r>
  </si>
  <si>
    <r>
      <t>0.522</t>
    </r>
    <r>
      <rPr>
        <sz val="8.4"/>
        <color rgb="FF22292F"/>
        <rFont val="Helvetica"/>
        <family val="2"/>
      </rPr>
      <t>(5.0/9.6)</t>
    </r>
  </si>
  <si>
    <r>
      <t>0.649</t>
    </r>
    <r>
      <rPr>
        <sz val="8.4"/>
        <color rgb="FF22292F"/>
        <rFont val="Helvetica"/>
        <family val="2"/>
      </rPr>
      <t>(1.7/2.7)</t>
    </r>
  </si>
  <si>
    <r>
      <t>0.441</t>
    </r>
    <r>
      <rPr>
        <sz val="8.4"/>
        <color rgb="FF22292F"/>
        <rFont val="Helvetica"/>
        <family val="2"/>
      </rPr>
      <t>(8.1/18.3)</t>
    </r>
  </si>
  <si>
    <r>
      <t>0.865</t>
    </r>
    <r>
      <rPr>
        <sz val="8.4"/>
        <color rgb="FF22292F"/>
        <rFont val="Helvetica"/>
        <family val="2"/>
      </rPr>
      <t>(4.7/5.4)</t>
    </r>
  </si>
  <si>
    <r>
      <t>0.500</t>
    </r>
    <r>
      <rPr>
        <sz val="8.4"/>
        <color rgb="FF22292F"/>
        <rFont val="Helvetica"/>
        <family val="2"/>
      </rPr>
      <t>(4.9/9.9)</t>
    </r>
  </si>
  <si>
    <r>
      <t>0.829</t>
    </r>
    <r>
      <rPr>
        <sz val="8.4"/>
        <color rgb="FF22292F"/>
        <rFont val="Helvetica"/>
        <family val="2"/>
      </rPr>
      <t>(1.8/2.1)</t>
    </r>
  </si>
  <si>
    <r>
      <t>0.431</t>
    </r>
    <r>
      <rPr>
        <sz val="8.4"/>
        <color rgb="FF22292F"/>
        <rFont val="Helvetica"/>
        <family val="2"/>
      </rPr>
      <t>(5.5/12.7)</t>
    </r>
  </si>
  <si>
    <r>
      <t>0.832</t>
    </r>
    <r>
      <rPr>
        <sz val="8.4"/>
        <color rgb="FF22292F"/>
        <rFont val="Helvetica"/>
        <family val="2"/>
      </rPr>
      <t>(2.1/2.5)</t>
    </r>
  </si>
  <si>
    <r>
      <t>0.461</t>
    </r>
    <r>
      <rPr>
        <sz val="8.4"/>
        <color rgb="FF22292F"/>
        <rFont val="Helvetica"/>
        <family val="2"/>
      </rPr>
      <t>(5.2/11.3)</t>
    </r>
  </si>
  <si>
    <r>
      <t>0.819</t>
    </r>
    <r>
      <rPr>
        <sz val="8.4"/>
        <color rgb="FF22292F"/>
        <rFont val="Helvetica"/>
        <family val="2"/>
      </rPr>
      <t>(1.8/2.2)</t>
    </r>
  </si>
  <si>
    <r>
      <t>0.614</t>
    </r>
    <r>
      <rPr>
        <sz val="8.4"/>
        <color rgb="FF22292F"/>
        <rFont val="Helvetica"/>
        <family val="2"/>
      </rPr>
      <t>(4.2/6.9)</t>
    </r>
  </si>
  <si>
    <r>
      <t>0.661</t>
    </r>
    <r>
      <rPr>
        <sz val="8.4"/>
        <color rgb="FF22292F"/>
        <rFont val="Helvetica"/>
        <family val="2"/>
      </rPr>
      <t>(2.0/3.0)</t>
    </r>
  </si>
  <si>
    <r>
      <t>0.458</t>
    </r>
    <r>
      <rPr>
        <sz val="8.4"/>
        <color rgb="FF22292F"/>
        <rFont val="Helvetica"/>
        <family val="2"/>
      </rPr>
      <t>(6.4/13.9)</t>
    </r>
  </si>
  <si>
    <r>
      <t>0.800</t>
    </r>
    <r>
      <rPr>
        <sz val="8.4"/>
        <color rgb="FF22292F"/>
        <rFont val="Helvetica"/>
        <family val="2"/>
      </rPr>
      <t>(1.8/2.3)</t>
    </r>
  </si>
  <si>
    <r>
      <t>0.441</t>
    </r>
    <r>
      <rPr>
        <sz val="8.4"/>
        <color rgb="FF22292F"/>
        <rFont val="Helvetica"/>
        <family val="2"/>
      </rPr>
      <t>(6.3/14.3)</t>
    </r>
  </si>
  <si>
    <r>
      <t>0.908</t>
    </r>
    <r>
      <rPr>
        <sz val="8.4"/>
        <color rgb="FF22292F"/>
        <rFont val="Helvetica"/>
        <family val="2"/>
      </rPr>
      <t>(2.5/2.7)</t>
    </r>
  </si>
  <si>
    <r>
      <t>0.436</t>
    </r>
    <r>
      <rPr>
        <sz val="8.4"/>
        <color rgb="FF22292F"/>
        <rFont val="Helvetica"/>
        <family val="2"/>
      </rPr>
      <t>(4.9/11.2)</t>
    </r>
  </si>
  <si>
    <r>
      <t>0.766</t>
    </r>
    <r>
      <rPr>
        <sz val="8.4"/>
        <color rgb="FF22292F"/>
        <rFont val="Helvetica"/>
        <family val="2"/>
      </rPr>
      <t>(1.0/1.2)</t>
    </r>
  </si>
  <si>
    <r>
      <t>0.444</t>
    </r>
    <r>
      <rPr>
        <sz val="8.4"/>
        <color rgb="FF22292F"/>
        <rFont val="Helvetica"/>
        <family val="2"/>
      </rPr>
      <t>(4.2/9.5)</t>
    </r>
  </si>
  <si>
    <r>
      <t>0.875</t>
    </r>
    <r>
      <rPr>
        <sz val="8.4"/>
        <color rgb="FF22292F"/>
        <rFont val="Helvetica"/>
        <family val="2"/>
      </rPr>
      <t>(1.0/1.1)</t>
    </r>
  </si>
  <si>
    <r>
      <t>0.449</t>
    </r>
    <r>
      <rPr>
        <sz val="8.4"/>
        <color rgb="FF22292F"/>
        <rFont val="Helvetica"/>
        <family val="2"/>
      </rPr>
      <t>(5.2/11.5)</t>
    </r>
  </si>
  <si>
    <r>
      <t>0.840</t>
    </r>
    <r>
      <rPr>
        <sz val="8.4"/>
        <color rgb="FF22292F"/>
        <rFont val="Helvetica"/>
        <family val="2"/>
      </rPr>
      <t>(1.1/1.3)</t>
    </r>
  </si>
  <si>
    <r>
      <t>0.625</t>
    </r>
    <r>
      <rPr>
        <sz val="8.4"/>
        <color rgb="FF22292F"/>
        <rFont val="Helvetica"/>
        <family val="2"/>
      </rPr>
      <t>(4.0/6.4)</t>
    </r>
  </si>
  <si>
    <r>
      <t>0.741</t>
    </r>
    <r>
      <rPr>
        <sz val="8.4"/>
        <color rgb="FF22292F"/>
        <rFont val="Helvetica"/>
        <family val="2"/>
      </rPr>
      <t>(1.4/1.9)</t>
    </r>
  </si>
  <si>
    <r>
      <t>0.417</t>
    </r>
    <r>
      <rPr>
        <sz val="8.4"/>
        <color rgb="FF22292F"/>
        <rFont val="Helvetica"/>
        <family val="2"/>
      </rPr>
      <t>(4.4/10.4)</t>
    </r>
  </si>
  <si>
    <r>
      <t>0.765</t>
    </r>
    <r>
      <rPr>
        <sz val="8.4"/>
        <color rgb="FF22292F"/>
        <rFont val="Helvetica"/>
        <family val="2"/>
      </rPr>
      <t>(1.3/1.7)</t>
    </r>
  </si>
  <si>
    <r>
      <t>0.473</t>
    </r>
    <r>
      <rPr>
        <sz val="8.4"/>
        <color rgb="FF22292F"/>
        <rFont val="Helvetica"/>
        <family val="2"/>
      </rPr>
      <t>(4.7/9.9)</t>
    </r>
  </si>
  <si>
    <r>
      <t>0.730</t>
    </r>
    <r>
      <rPr>
        <sz val="8.4"/>
        <color rgb="FF22292F"/>
        <rFont val="Helvetica"/>
        <family val="2"/>
      </rPr>
      <t>(1.4/1.9)</t>
    </r>
  </si>
  <si>
    <r>
      <t>0.482</t>
    </r>
    <r>
      <rPr>
        <sz val="8.4"/>
        <color rgb="FF22292F"/>
        <rFont val="Helvetica"/>
        <family val="2"/>
      </rPr>
      <t>(5.0/10.3)</t>
    </r>
  </si>
  <si>
    <r>
      <t>0.781</t>
    </r>
    <r>
      <rPr>
        <sz val="8.4"/>
        <color rgb="FF22292F"/>
        <rFont val="Helvetica"/>
        <family val="2"/>
      </rPr>
      <t>(1.1/1.5)</t>
    </r>
  </si>
  <si>
    <r>
      <t>0.472</t>
    </r>
    <r>
      <rPr>
        <sz val="8.4"/>
        <color rgb="FF22292F"/>
        <rFont val="Helvetica"/>
        <family val="2"/>
      </rPr>
      <t>(5.0/10.6)</t>
    </r>
  </si>
  <si>
    <r>
      <t>0.705</t>
    </r>
    <r>
      <rPr>
        <sz val="8.4"/>
        <color rgb="FF22292F"/>
        <rFont val="Helvetica"/>
        <family val="2"/>
      </rPr>
      <t>(1.1/1.6)</t>
    </r>
  </si>
  <si>
    <r>
      <t>0.551</t>
    </r>
    <r>
      <rPr>
        <sz val="8.4"/>
        <color rgb="FF22292F"/>
        <rFont val="Helvetica"/>
        <family val="2"/>
      </rPr>
      <t>(5.1/9.2)</t>
    </r>
  </si>
  <si>
    <r>
      <t>0.778</t>
    </r>
    <r>
      <rPr>
        <sz val="8.4"/>
        <color rgb="FF22292F"/>
        <rFont val="Helvetica"/>
        <family val="2"/>
      </rPr>
      <t>(1.3/1.7)</t>
    </r>
  </si>
  <si>
    <r>
      <t>0.435</t>
    </r>
    <r>
      <rPr>
        <sz val="8.4"/>
        <color rgb="FF22292F"/>
        <rFont val="Helvetica"/>
        <family val="2"/>
      </rPr>
      <t>(6.1/14.1)</t>
    </r>
  </si>
  <si>
    <r>
      <t>0.802</t>
    </r>
    <r>
      <rPr>
        <sz val="8.4"/>
        <color rgb="FF22292F"/>
        <rFont val="Helvetica"/>
        <family val="2"/>
      </rPr>
      <t>(2.2/2.8)</t>
    </r>
  </si>
  <si>
    <r>
      <t>0.537</t>
    </r>
    <r>
      <rPr>
        <sz val="8.4"/>
        <color rgb="FF22292F"/>
        <rFont val="Helvetica"/>
        <family val="2"/>
      </rPr>
      <t>(5.4/10.0)</t>
    </r>
  </si>
  <si>
    <r>
      <t>0.757</t>
    </r>
    <r>
      <rPr>
        <sz val="8.4"/>
        <color rgb="FF22292F"/>
        <rFont val="Helvetica"/>
        <family val="2"/>
      </rPr>
      <t>(0.9/1.2)</t>
    </r>
  </si>
  <si>
    <r>
      <t>0.677</t>
    </r>
    <r>
      <rPr>
        <sz val="8.4"/>
        <color rgb="FF22292F"/>
        <rFont val="Helvetica"/>
        <family val="2"/>
      </rPr>
      <t>(4.2/6.2)</t>
    </r>
  </si>
  <si>
    <r>
      <t>0.684</t>
    </r>
    <r>
      <rPr>
        <sz val="8.4"/>
        <color rgb="FF22292F"/>
        <rFont val="Helvetica"/>
        <family val="2"/>
      </rPr>
      <t>(1.7/2.5)</t>
    </r>
  </si>
  <si>
    <r>
      <t>0.450</t>
    </r>
    <r>
      <rPr>
        <sz val="8.4"/>
        <color rgb="FF22292F"/>
        <rFont val="Helvetica"/>
        <family val="2"/>
      </rPr>
      <t>(3.7/8.1)</t>
    </r>
  </si>
  <si>
    <r>
      <t>0.800</t>
    </r>
    <r>
      <rPr>
        <sz val="8.4"/>
        <color rgb="FF22292F"/>
        <rFont val="Helvetica"/>
        <family val="2"/>
      </rPr>
      <t>(1.1/1.4)</t>
    </r>
  </si>
  <si>
    <r>
      <t>0.442</t>
    </r>
    <r>
      <rPr>
        <sz val="8.4"/>
        <color rgb="FF22292F"/>
        <rFont val="Helvetica"/>
        <family val="2"/>
      </rPr>
      <t>(5.6/12.7)</t>
    </r>
  </si>
  <si>
    <r>
      <t>0.846</t>
    </r>
    <r>
      <rPr>
        <sz val="8.4"/>
        <color rgb="FF22292F"/>
        <rFont val="Helvetica"/>
        <family val="2"/>
      </rPr>
      <t>(2.3/2.7)</t>
    </r>
  </si>
  <si>
    <r>
      <t>0.461</t>
    </r>
    <r>
      <rPr>
        <sz val="8.4"/>
        <color rgb="FF22292F"/>
        <rFont val="Helvetica"/>
        <family val="2"/>
      </rPr>
      <t>(4.3/9.3)</t>
    </r>
  </si>
  <si>
    <r>
      <t>0.759</t>
    </r>
    <r>
      <rPr>
        <sz val="8.4"/>
        <color rgb="FF22292F"/>
        <rFont val="Helvetica"/>
        <family val="2"/>
      </rPr>
      <t>(1.1/1.4)</t>
    </r>
  </si>
  <si>
    <r>
      <t>0.491</t>
    </r>
    <r>
      <rPr>
        <sz val="8.4"/>
        <color rgb="FF22292F"/>
        <rFont val="Helvetica"/>
        <family val="2"/>
      </rPr>
      <t>(5.8/11.7)</t>
    </r>
  </si>
  <si>
    <r>
      <t>0.809</t>
    </r>
    <r>
      <rPr>
        <sz val="8.4"/>
        <color rgb="FF22292F"/>
        <rFont val="Helvetica"/>
        <family val="2"/>
      </rPr>
      <t>(1.2/1.5)</t>
    </r>
  </si>
  <si>
    <r>
      <t>0.484</t>
    </r>
    <r>
      <rPr>
        <sz val="8.4"/>
        <color rgb="FF22292F"/>
        <rFont val="Helvetica"/>
        <family val="2"/>
      </rPr>
      <t>(6.1/12.5)</t>
    </r>
  </si>
  <si>
    <r>
      <t>0.861</t>
    </r>
    <r>
      <rPr>
        <sz val="8.4"/>
        <color rgb="FF22292F"/>
        <rFont val="Helvetica"/>
        <family val="2"/>
      </rPr>
      <t>(3.5/4.1)</t>
    </r>
  </si>
  <si>
    <r>
      <t>0.449</t>
    </r>
    <r>
      <rPr>
        <sz val="8.4"/>
        <color rgb="FF22292F"/>
        <rFont val="Helvetica"/>
        <family val="2"/>
      </rPr>
      <t>(5.4/12.0)</t>
    </r>
  </si>
  <si>
    <r>
      <t>0.772</t>
    </r>
    <r>
      <rPr>
        <sz val="8.4"/>
        <color rgb="FF22292F"/>
        <rFont val="Helvetica"/>
        <family val="2"/>
      </rPr>
      <t>(2.4/3.1)</t>
    </r>
  </si>
  <si>
    <r>
      <t>0.482</t>
    </r>
    <r>
      <rPr>
        <sz val="8.4"/>
        <color rgb="FF22292F"/>
        <rFont val="Helvetica"/>
        <family val="2"/>
      </rPr>
      <t>(3.6/7.5)</t>
    </r>
  </si>
  <si>
    <r>
      <t>0.800</t>
    </r>
    <r>
      <rPr>
        <sz val="8.4"/>
        <color rgb="FF22292F"/>
        <rFont val="Helvetica"/>
        <family val="2"/>
      </rPr>
      <t>(0.5/0.6)</t>
    </r>
  </si>
  <si>
    <r>
      <t>0.464</t>
    </r>
    <r>
      <rPr>
        <sz val="8.4"/>
        <color rgb="FF22292F"/>
        <rFont val="Helvetica"/>
        <family val="2"/>
      </rPr>
      <t>(4.6/10.0)</t>
    </r>
  </si>
  <si>
    <r>
      <t>0.797</t>
    </r>
    <r>
      <rPr>
        <sz val="8.4"/>
        <color rgb="FF22292F"/>
        <rFont val="Helvetica"/>
        <family val="2"/>
      </rPr>
      <t>(1.9/2.3)</t>
    </r>
  </si>
  <si>
    <r>
      <t>0.812</t>
    </r>
    <r>
      <rPr>
        <sz val="8.4"/>
        <color rgb="FF22292F"/>
        <rFont val="Helvetica"/>
        <family val="2"/>
      </rPr>
      <t>(2.7/3.3)</t>
    </r>
  </si>
  <si>
    <r>
      <t>0.450</t>
    </r>
    <r>
      <rPr>
        <sz val="8.4"/>
        <color rgb="FF22292F"/>
        <rFont val="Helvetica"/>
        <family val="2"/>
      </rPr>
      <t>(4.7/10.4)</t>
    </r>
  </si>
  <si>
    <r>
      <t>0.696</t>
    </r>
    <r>
      <rPr>
        <sz val="8.4"/>
        <color rgb="FF22292F"/>
        <rFont val="Helvetica"/>
        <family val="2"/>
      </rPr>
      <t>(1.0/1.5)</t>
    </r>
  </si>
  <si>
    <r>
      <t>0.498</t>
    </r>
    <r>
      <rPr>
        <sz val="8.4"/>
        <color rgb="FF22292F"/>
        <rFont val="Helvetica"/>
        <family val="2"/>
      </rPr>
      <t>(5.0/9.9)</t>
    </r>
  </si>
  <si>
    <r>
      <t>0.796</t>
    </r>
    <r>
      <rPr>
        <sz val="8.4"/>
        <color rgb="FF22292F"/>
        <rFont val="Helvetica"/>
        <family val="2"/>
      </rPr>
      <t>(1.3/1.6)</t>
    </r>
  </si>
  <si>
    <r>
      <t>0.447</t>
    </r>
    <r>
      <rPr>
        <sz val="8.4"/>
        <color rgb="FF22292F"/>
        <rFont val="Helvetica"/>
        <family val="2"/>
      </rPr>
      <t>(6.8/15.1)</t>
    </r>
  </si>
  <si>
    <r>
      <t>0.797</t>
    </r>
    <r>
      <rPr>
        <sz val="8.4"/>
        <color rgb="FF22292F"/>
        <rFont val="Helvetica"/>
        <family val="2"/>
      </rPr>
      <t>(2.8/3.6)</t>
    </r>
  </si>
  <si>
    <r>
      <t>0.644</t>
    </r>
    <r>
      <rPr>
        <sz val="8.4"/>
        <color rgb="FF22292F"/>
        <rFont val="Helvetica"/>
        <family val="2"/>
      </rPr>
      <t>(2.5/3.9)</t>
    </r>
  </si>
  <si>
    <r>
      <t>0.847</t>
    </r>
    <r>
      <rPr>
        <sz val="8.4"/>
        <color rgb="FF22292F"/>
        <rFont val="Helvetica"/>
        <family val="2"/>
      </rPr>
      <t>(0.8/1.0)</t>
    </r>
  </si>
  <si>
    <r>
      <t>0.454</t>
    </r>
    <r>
      <rPr>
        <sz val="8.4"/>
        <color rgb="FF22292F"/>
        <rFont val="Helvetica"/>
        <family val="2"/>
      </rPr>
      <t>(5.8/12.8)</t>
    </r>
  </si>
  <si>
    <r>
      <t>0.752</t>
    </r>
    <r>
      <rPr>
        <sz val="8.4"/>
        <color rgb="FF22292F"/>
        <rFont val="Helvetica"/>
        <family val="2"/>
      </rPr>
      <t>(2.5/3.3)</t>
    </r>
  </si>
  <si>
    <r>
      <t>0.446</t>
    </r>
    <r>
      <rPr>
        <sz val="8.4"/>
        <color rgb="FF22292F"/>
        <rFont val="Helvetica"/>
        <family val="2"/>
      </rPr>
      <t>(6.3/14.1)</t>
    </r>
  </si>
  <si>
    <r>
      <t>0.744</t>
    </r>
    <r>
      <rPr>
        <sz val="8.4"/>
        <color rgb="FF22292F"/>
        <rFont val="Helvetica"/>
        <family val="2"/>
      </rPr>
      <t>(3.2/4.3)</t>
    </r>
  </si>
  <si>
    <t>Kon Knueppel</t>
  </si>
  <si>
    <r>
      <t>0.462</t>
    </r>
    <r>
      <rPr>
        <sz val="8.4"/>
        <color rgb="FF22292F"/>
        <rFont val="Helvetica"/>
        <family val="2"/>
      </rPr>
      <t>(4.0/8.7)</t>
    </r>
  </si>
  <si>
    <r>
      <t>0.861</t>
    </r>
    <r>
      <rPr>
        <sz val="8.4"/>
        <color rgb="FF22292F"/>
        <rFont val="Helvetica"/>
        <family val="2"/>
      </rPr>
      <t>(2.1/2.5)</t>
    </r>
  </si>
  <si>
    <r>
      <t>0.433</t>
    </r>
    <r>
      <rPr>
        <sz val="8.4"/>
        <color rgb="FF22292F"/>
        <rFont val="Helvetica"/>
        <family val="2"/>
      </rPr>
      <t>(4.6/10.7)</t>
    </r>
  </si>
  <si>
    <r>
      <t>0.728</t>
    </r>
    <r>
      <rPr>
        <sz val="8.4"/>
        <color rgb="FF22292F"/>
        <rFont val="Helvetica"/>
        <family val="2"/>
      </rPr>
      <t>(2.2/3.1)</t>
    </r>
  </si>
  <si>
    <r>
      <t>0.424</t>
    </r>
    <r>
      <rPr>
        <sz val="8.4"/>
        <color rgb="FF22292F"/>
        <rFont val="Helvetica"/>
        <family val="2"/>
      </rPr>
      <t>(4.5/10.7)</t>
    </r>
  </si>
  <si>
    <r>
      <t>0.821</t>
    </r>
    <r>
      <rPr>
        <sz val="8.4"/>
        <color rgb="FF22292F"/>
        <rFont val="Helvetica"/>
        <family val="2"/>
      </rPr>
      <t>(1.2/1.5)</t>
    </r>
  </si>
  <si>
    <r>
      <t>0.449</t>
    </r>
    <r>
      <rPr>
        <sz val="8.4"/>
        <color rgb="FF22292F"/>
        <rFont val="Helvetica"/>
        <family val="2"/>
      </rPr>
      <t>(5.0/11.2)</t>
    </r>
  </si>
  <si>
    <r>
      <t>0.829</t>
    </r>
    <r>
      <rPr>
        <sz val="8.4"/>
        <color rgb="FF22292F"/>
        <rFont val="Helvetica"/>
        <family val="2"/>
      </rPr>
      <t>(3.3/4.0)</t>
    </r>
  </si>
  <si>
    <r>
      <t>0.394</t>
    </r>
    <r>
      <rPr>
        <sz val="8.4"/>
        <color rgb="FF22292F"/>
        <rFont val="Helvetica"/>
        <family val="2"/>
      </rPr>
      <t>(5.3/13.6)</t>
    </r>
  </si>
  <si>
    <r>
      <t>0.678</t>
    </r>
    <r>
      <rPr>
        <sz val="8.4"/>
        <color rgb="FF22292F"/>
        <rFont val="Helvetica"/>
        <family val="2"/>
      </rPr>
      <t>(1.8/2.7)</t>
    </r>
  </si>
  <si>
    <r>
      <t>0.434</t>
    </r>
    <r>
      <rPr>
        <sz val="8.4"/>
        <color rgb="FF22292F"/>
        <rFont val="Helvetica"/>
        <family val="2"/>
      </rPr>
      <t>(2.9/6.7)</t>
    </r>
  </si>
  <si>
    <r>
      <t>0.891</t>
    </r>
    <r>
      <rPr>
        <sz val="8.4"/>
        <color rgb="FF22292F"/>
        <rFont val="Helvetica"/>
        <family val="2"/>
      </rPr>
      <t>(0.8/0.9)</t>
    </r>
  </si>
  <si>
    <r>
      <t>0.448</t>
    </r>
    <r>
      <rPr>
        <sz val="8.4"/>
        <color rgb="FF22292F"/>
        <rFont val="Helvetica"/>
        <family val="2"/>
      </rPr>
      <t>(4.6/10.2)</t>
    </r>
  </si>
  <si>
    <r>
      <t>0.815</t>
    </r>
    <r>
      <rPr>
        <sz val="8.4"/>
        <color rgb="FF22292F"/>
        <rFont val="Helvetica"/>
        <family val="2"/>
      </rPr>
      <t>(1.9/2.3)</t>
    </r>
  </si>
  <si>
    <r>
      <t>0.384</t>
    </r>
    <r>
      <rPr>
        <sz val="8.4"/>
        <color rgb="FF22292F"/>
        <rFont val="Helvetica"/>
        <family val="2"/>
      </rPr>
      <t>(4.1/10.6)</t>
    </r>
  </si>
  <si>
    <r>
      <t>0.824</t>
    </r>
    <r>
      <rPr>
        <sz val="8.4"/>
        <color rgb="FF22292F"/>
        <rFont val="Helvetica"/>
        <family val="2"/>
      </rPr>
      <t>(1.7/2.1)</t>
    </r>
  </si>
  <si>
    <r>
      <t>0.453</t>
    </r>
    <r>
      <rPr>
        <sz val="8.4"/>
        <color rgb="FF22292F"/>
        <rFont val="Helvetica"/>
        <family val="2"/>
      </rPr>
      <t>(5.8/12.9)</t>
    </r>
  </si>
  <si>
    <r>
      <t>0.828</t>
    </r>
    <r>
      <rPr>
        <sz val="8.4"/>
        <color rgb="FF22292F"/>
        <rFont val="Helvetica"/>
        <family val="2"/>
      </rPr>
      <t>(3.9/4.7)</t>
    </r>
  </si>
  <si>
    <r>
      <t>0.423</t>
    </r>
    <r>
      <rPr>
        <sz val="8.4"/>
        <color rgb="FF22292F"/>
        <rFont val="Helvetica"/>
        <family val="2"/>
      </rPr>
      <t>(5.6/13.1)</t>
    </r>
  </si>
  <si>
    <r>
      <t>0.920</t>
    </r>
    <r>
      <rPr>
        <sz val="8.4"/>
        <color rgb="FF22292F"/>
        <rFont val="Helvetica"/>
        <family val="2"/>
      </rPr>
      <t>(1.3/1.4)</t>
    </r>
  </si>
  <si>
    <r>
      <t>0.546</t>
    </r>
    <r>
      <rPr>
        <sz val="8.4"/>
        <color rgb="FF22292F"/>
        <rFont val="Helvetica"/>
        <family val="2"/>
      </rPr>
      <t>(5.3/9.8)</t>
    </r>
  </si>
  <si>
    <r>
      <t>0.719</t>
    </r>
    <r>
      <rPr>
        <sz val="8.4"/>
        <color rgb="FF22292F"/>
        <rFont val="Helvetica"/>
        <family val="2"/>
      </rPr>
      <t>(2.6/3.6)</t>
    </r>
  </si>
  <si>
    <r>
      <t>0.530</t>
    </r>
    <r>
      <rPr>
        <sz val="8.4"/>
        <color rgb="FF22292F"/>
        <rFont val="Helvetica"/>
        <family val="2"/>
      </rPr>
      <t>(4.0/7.6)</t>
    </r>
  </si>
  <si>
    <r>
      <t>0.793</t>
    </r>
    <r>
      <rPr>
        <sz val="8.4"/>
        <color rgb="FF22292F"/>
        <rFont val="Helvetica"/>
        <family val="2"/>
      </rPr>
      <t>(1.1/1.4)</t>
    </r>
  </si>
  <si>
    <t>VJ Edgecombe</t>
  </si>
  <si>
    <r>
      <t>0.446</t>
    </r>
    <r>
      <rPr>
        <sz val="8.4"/>
        <color rgb="FF22292F"/>
        <rFont val="Helvetica"/>
        <family val="2"/>
      </rPr>
      <t>(3.9/8.8)</t>
    </r>
  </si>
  <si>
    <r>
      <t>0.805</t>
    </r>
    <r>
      <rPr>
        <sz val="8.4"/>
        <color rgb="FF22292F"/>
        <rFont val="Helvetica"/>
        <family val="2"/>
      </rPr>
      <t>(2.2/2.8)</t>
    </r>
  </si>
  <si>
    <t>Dylan Harper</t>
  </si>
  <si>
    <r>
      <t>0.469</t>
    </r>
    <r>
      <rPr>
        <sz val="8.4"/>
        <color rgb="FF22292F"/>
        <rFont val="Helvetica"/>
        <family val="2"/>
      </rPr>
      <t>(5.0/10.7)</t>
    </r>
  </si>
  <si>
    <r>
      <t>0.749</t>
    </r>
    <r>
      <rPr>
        <sz val="8.4"/>
        <color rgb="FF22292F"/>
        <rFont val="Helvetica"/>
        <family val="2"/>
      </rPr>
      <t>(2.9/3.9)</t>
    </r>
  </si>
  <si>
    <r>
      <t>0.464</t>
    </r>
    <r>
      <rPr>
        <sz val="8.4"/>
        <color rgb="FF22292F"/>
        <rFont val="Helvetica"/>
        <family val="2"/>
      </rPr>
      <t>(3.1/6.6)</t>
    </r>
  </si>
  <si>
    <r>
      <t>0.882</t>
    </r>
    <r>
      <rPr>
        <sz val="8.4"/>
        <color rgb="FF22292F"/>
        <rFont val="Helvetica"/>
        <family val="2"/>
      </rPr>
      <t>(0.5/0.5)</t>
    </r>
  </si>
  <si>
    <r>
      <t>0.428</t>
    </r>
    <r>
      <rPr>
        <sz val="8.4"/>
        <color rgb="FF22292F"/>
        <rFont val="Helvetica"/>
        <family val="2"/>
      </rPr>
      <t>(5.0/11.7)</t>
    </r>
  </si>
  <si>
    <r>
      <t>0.793</t>
    </r>
    <r>
      <rPr>
        <sz val="8.4"/>
        <color rgb="FF22292F"/>
        <rFont val="Helvetica"/>
        <family val="2"/>
      </rPr>
      <t>(2.8/3.5)</t>
    </r>
  </si>
  <si>
    <r>
      <t>0.453</t>
    </r>
    <r>
      <rPr>
        <sz val="8.4"/>
        <color rgb="FF22292F"/>
        <rFont val="Helvetica"/>
        <family val="2"/>
      </rPr>
      <t>(2.8/6.1)</t>
    </r>
  </si>
  <si>
    <r>
      <t>0.682</t>
    </r>
    <r>
      <rPr>
        <sz val="8.4"/>
        <color rgb="FF22292F"/>
        <rFont val="Helvetica"/>
        <family val="2"/>
      </rPr>
      <t>(0.3/0.4)</t>
    </r>
  </si>
  <si>
    <r>
      <t>0.524</t>
    </r>
    <r>
      <rPr>
        <sz val="8.4"/>
        <color rgb="FF22292F"/>
        <rFont val="Helvetica"/>
        <family val="2"/>
      </rPr>
      <t>(5.3/10.0)</t>
    </r>
  </si>
  <si>
    <r>
      <t>0.753</t>
    </r>
    <r>
      <rPr>
        <sz val="8.4"/>
        <color rgb="FF22292F"/>
        <rFont val="Helvetica"/>
        <family val="2"/>
      </rPr>
      <t>(1.5/2.0)</t>
    </r>
  </si>
  <si>
    <r>
      <t>0.464</t>
    </r>
    <r>
      <rPr>
        <sz val="8.4"/>
        <color rgb="FF22292F"/>
        <rFont val="Helvetica"/>
        <family val="2"/>
      </rPr>
      <t>(5.1/10.9)</t>
    </r>
  </si>
  <si>
    <r>
      <t>0.846</t>
    </r>
    <r>
      <rPr>
        <sz val="8.4"/>
        <color rgb="FF22292F"/>
        <rFont val="Helvetica"/>
        <family val="2"/>
      </rPr>
      <t>(2.9/3.5)</t>
    </r>
  </si>
  <si>
    <r>
      <t>0.451</t>
    </r>
    <r>
      <rPr>
        <sz val="8.4"/>
        <color rgb="FF22292F"/>
        <rFont val="Helvetica"/>
        <family val="2"/>
      </rPr>
      <t>(4.6/10.3)</t>
    </r>
  </si>
  <si>
    <r>
      <t>0.741</t>
    </r>
    <r>
      <rPr>
        <sz val="8.4"/>
        <color rgb="FF22292F"/>
        <rFont val="Helvetica"/>
        <family val="2"/>
      </rPr>
      <t>(2.0/2.6)</t>
    </r>
  </si>
  <si>
    <r>
      <t>0.688</t>
    </r>
    <r>
      <rPr>
        <sz val="8.4"/>
        <color rgb="FF22292F"/>
        <rFont val="Helvetica"/>
        <family val="2"/>
      </rPr>
      <t>(3.3/4.8)</t>
    </r>
  </si>
  <si>
    <r>
      <t>0.695</t>
    </r>
    <r>
      <rPr>
        <sz val="8.4"/>
        <color rgb="FF22292F"/>
        <rFont val="Helvetica"/>
        <family val="2"/>
      </rPr>
      <t>(1.6/2.4)</t>
    </r>
  </si>
  <si>
    <r>
      <t>0.602</t>
    </r>
    <r>
      <rPr>
        <sz val="8.4"/>
        <color rgb="FF22292F"/>
        <rFont val="Helvetica"/>
        <family val="2"/>
      </rPr>
      <t>(2.3/3.8)</t>
    </r>
  </si>
  <si>
    <r>
      <t>0.641</t>
    </r>
    <r>
      <rPr>
        <sz val="8.4"/>
        <color rgb="FF22292F"/>
        <rFont val="Helvetica"/>
        <family val="2"/>
      </rPr>
      <t>(0.8/1.3)</t>
    </r>
  </si>
  <si>
    <r>
      <t>0.366</t>
    </r>
    <r>
      <rPr>
        <sz val="8.4"/>
        <color rgb="FF22292F"/>
        <rFont val="Helvetica"/>
        <family val="2"/>
      </rPr>
      <t>(2.7/7.3)</t>
    </r>
  </si>
  <si>
    <r>
      <t>0.815</t>
    </r>
    <r>
      <rPr>
        <sz val="8.4"/>
        <color rgb="FF22292F"/>
        <rFont val="Helvetica"/>
        <family val="2"/>
      </rPr>
      <t>(0.7/0.8)</t>
    </r>
  </si>
  <si>
    <r>
      <t>0.448</t>
    </r>
    <r>
      <rPr>
        <sz val="8.4"/>
        <color rgb="FF22292F"/>
        <rFont val="Helvetica"/>
        <family val="2"/>
      </rPr>
      <t>(4.0/8.8)</t>
    </r>
  </si>
  <si>
    <r>
      <t>0.923</t>
    </r>
    <r>
      <rPr>
        <sz val="8.4"/>
        <color rgb="FF22292F"/>
        <rFont val="Helvetica"/>
        <family val="2"/>
      </rPr>
      <t>(0.2/0.3)</t>
    </r>
  </si>
  <si>
    <t>Jaylen Wells</t>
  </si>
  <si>
    <r>
      <t>0.438</t>
    </r>
    <r>
      <rPr>
        <sz val="8.4"/>
        <color rgb="FF22292F"/>
        <rFont val="Helvetica"/>
        <family val="2"/>
      </rPr>
      <t>(4.4/10.1)</t>
    </r>
  </si>
  <si>
    <r>
      <t>0.821</t>
    </r>
    <r>
      <rPr>
        <sz val="8.4"/>
        <color rgb="FF22292F"/>
        <rFont val="Helvetica"/>
        <family val="2"/>
      </rPr>
      <t>(1.7/2.1)</t>
    </r>
  </si>
  <si>
    <r>
      <t>0.427</t>
    </r>
    <r>
      <rPr>
        <sz val="8.4"/>
        <color rgb="FF22292F"/>
        <rFont val="Helvetica"/>
        <family val="2"/>
      </rPr>
      <t>(2.9/6.8)</t>
    </r>
  </si>
  <si>
    <r>
      <t>0.895</t>
    </r>
    <r>
      <rPr>
        <sz val="8.4"/>
        <color rgb="FF22292F"/>
        <rFont val="Helvetica"/>
        <family val="2"/>
      </rPr>
      <t>(1.1/1.2)</t>
    </r>
  </si>
  <si>
    <r>
      <t>0.450</t>
    </r>
    <r>
      <rPr>
        <sz val="8.4"/>
        <color rgb="FF22292F"/>
        <rFont val="Helvetica"/>
        <family val="2"/>
      </rPr>
      <t>(3.1/7.0)</t>
    </r>
  </si>
  <si>
    <r>
      <t>0.883</t>
    </r>
    <r>
      <rPr>
        <sz val="8.4"/>
        <color rgb="FF22292F"/>
        <rFont val="Helvetica"/>
        <family val="2"/>
      </rPr>
      <t>(1.1/1.3)</t>
    </r>
  </si>
  <si>
    <r>
      <t>0.478</t>
    </r>
    <r>
      <rPr>
        <sz val="8.4"/>
        <color rgb="FF22292F"/>
        <rFont val="Helvetica"/>
        <family val="2"/>
      </rPr>
      <t>(3.4/7.1)</t>
    </r>
  </si>
  <si>
    <r>
      <t>0.849</t>
    </r>
    <r>
      <rPr>
        <sz val="8.4"/>
        <color rgb="FF22292F"/>
        <rFont val="Helvetica"/>
        <family val="2"/>
      </rPr>
      <t>(1.4/1.6)</t>
    </r>
  </si>
  <si>
    <r>
      <t>0.451</t>
    </r>
    <r>
      <rPr>
        <sz val="8.4"/>
        <color rgb="FF22292F"/>
        <rFont val="Helvetica"/>
        <family val="2"/>
      </rPr>
      <t>(4.7/10.5)</t>
    </r>
  </si>
  <si>
    <r>
      <t>0.674</t>
    </r>
    <r>
      <rPr>
        <sz val="8.4"/>
        <color rgb="FF22292F"/>
        <rFont val="Helvetica"/>
        <family val="2"/>
      </rPr>
      <t>(1.9/2.8)</t>
    </r>
  </si>
  <si>
    <r>
      <t>0.411</t>
    </r>
    <r>
      <rPr>
        <sz val="8.4"/>
        <color rgb="FF22292F"/>
        <rFont val="Helvetica"/>
        <family val="2"/>
      </rPr>
      <t>(4.0/9.7)</t>
    </r>
  </si>
  <si>
    <r>
      <t>0.761</t>
    </r>
    <r>
      <rPr>
        <sz val="8.4"/>
        <color rgb="FF22292F"/>
        <rFont val="Helvetica"/>
        <family val="2"/>
      </rPr>
      <t>(1.9/2.5)</t>
    </r>
  </si>
  <si>
    <r>
      <t>0.437</t>
    </r>
    <r>
      <rPr>
        <sz val="8.4"/>
        <color rgb="FF22292F"/>
        <rFont val="Helvetica"/>
        <family val="2"/>
      </rPr>
      <t>(3.7/8.4)</t>
    </r>
  </si>
  <si>
    <r>
      <t>0.758</t>
    </r>
    <r>
      <rPr>
        <sz val="8.4"/>
        <color rgb="FF22292F"/>
        <rFont val="Helvetica"/>
        <family val="2"/>
      </rPr>
      <t>(0.9/1.2)</t>
    </r>
  </si>
  <si>
    <r>
      <t>0.444</t>
    </r>
    <r>
      <rPr>
        <sz val="8.4"/>
        <color rgb="FF22292F"/>
        <rFont val="Helvetica"/>
        <family val="2"/>
      </rPr>
      <t>(4.5/10.1)</t>
    </r>
  </si>
  <si>
    <r>
      <t>0.706</t>
    </r>
    <r>
      <rPr>
        <sz val="8.4"/>
        <color rgb="FF22292F"/>
        <rFont val="Helvetica"/>
        <family val="2"/>
      </rPr>
      <t>(1.7/2.4)</t>
    </r>
  </si>
  <si>
    <r>
      <t>0.473</t>
    </r>
    <r>
      <rPr>
        <sz val="8.4"/>
        <color rgb="FF22292F"/>
        <rFont val="Helvetica"/>
        <family val="2"/>
      </rPr>
      <t>(4.8/10.2)</t>
    </r>
  </si>
  <si>
    <r>
      <t>0.845</t>
    </r>
    <r>
      <rPr>
        <sz val="8.4"/>
        <color rgb="FF22292F"/>
        <rFont val="Helvetica"/>
        <family val="2"/>
      </rPr>
      <t>(1.8/2.1)</t>
    </r>
  </si>
  <si>
    <r>
      <t>0.482</t>
    </r>
    <r>
      <rPr>
        <sz val="8.4"/>
        <color rgb="FF22292F"/>
        <rFont val="Helvetica"/>
        <family val="2"/>
      </rPr>
      <t>(3.6/7.4)</t>
    </r>
  </si>
  <si>
    <r>
      <t>0.722</t>
    </r>
    <r>
      <rPr>
        <sz val="8.4"/>
        <color rgb="FF22292F"/>
        <rFont val="Helvetica"/>
        <family val="2"/>
      </rPr>
      <t>(1.5/2.1)</t>
    </r>
  </si>
  <si>
    <r>
      <t>0.460</t>
    </r>
    <r>
      <rPr>
        <sz val="8.4"/>
        <color rgb="FF22292F"/>
        <rFont val="Helvetica"/>
        <family val="2"/>
      </rPr>
      <t>(2.5/5.4)</t>
    </r>
  </si>
  <si>
    <r>
      <t>0.785</t>
    </r>
    <r>
      <rPr>
        <sz val="8.4"/>
        <color rgb="FF22292F"/>
        <rFont val="Helvetica"/>
        <family val="2"/>
      </rPr>
      <t>(0.7/0.9)</t>
    </r>
  </si>
  <si>
    <r>
      <t>0.400</t>
    </r>
    <r>
      <rPr>
        <sz val="8.4"/>
        <color rgb="FF22292F"/>
        <rFont val="Helvetica"/>
        <family val="2"/>
      </rPr>
      <t>(5.0/12.4)</t>
    </r>
  </si>
  <si>
    <r>
      <t>0.828</t>
    </r>
    <r>
      <rPr>
        <sz val="8.4"/>
        <color rgb="FF22292F"/>
        <rFont val="Helvetica"/>
        <family val="2"/>
      </rPr>
      <t>(3.1/3.7)</t>
    </r>
  </si>
  <si>
    <r>
      <t>0.502</t>
    </r>
    <r>
      <rPr>
        <sz val="8.4"/>
        <color rgb="FF22292F"/>
        <rFont val="Helvetica"/>
        <family val="2"/>
      </rPr>
      <t>(4.5/9.0)</t>
    </r>
  </si>
  <si>
    <r>
      <t>0.649</t>
    </r>
    <r>
      <rPr>
        <sz val="8.4"/>
        <color rgb="FF22292F"/>
        <rFont val="Helvetica"/>
        <family val="2"/>
      </rPr>
      <t>(1.6/2.5)</t>
    </r>
  </si>
  <si>
    <r>
      <t>0.494</t>
    </r>
    <r>
      <rPr>
        <sz val="8.4"/>
        <color rgb="FF22292F"/>
        <rFont val="Helvetica"/>
        <family val="2"/>
      </rPr>
      <t>(4.0/8.1)</t>
    </r>
  </si>
  <si>
    <r>
      <t>0.876</t>
    </r>
    <r>
      <rPr>
        <sz val="8.4"/>
        <color rgb="FF22292F"/>
        <rFont val="Helvetica"/>
        <family val="2"/>
      </rPr>
      <t>(1.6/1.9)</t>
    </r>
  </si>
  <si>
    <r>
      <t>0.454</t>
    </r>
    <r>
      <rPr>
        <sz val="8.4"/>
        <color rgb="FF22292F"/>
        <rFont val="Helvetica"/>
        <family val="2"/>
      </rPr>
      <t>(3.8/8.3)</t>
    </r>
  </si>
  <si>
    <r>
      <t>0.782</t>
    </r>
    <r>
      <rPr>
        <sz val="8.4"/>
        <color rgb="FF22292F"/>
        <rFont val="Helvetica"/>
        <family val="2"/>
      </rPr>
      <t>(1.3/1.7)</t>
    </r>
  </si>
  <si>
    <r>
      <t>0.430</t>
    </r>
    <r>
      <rPr>
        <sz val="8.4"/>
        <color rgb="FF22292F"/>
        <rFont val="Helvetica"/>
        <family val="2"/>
      </rPr>
      <t>(4.1/9.5)</t>
    </r>
  </si>
  <si>
    <r>
      <t>0.825</t>
    </r>
    <r>
      <rPr>
        <sz val="8.4"/>
        <color rgb="FF22292F"/>
        <rFont val="Helvetica"/>
        <family val="2"/>
      </rPr>
      <t>(2.0/2.4)</t>
    </r>
  </si>
  <si>
    <r>
      <t>0.496</t>
    </r>
    <r>
      <rPr>
        <sz val="8.4"/>
        <color rgb="FF22292F"/>
        <rFont val="Helvetica"/>
        <family val="2"/>
      </rPr>
      <t>(3.1/6.3)</t>
    </r>
  </si>
  <si>
    <r>
      <t>0.821</t>
    </r>
    <r>
      <rPr>
        <sz val="8.4"/>
        <color rgb="FF22292F"/>
        <rFont val="Helvetica"/>
        <family val="2"/>
      </rPr>
      <t>(0.9/1.1)</t>
    </r>
  </si>
  <si>
    <t>Moussa Diabaté</t>
  </si>
  <si>
    <r>
      <t>0.592</t>
    </r>
    <r>
      <rPr>
        <sz val="8.4"/>
        <color rgb="FF22292F"/>
        <rFont val="Helvetica"/>
        <family val="2"/>
      </rPr>
      <t>(3.3/5.6)</t>
    </r>
  </si>
  <si>
    <r>
      <t>0.620</t>
    </r>
    <r>
      <rPr>
        <sz val="8.4"/>
        <color rgb="FF22292F"/>
        <rFont val="Helvetica"/>
        <family val="2"/>
      </rPr>
      <t>(1.5/2.3)</t>
    </r>
  </si>
  <si>
    <r>
      <t>0.546</t>
    </r>
    <r>
      <rPr>
        <sz val="8.4"/>
        <color rgb="FF22292F"/>
        <rFont val="Helvetica"/>
        <family val="2"/>
      </rPr>
      <t>(3.7/6.8)</t>
    </r>
  </si>
  <si>
    <r>
      <t>0.624</t>
    </r>
    <r>
      <rPr>
        <sz val="8.4"/>
        <color rgb="FF22292F"/>
        <rFont val="Helvetica"/>
        <family val="2"/>
      </rPr>
      <t>(1.8/2.8)</t>
    </r>
  </si>
  <si>
    <r>
      <t>0.428</t>
    </r>
    <r>
      <rPr>
        <sz val="8.4"/>
        <color rgb="FF22292F"/>
        <rFont val="Helvetica"/>
        <family val="2"/>
      </rPr>
      <t>(4.7/10.9)</t>
    </r>
  </si>
  <si>
    <r>
      <t>0.832</t>
    </r>
    <r>
      <rPr>
        <sz val="8.4"/>
        <color rgb="FF22292F"/>
        <rFont val="Helvetica"/>
        <family val="2"/>
      </rPr>
      <t>(1.1/1.4)</t>
    </r>
  </si>
  <si>
    <r>
      <t>0.433</t>
    </r>
    <r>
      <rPr>
        <sz val="8.4"/>
        <color rgb="FF22292F"/>
        <rFont val="Helvetica"/>
        <family val="2"/>
      </rPr>
      <t>(4.2/9.8)</t>
    </r>
  </si>
  <si>
    <r>
      <t>0.513</t>
    </r>
    <r>
      <rPr>
        <sz val="8.4"/>
        <color rgb="FF22292F"/>
        <rFont val="Helvetica"/>
        <family val="2"/>
      </rPr>
      <t>(0.4/0.8)</t>
    </r>
  </si>
  <si>
    <r>
      <t>0.460</t>
    </r>
    <r>
      <rPr>
        <sz val="8.4"/>
        <color rgb="FF22292F"/>
        <rFont val="Helvetica"/>
        <family val="2"/>
      </rPr>
      <t>(5.5/12.0)</t>
    </r>
  </si>
  <si>
    <r>
      <t>0.873</t>
    </r>
    <r>
      <rPr>
        <sz val="8.4"/>
        <color rgb="FF22292F"/>
        <rFont val="Helvetica"/>
        <family val="2"/>
      </rPr>
      <t>(2.1/2.5)</t>
    </r>
  </si>
  <si>
    <r>
      <t>0.410</t>
    </r>
    <r>
      <rPr>
        <sz val="8.4"/>
        <color rgb="FF22292F"/>
        <rFont val="Helvetica"/>
        <family val="2"/>
      </rPr>
      <t>(3.0/7.3)</t>
    </r>
  </si>
  <si>
    <r>
      <t>0.700</t>
    </r>
    <r>
      <rPr>
        <sz val="8.4"/>
        <color rgb="FF22292F"/>
        <rFont val="Helvetica"/>
        <family val="2"/>
      </rPr>
      <t>(0.3/0.4)</t>
    </r>
  </si>
  <si>
    <r>
      <t>0.440</t>
    </r>
    <r>
      <rPr>
        <sz val="8.4"/>
        <color rgb="FF22292F"/>
        <rFont val="Helvetica"/>
        <family val="2"/>
      </rPr>
      <t>(4.4/9.9)</t>
    </r>
  </si>
  <si>
    <r>
      <t>0.899</t>
    </r>
    <r>
      <rPr>
        <sz val="8.4"/>
        <color rgb="FF22292F"/>
        <rFont val="Helvetica"/>
        <family val="2"/>
      </rPr>
      <t>(1.2/1.4)</t>
    </r>
  </si>
  <si>
    <r>
      <t>0.444</t>
    </r>
    <r>
      <rPr>
        <sz val="8.4"/>
        <color rgb="FF22292F"/>
        <rFont val="Helvetica"/>
        <family val="2"/>
      </rPr>
      <t>(4.2/9.6)</t>
    </r>
  </si>
  <si>
    <r>
      <t>0.892</t>
    </r>
    <r>
      <rPr>
        <sz val="8.4"/>
        <color rgb="FF22292F"/>
        <rFont val="Helvetica"/>
        <family val="2"/>
      </rPr>
      <t>(0.9/1.0)</t>
    </r>
  </si>
  <si>
    <r>
      <t>0.591</t>
    </r>
    <r>
      <rPr>
        <sz val="8.4"/>
        <color rgb="FF22292F"/>
        <rFont val="Helvetica"/>
        <family val="2"/>
      </rPr>
      <t>(4.4/7.4)</t>
    </r>
  </si>
  <si>
    <r>
      <t>0.781</t>
    </r>
    <r>
      <rPr>
        <sz val="8.4"/>
        <color rgb="FF22292F"/>
        <rFont val="Helvetica"/>
        <family val="2"/>
      </rPr>
      <t>(2.3/2.9)</t>
    </r>
  </si>
  <si>
    <r>
      <t>0.485</t>
    </r>
    <r>
      <rPr>
        <sz val="8.4"/>
        <color rgb="FF22292F"/>
        <rFont val="Helvetica"/>
        <family val="2"/>
      </rPr>
      <t>(4.2/8.8)</t>
    </r>
  </si>
  <si>
    <r>
      <t>0.808</t>
    </r>
    <r>
      <rPr>
        <sz val="8.4"/>
        <color rgb="FF22292F"/>
        <rFont val="Helvetica"/>
        <family val="2"/>
      </rPr>
      <t>(1.0/1.2)</t>
    </r>
  </si>
  <si>
    <r>
      <t>0.467</t>
    </r>
    <r>
      <rPr>
        <sz val="8.4"/>
        <color rgb="FF22292F"/>
        <rFont val="Helvetica"/>
        <family val="2"/>
      </rPr>
      <t>(7.1/15.2)</t>
    </r>
  </si>
  <si>
    <r>
      <t>0.657</t>
    </r>
    <r>
      <rPr>
        <sz val="8.4"/>
        <color rgb="FF22292F"/>
        <rFont val="Helvetica"/>
        <family val="2"/>
      </rPr>
      <t>(3.2/4.9)</t>
    </r>
  </si>
  <si>
    <r>
      <t>0.435</t>
    </r>
    <r>
      <rPr>
        <sz val="8.4"/>
        <color rgb="FF22292F"/>
        <rFont val="Helvetica"/>
        <family val="2"/>
      </rPr>
      <t>(5.8/13.3)</t>
    </r>
  </si>
  <si>
    <r>
      <t>0.734</t>
    </r>
    <r>
      <rPr>
        <sz val="8.4"/>
        <color rgb="FF22292F"/>
        <rFont val="Helvetica"/>
        <family val="2"/>
      </rPr>
      <t>(3.4/4.6)</t>
    </r>
  </si>
  <si>
    <r>
      <t>0.429</t>
    </r>
    <r>
      <rPr>
        <sz val="8.4"/>
        <color rgb="FF22292F"/>
        <rFont val="Helvetica"/>
        <family val="2"/>
      </rPr>
      <t>(4.9/11.4)</t>
    </r>
  </si>
  <si>
    <r>
      <t>0.832</t>
    </r>
    <r>
      <rPr>
        <sz val="8.4"/>
        <color rgb="FF22292F"/>
        <rFont val="Helvetica"/>
        <family val="2"/>
      </rPr>
      <t>(1.5/1.8)</t>
    </r>
  </si>
  <si>
    <r>
      <t>0.440</t>
    </r>
    <r>
      <rPr>
        <sz val="8.4"/>
        <color rgb="FF22292F"/>
        <rFont val="Helvetica"/>
        <family val="2"/>
      </rPr>
      <t>(4.2/9.6)</t>
    </r>
  </si>
  <si>
    <r>
      <t>0.758</t>
    </r>
    <r>
      <rPr>
        <sz val="8.4"/>
        <color rgb="FF22292F"/>
        <rFont val="Helvetica"/>
        <family val="2"/>
      </rPr>
      <t>(1.6/2.2)</t>
    </r>
  </si>
  <si>
    <r>
      <t>0.429</t>
    </r>
    <r>
      <rPr>
        <sz val="8.4"/>
        <color rgb="FF22292F"/>
        <rFont val="Helvetica"/>
        <family val="2"/>
      </rPr>
      <t>(4.0/9.3)</t>
    </r>
  </si>
  <si>
    <r>
      <t>0.838</t>
    </r>
    <r>
      <rPr>
        <sz val="8.4"/>
        <color rgb="FF22292F"/>
        <rFont val="Helvetica"/>
        <family val="2"/>
      </rPr>
      <t>(0.8/1.0)</t>
    </r>
  </si>
  <si>
    <r>
      <t>0.493</t>
    </r>
    <r>
      <rPr>
        <sz val="8.4"/>
        <color rgb="FF22292F"/>
        <rFont val="Helvetica"/>
        <family val="2"/>
      </rPr>
      <t>(4.0/8.0)</t>
    </r>
  </si>
  <si>
    <r>
      <t>0.803</t>
    </r>
    <r>
      <rPr>
        <sz val="8.4"/>
        <color rgb="FF22292F"/>
        <rFont val="Helvetica"/>
        <family val="2"/>
      </rPr>
      <t>(1.5/1.8)</t>
    </r>
  </si>
  <si>
    <r>
      <t>0.472</t>
    </r>
    <r>
      <rPr>
        <sz val="8.4"/>
        <color rgb="FF22292F"/>
        <rFont val="Helvetica"/>
        <family val="2"/>
      </rPr>
      <t>(3.5/7.4)</t>
    </r>
  </si>
  <si>
    <r>
      <t>0.719</t>
    </r>
    <r>
      <rPr>
        <sz val="8.4"/>
        <color rgb="FF22292F"/>
        <rFont val="Helvetica"/>
        <family val="2"/>
      </rPr>
      <t>(1.8/2.5)</t>
    </r>
  </si>
  <si>
    <r>
      <t>0.497</t>
    </r>
    <r>
      <rPr>
        <sz val="8.4"/>
        <color rgb="FF22292F"/>
        <rFont val="Helvetica"/>
        <family val="2"/>
      </rPr>
      <t>(3.7/7.3)</t>
    </r>
  </si>
  <si>
    <r>
      <t>0.781</t>
    </r>
    <r>
      <rPr>
        <sz val="8.4"/>
        <color rgb="FF22292F"/>
        <rFont val="Helvetica"/>
        <family val="2"/>
      </rPr>
      <t>(1.8/2.2)</t>
    </r>
  </si>
  <si>
    <r>
      <t>0.500</t>
    </r>
    <r>
      <rPr>
        <sz val="8.4"/>
        <color rgb="FF22292F"/>
        <rFont val="Helvetica"/>
        <family val="2"/>
      </rPr>
      <t>(5.9/11.8)</t>
    </r>
  </si>
  <si>
    <r>
      <t>0.712</t>
    </r>
    <r>
      <rPr>
        <sz val="8.4"/>
        <color rgb="FF22292F"/>
        <rFont val="Helvetica"/>
        <family val="2"/>
      </rPr>
      <t>(3.1/4.4)</t>
    </r>
  </si>
  <si>
    <r>
      <t>0.427</t>
    </r>
    <r>
      <rPr>
        <sz val="8.4"/>
        <color rgb="FF22292F"/>
        <rFont val="Helvetica"/>
        <family val="2"/>
      </rPr>
      <t>(3.9/9.0)</t>
    </r>
  </si>
  <si>
    <r>
      <t>0.853</t>
    </r>
    <r>
      <rPr>
        <sz val="8.4"/>
        <color rgb="FF22292F"/>
        <rFont val="Helvetica"/>
        <family val="2"/>
      </rPr>
      <t>(0.6/0.7)</t>
    </r>
  </si>
  <si>
    <t>Ace Bailey</t>
  </si>
  <si>
    <r>
      <t>0.454</t>
    </r>
    <r>
      <rPr>
        <sz val="8.4"/>
        <color rgb="FF22292F"/>
        <rFont val="Helvetica"/>
        <family val="2"/>
      </rPr>
      <t>(4.9/10.8)</t>
    </r>
  </si>
  <si>
    <r>
      <t>0.718</t>
    </r>
    <r>
      <rPr>
        <sz val="8.4"/>
        <color rgb="FF22292F"/>
        <rFont val="Helvetica"/>
        <family val="2"/>
      </rPr>
      <t>(1.7/2.3)</t>
    </r>
  </si>
  <si>
    <r>
      <t>0.680</t>
    </r>
    <r>
      <rPr>
        <sz val="8.4"/>
        <color rgb="FF22292F"/>
        <rFont val="Helvetica"/>
        <family val="2"/>
      </rPr>
      <t>(2.4/3.6)</t>
    </r>
  </si>
  <si>
    <r>
      <t>0.766</t>
    </r>
    <r>
      <rPr>
        <sz val="8.4"/>
        <color rgb="FF22292F"/>
        <rFont val="Helvetica"/>
        <family val="2"/>
      </rPr>
      <t>(0.9/1.1)</t>
    </r>
  </si>
  <si>
    <r>
      <t>0.405</t>
    </r>
    <r>
      <rPr>
        <sz val="8.4"/>
        <color rgb="FF22292F"/>
        <rFont val="Helvetica"/>
        <family val="2"/>
      </rPr>
      <t>(3.6/8.9)</t>
    </r>
  </si>
  <si>
    <r>
      <t>0.822</t>
    </r>
    <r>
      <rPr>
        <sz val="8.4"/>
        <color rgb="FF22292F"/>
        <rFont val="Helvetica"/>
        <family val="2"/>
      </rPr>
      <t>(1.6/2.0)</t>
    </r>
  </si>
  <si>
    <r>
      <t>0.490</t>
    </r>
    <r>
      <rPr>
        <sz val="8.4"/>
        <color rgb="FF22292F"/>
        <rFont val="Helvetica"/>
        <family val="2"/>
      </rPr>
      <t>(4.1/8.4)</t>
    </r>
  </si>
  <si>
    <r>
      <t>0.808</t>
    </r>
    <r>
      <rPr>
        <sz val="8.4"/>
        <color rgb="FF22292F"/>
        <rFont val="Helvetica"/>
        <family val="2"/>
      </rPr>
      <t>(1.9/2.3)</t>
    </r>
  </si>
  <si>
    <t>Javonte Green</t>
  </si>
  <si>
    <t>Egor Demin</t>
  </si>
  <si>
    <t>Tre Johnson</t>
  </si>
  <si>
    <t>Ryan Kalkbrenner</t>
  </si>
  <si>
    <t>Khaman Maluach</t>
  </si>
  <si>
    <t>Derik Queen</t>
  </si>
  <si>
    <t>Walter Clayton Jr.</t>
  </si>
  <si>
    <t>Luka Garza</t>
  </si>
  <si>
    <t>Nikola Topic</t>
  </si>
  <si>
    <t>Jeremiah Fears</t>
  </si>
  <si>
    <t>Quinten Post</t>
  </si>
  <si>
    <t>Ryan Rollins</t>
  </si>
  <si>
    <t>Cedric Coward</t>
  </si>
  <si>
    <t>DaRon Holmes II</t>
  </si>
  <si>
    <t>Sion James</t>
  </si>
  <si>
    <t>Ben Sheppard</t>
  </si>
  <si>
    <t>Oso Ighodaro</t>
  </si>
  <si>
    <t>Noa Essengue</t>
  </si>
  <si>
    <t>Ajay Mitchell</t>
  </si>
  <si>
    <t>Rasheer Fleming</t>
  </si>
  <si>
    <t>Mouhamed Gueye</t>
  </si>
  <si>
    <t>Kasparas Jakucionis</t>
  </si>
  <si>
    <t>Maxime Raynaud</t>
  </si>
  <si>
    <t>Justin Edwards</t>
  </si>
  <si>
    <t>KJ Simpson</t>
  </si>
  <si>
    <t>Adou Thiero</t>
  </si>
  <si>
    <t>Sandro Mamukelashvili</t>
  </si>
  <si>
    <t>Collin Gillespie</t>
  </si>
  <si>
    <t>Jordan Walsh</t>
  </si>
  <si>
    <t>Danny Wolf</t>
  </si>
  <si>
    <t>Oscar Tshiebwe</t>
  </si>
  <si>
    <t>Pelle Larsson</t>
  </si>
  <si>
    <t>Collin Murray-Boyles</t>
  </si>
  <si>
    <t>Nique Clifford</t>
  </si>
  <si>
    <r>
      <t>0.887</t>
    </r>
    <r>
      <rPr>
        <sz val="8.4"/>
        <color rgb="FF22292F"/>
        <rFont val="Helvetica"/>
        <family val="2"/>
      </rPr>
      <t>(3.4/3.9)</t>
    </r>
  </si>
  <si>
    <r>
      <t>0.453</t>
    </r>
    <r>
      <rPr>
        <sz val="8.4"/>
        <color rgb="FF22292F"/>
        <rFont val="Helvetica"/>
        <family val="2"/>
      </rPr>
      <t>(8.4/18)</t>
    </r>
  </si>
  <si>
    <r>
      <t>206 </t>
    </r>
    <r>
      <rPr>
        <sz val="14"/>
        <color rgb="FF999999"/>
        <rFont val="Helvetica"/>
        <family val="2"/>
      </rPr>
      <t> 2</t>
    </r>
  </si>
  <si>
    <r>
      <t>0.422</t>
    </r>
    <r>
      <rPr>
        <sz val="8.4"/>
        <color rgb="FF22292F"/>
        <rFont val="Helvetica"/>
        <family val="2"/>
      </rPr>
      <t>(3.8/9.1)</t>
    </r>
  </si>
  <si>
    <r>
      <t>0.834</t>
    </r>
    <r>
      <rPr>
        <sz val="8.4"/>
        <color rgb="FF22292F"/>
        <rFont val="Helvetica"/>
        <family val="2"/>
      </rPr>
      <t>(1.9/2.2)</t>
    </r>
  </si>
  <si>
    <r>
      <t>309 </t>
    </r>
    <r>
      <rPr>
        <sz val="14"/>
        <color rgb="FF999999"/>
        <rFont val="Helvetica"/>
        <family val="2"/>
      </rPr>
      <t> 17</t>
    </r>
  </si>
  <si>
    <r>
      <t>0.597</t>
    </r>
    <r>
      <rPr>
        <sz val="8.4"/>
        <color rgb="FF22292F"/>
        <rFont val="Helvetica"/>
        <family val="2"/>
      </rPr>
      <t>(2.0/3.3)</t>
    </r>
  </si>
  <si>
    <r>
      <t>0.727</t>
    </r>
    <r>
      <rPr>
        <sz val="8.4"/>
        <color rgb="FF22292F"/>
        <rFont val="Helvetica"/>
        <family val="2"/>
      </rPr>
      <t>(0.9/1.2)</t>
    </r>
  </si>
  <si>
    <r>
      <t>360 </t>
    </r>
    <r>
      <rPr>
        <sz val="14"/>
        <color rgb="FF999999"/>
        <rFont val="Helvetica"/>
        <family val="2"/>
      </rPr>
      <t> 36</t>
    </r>
  </si>
  <si>
    <r>
      <t>0.484</t>
    </r>
    <r>
      <rPr>
        <sz val="8.4"/>
        <color rgb="FF22292F"/>
        <rFont val="Helvetica"/>
        <family val="2"/>
      </rPr>
      <t>(1.9/4.0)</t>
    </r>
  </si>
  <si>
    <r>
      <t>0.770</t>
    </r>
    <r>
      <rPr>
        <sz val="8.4"/>
        <color rgb="FF22292F"/>
        <rFont val="Helvetica"/>
        <family val="2"/>
      </rPr>
      <t>(1.1/1.5)</t>
    </r>
  </si>
  <si>
    <r>
      <t>389 </t>
    </r>
    <r>
      <rPr>
        <sz val="14"/>
        <color rgb="FF999999"/>
        <rFont val="Helvetica"/>
        <family val="2"/>
      </rPr>
      <t> 15</t>
    </r>
  </si>
  <si>
    <r>
      <t>0.464</t>
    </r>
    <r>
      <rPr>
        <sz val="8.4"/>
        <color rgb="FF22292F"/>
        <rFont val="Helvetica"/>
        <family val="2"/>
      </rPr>
      <t>(2.4/5.2)</t>
    </r>
  </si>
  <si>
    <r>
      <t>0.768</t>
    </r>
    <r>
      <rPr>
        <sz val="8.4"/>
        <color rgb="FF22292F"/>
        <rFont val="Helvetica"/>
        <family val="2"/>
      </rPr>
      <t>(1.1/1.4)</t>
    </r>
  </si>
  <si>
    <r>
      <t>404 </t>
    </r>
    <r>
      <rPr>
        <sz val="14"/>
        <color rgb="FF999999"/>
        <rFont val="Helvetica"/>
        <family val="2"/>
      </rPr>
      <t> 58</t>
    </r>
  </si>
  <si>
    <r>
      <t>0.370</t>
    </r>
    <r>
      <rPr>
        <sz val="8.4"/>
        <color rgb="FF22292F"/>
        <rFont val="Helvetica"/>
        <family val="2"/>
      </rPr>
      <t>(1.8/4.9)</t>
    </r>
  </si>
  <si>
    <r>
      <t>0.589</t>
    </r>
    <r>
      <rPr>
        <sz val="8.4"/>
        <color rgb="FF22292F"/>
        <rFont val="Helvetica"/>
        <family val="2"/>
      </rPr>
      <t>(1.0/1.7)</t>
    </r>
  </si>
  <si>
    <r>
      <t>472 </t>
    </r>
    <r>
      <rPr>
        <sz val="14"/>
        <color rgb="FF999999"/>
        <rFont val="Helvetica"/>
        <family val="2"/>
      </rPr>
      <t> 58</t>
    </r>
  </si>
  <si>
    <r>
      <t>0.453</t>
    </r>
    <r>
      <rPr>
        <sz val="8.4"/>
        <color rgb="FF22292F"/>
        <rFont val="Helvetica"/>
        <family val="2"/>
      </rPr>
      <t>(1.6/3.5)</t>
    </r>
  </si>
  <si>
    <r>
      <t>0.840</t>
    </r>
    <r>
      <rPr>
        <sz val="8.4"/>
        <color rgb="FF22292F"/>
        <rFont val="Helvetica"/>
        <family val="2"/>
      </rPr>
      <t>(0.7/0.8)</t>
    </r>
  </si>
  <si>
    <r>
      <t>479 </t>
    </r>
    <r>
      <rPr>
        <sz val="14"/>
        <color rgb="FF999999"/>
        <rFont val="Helvetica"/>
        <family val="2"/>
      </rPr>
      <t> 16</t>
    </r>
  </si>
  <si>
    <t>Doug McDermott</t>
  </si>
  <si>
    <r>
      <t>0.432</t>
    </r>
    <r>
      <rPr>
        <sz val="8.4"/>
        <color rgb="FF22292F"/>
        <rFont val="Helvetica"/>
        <family val="2"/>
      </rPr>
      <t>(1.6/3.6)</t>
    </r>
  </si>
  <si>
    <r>
      <t>0.591</t>
    </r>
    <r>
      <rPr>
        <sz val="8.4"/>
        <color rgb="FF22292F"/>
        <rFont val="Helvetica"/>
        <family val="2"/>
      </rPr>
      <t>(0.1/0.2)</t>
    </r>
  </si>
  <si>
    <r>
      <t>485 </t>
    </r>
    <r>
      <rPr>
        <sz val="14"/>
        <color rgb="FF999999"/>
        <rFont val="Helvetica"/>
        <family val="2"/>
      </rPr>
      <t> 24</t>
    </r>
  </si>
  <si>
    <t>Isaac Jones</t>
  </si>
  <si>
    <r>
      <t>0.648</t>
    </r>
    <r>
      <rPr>
        <sz val="8.4"/>
        <color rgb="FF22292F"/>
        <rFont val="Helvetica"/>
        <family val="2"/>
      </rPr>
      <t>(1.4/2.1)</t>
    </r>
  </si>
  <si>
    <r>
      <t>0.637</t>
    </r>
    <r>
      <rPr>
        <sz val="8.4"/>
        <color rgb="FF22292F"/>
        <rFont val="Helvetica"/>
        <family val="2"/>
      </rPr>
      <t>(0.6/0.9)</t>
    </r>
  </si>
  <si>
    <t>Name</t>
  </si>
  <si>
    <t>De'Aaron Fox PG *</t>
  </si>
  <si>
    <t>Zach LaVine SG *</t>
  </si>
  <si>
    <t>DeMar DeRozan SF</t>
  </si>
  <si>
    <t>Domantas Sabonis PF</t>
  </si>
  <si>
    <t>Malik Monk SG</t>
  </si>
  <si>
    <t>Keegan Murray SF</t>
  </si>
  <si>
    <t>Jonas Valanciunas C *</t>
  </si>
  <si>
    <t>Keon Ellis G</t>
  </si>
  <si>
    <t>Kevin Huerter SG *</t>
  </si>
  <si>
    <t>Trey Lyles PF</t>
  </si>
  <si>
    <t>Jake LaRavia F *</t>
  </si>
  <si>
    <t>Devin Carter G</t>
  </si>
  <si>
    <t>Doug McDermott SF</t>
  </si>
  <si>
    <t>Isaac Jones C</t>
  </si>
  <si>
    <t>Markelle Fultz PG</t>
  </si>
  <si>
    <t>Jae Crowder PF</t>
  </si>
  <si>
    <t>Mason Jones G</t>
  </si>
  <si>
    <t>Orlando Robinson C *</t>
  </si>
  <si>
    <t>Jordan McLaughlin PG *</t>
  </si>
  <si>
    <t>Alex Len C *</t>
  </si>
  <si>
    <t>Skal Labissiere C</t>
  </si>
  <si>
    <t>Colby Jones G *</t>
  </si>
  <si>
    <t>Isaiah Crawford F</t>
  </si>
  <si>
    <t>Terence Davis G</t>
  </si>
  <si>
    <t>Terry Taylor F</t>
  </si>
  <si>
    <t>Total</t>
  </si>
  <si>
    <t>3PA</t>
  </si>
  <si>
    <t>3P%</t>
  </si>
  <si>
    <t>2PM</t>
  </si>
  <si>
    <t>2PA</t>
  </si>
  <si>
    <t>2P%</t>
  </si>
  <si>
    <t>SC-EFF</t>
  </si>
  <si>
    <t>SH-EFF</t>
  </si>
  <si>
    <r>
      <t>0.702</t>
    </r>
    <r>
      <rPr>
        <sz val="8.4"/>
        <color rgb="FF22292F"/>
        <rFont val="Helvetica"/>
        <family val="2"/>
      </rPr>
      <t>(4.4/5.8)</t>
    </r>
  </si>
  <si>
    <r>
      <t>0.459</t>
    </r>
    <r>
      <rPr>
        <sz val="8.4"/>
        <color rgb="FF22292F"/>
        <rFont val="Helvetica"/>
        <family val="2"/>
      </rPr>
      <t>(9.7/20.3)</t>
    </r>
  </si>
  <si>
    <t>CJ Mccollum</t>
  </si>
  <si>
    <t>Zach Lavine</t>
  </si>
  <si>
    <t>Adp</t>
  </si>
  <si>
    <t>Carter Bryant</t>
  </si>
  <si>
    <t>Nolan Traoré</t>
  </si>
  <si>
    <t>Hugo González</t>
  </si>
  <si>
    <t>Jevon Carter</t>
  </si>
  <si>
    <t>Joan Beringer</t>
  </si>
  <si>
    <t>Jase Richardson</t>
  </si>
  <si>
    <t>Will Riley</t>
  </si>
  <si>
    <t>Jordan Goodwin</t>
  </si>
  <si>
    <t>Drake Powell</t>
  </si>
  <si>
    <t>Asa Newell</t>
  </si>
  <si>
    <t>Jaden Mcdaniels</t>
  </si>
  <si>
    <r>
      <t>0.420</t>
    </r>
    <r>
      <rPr>
        <sz val="8.4"/>
        <color rgb="FF22292F"/>
        <rFont val="Helvetica"/>
        <family val="2"/>
      </rPr>
      <t>(3.7/8.8)</t>
    </r>
  </si>
  <si>
    <r>
      <t>0.821</t>
    </r>
    <r>
      <rPr>
        <sz val="8.4"/>
        <color rgb="FF22292F"/>
        <rFont val="Helvetica"/>
        <family val="2"/>
      </rPr>
      <t>(1.2/1.4)</t>
    </r>
  </si>
  <si>
    <t>Reb</t>
  </si>
  <si>
    <t>Player Count</t>
  </si>
  <si>
    <t>Stdev to pop</t>
  </si>
  <si>
    <t>Team avg</t>
  </si>
  <si>
    <t xml:space="preserve">FG% </t>
  </si>
  <si>
    <t>Pop Means</t>
  </si>
  <si>
    <t>Current Team</t>
  </si>
  <si>
    <t>New Players</t>
  </si>
  <si>
    <t>what does adding this player do to my existing roster's stats?</t>
  </si>
  <si>
    <t>After</t>
  </si>
  <si>
    <t>Before</t>
  </si>
  <si>
    <r>
      <t>0.460</t>
    </r>
    <r>
      <rPr>
        <sz val="8.4"/>
        <color rgb="FFB4B7BD"/>
        <rFont val="Helvetica"/>
        <family val="2"/>
      </rPr>
      <t>(6.2/13.5)</t>
    </r>
  </si>
  <si>
    <r>
      <t>0.866</t>
    </r>
    <r>
      <rPr>
        <sz val="8.4"/>
        <color rgb="FFB4B7BD"/>
        <rFont val="Helvetica"/>
        <family val="2"/>
      </rPr>
      <t>(2.2/2.5)</t>
    </r>
  </si>
  <si>
    <t>Cameron Boozer</t>
  </si>
  <si>
    <t>Jimmy Butler III</t>
  </si>
  <si>
    <r>
      <t>0.653</t>
    </r>
    <r>
      <rPr>
        <sz val="8.4"/>
        <color rgb="FFB4B7BD"/>
        <rFont val="Helvetica"/>
        <family val="2"/>
      </rPr>
      <t>(4.3/6.6)</t>
    </r>
  </si>
  <si>
    <t>Caleb Wilson</t>
  </si>
  <si>
    <t>Yaxel Lendeborg</t>
  </si>
  <si>
    <t>Gui Santos</t>
  </si>
  <si>
    <t>Cam Spencer</t>
  </si>
  <si>
    <t>Darryn Peterson</t>
  </si>
  <si>
    <r>
      <t>0.825</t>
    </r>
    <r>
      <rPr>
        <sz val="8.4"/>
        <color rgb="FFB4B7BD"/>
        <rFont val="Helvetica"/>
        <family val="2"/>
      </rPr>
      <t>(3.4/4.1)</t>
    </r>
  </si>
  <si>
    <t>Yanic Konan Niederhauser</t>
  </si>
  <si>
    <t>Daniss Jenkins</t>
  </si>
  <si>
    <t>Mikel Brown Jr.</t>
  </si>
  <si>
    <t>Darius Acuff Jr.</t>
  </si>
  <si>
    <t>NAME</t>
  </si>
  <si>
    <t>AJ Dybantsa</t>
  </si>
  <si>
    <t>Bronny James Jr.</t>
  </si>
  <si>
    <t>Aday Mara</t>
  </si>
  <si>
    <t>Keaton Wagler</t>
  </si>
  <si>
    <t>Pacôme Dadiet</t>
  </si>
  <si>
    <t>Caleb Love</t>
  </si>
  <si>
    <t>Meleek Thomas</t>
  </si>
  <si>
    <t>Dominick Barlow</t>
  </si>
  <si>
    <t>Jae'Sean Tate</t>
  </si>
  <si>
    <t>Joshua Jefferson</t>
  </si>
  <si>
    <t>Alex Karaban</t>
  </si>
  <si>
    <t>Zuby Ejiofor</t>
  </si>
  <si>
    <t>Tarris Reed Jr.</t>
  </si>
  <si>
    <t>Bruce Thornton</t>
  </si>
  <si>
    <t>Trevon Brazile</t>
  </si>
  <si>
    <t>Baba Miller</t>
  </si>
  <si>
    <t>Ryan Conwell</t>
  </si>
  <si>
    <t>Emanuel Sharp</t>
  </si>
  <si>
    <t>Ryan Nembhard</t>
  </si>
  <si>
    <t>Myron Gardner</t>
  </si>
  <si>
    <t>Chris Cenac Jr.</t>
  </si>
  <si>
    <t>Jayden Quaintance</t>
  </si>
  <si>
    <t>Isaiah Evans</t>
  </si>
  <si>
    <t>Bennett Stirtz</t>
  </si>
  <si>
    <t>Will Richard</t>
  </si>
  <si>
    <t>Tidjane Salaün</t>
  </si>
  <si>
    <t>Quenton Jackson</t>
  </si>
  <si>
    <t>Pat Spencer</t>
  </si>
  <si>
    <t>Branden Carlson</t>
  </si>
  <si>
    <t>Jamison Battle</t>
  </si>
  <si>
    <t>Nae'Qwan Tomlin</t>
  </si>
  <si>
    <t>Cam Christie</t>
  </si>
  <si>
    <t>Jamaree Bouyea</t>
  </si>
  <si>
    <t>Ben Saraf</t>
  </si>
  <si>
    <t>Chaz Lanier</t>
  </si>
  <si>
    <t>Alijah Martin</t>
  </si>
  <si>
    <t>Micah Peavy</t>
  </si>
  <si>
    <t>Noah Penda</t>
  </si>
  <si>
    <t>Tyrese Proctor</t>
  </si>
  <si>
    <t>Jaylen Clark</t>
  </si>
  <si>
    <t>Micah Potter</t>
  </si>
  <si>
    <t>Jordan Miller</t>
  </si>
  <si>
    <t>Ron Harper Jr.</t>
  </si>
  <si>
    <t>Rayan Rupert</t>
  </si>
  <si>
    <t>Sidy Cissoko</t>
  </si>
  <si>
    <t>Bryce McGowens</t>
  </si>
  <si>
    <t>Jamal Cain</t>
  </si>
  <si>
    <t>Tristan Vukcevic</t>
  </si>
  <si>
    <t>Allen Graves</t>
  </si>
  <si>
    <t>Dylan Cardwell</t>
  </si>
  <si>
    <t>Labaron Philon Jr.</t>
  </si>
  <si>
    <t>Cameron Carr</t>
  </si>
  <si>
    <t>Nate Ament</t>
  </si>
  <si>
    <t>Mohamed Diawara</t>
  </si>
  <si>
    <t>Landry Shamet</t>
  </si>
  <si>
    <t>Koa Peat</t>
  </si>
  <si>
    <t>Javon Small</t>
  </si>
  <si>
    <t>Dailyn Swain</t>
  </si>
  <si>
    <t>Kobe Sanders</t>
  </si>
  <si>
    <t>Moussa Cisse</t>
  </si>
  <si>
    <t>Karim Lopez</t>
  </si>
  <si>
    <t>Spencer Jones</t>
  </si>
  <si>
    <t>Christian Anderson</t>
  </si>
  <si>
    <t>Daeqwon Plowden</t>
  </si>
  <si>
    <t>Svi Mykhailiuk</t>
  </si>
  <si>
    <t>Yang Hansen</t>
  </si>
  <si>
    <t>Sergio de Larrea</t>
  </si>
  <si>
    <t>Morez Johnson Jr.</t>
  </si>
  <si>
    <t>Hannes Steinbach</t>
  </si>
  <si>
    <t>Brayden Burries</t>
  </si>
  <si>
    <t>Kingston Flemings</t>
  </si>
  <si>
    <t>Tristan da Silva</t>
  </si>
  <si>
    <r>
      <t>0.569</t>
    </r>
    <r>
      <rPr>
        <sz val="8.4"/>
        <color rgb="FFB4B7BD"/>
        <rFont val="Helvetica"/>
        <family val="2"/>
      </rPr>
      <t>(9.9/17.4)</t>
    </r>
  </si>
  <si>
    <r>
      <t>0.831</t>
    </r>
    <r>
      <rPr>
        <sz val="8.4"/>
        <color rgb="FFB4B7BD"/>
        <rFont val="Helvetica"/>
        <family val="2"/>
      </rPr>
      <t>(6.1/7.4)</t>
    </r>
  </si>
  <si>
    <r>
      <t>0.512</t>
    </r>
    <r>
      <rPr>
        <sz val="8.4"/>
        <color rgb="FFB4B7BD"/>
        <rFont val="Helvetica"/>
        <family val="2"/>
      </rPr>
      <t>(8.6/16.9)</t>
    </r>
  </si>
  <si>
    <r>
      <t>0.827</t>
    </r>
    <r>
      <rPr>
        <sz val="8.4"/>
        <color rgb="FFB4B7BD"/>
        <rFont val="Helvetica"/>
        <family val="2"/>
      </rPr>
      <t>(5.8/7.0)</t>
    </r>
  </si>
  <si>
    <r>
      <t>0.553</t>
    </r>
    <r>
      <rPr>
        <sz val="8.4"/>
        <color rgb="FFB4B7BD"/>
        <rFont val="Helvetica"/>
        <family val="2"/>
      </rPr>
      <t>(10.8/19.4)</t>
    </r>
  </si>
  <si>
    <r>
      <t>0.879</t>
    </r>
    <r>
      <rPr>
        <sz val="8.4"/>
        <color rgb="FFB4B7BD"/>
        <rFont val="Helvetica"/>
        <family val="2"/>
      </rPr>
      <t>(7.9/9.0)</t>
    </r>
  </si>
  <si>
    <r>
      <t>0.462</t>
    </r>
    <r>
      <rPr>
        <sz val="8.4"/>
        <color rgb="FFB4B7BD"/>
        <rFont val="Helvetica"/>
        <family val="2"/>
      </rPr>
      <t>(9.9/21.4)</t>
    </r>
  </si>
  <si>
    <r>
      <t>0.892</t>
    </r>
    <r>
      <rPr>
        <sz val="8.4"/>
        <color rgb="FFB4B7BD"/>
        <rFont val="Helvetica"/>
        <family val="2"/>
      </rPr>
      <t>(5.3/5.9)</t>
    </r>
  </si>
  <si>
    <r>
      <t>0.476</t>
    </r>
    <r>
      <rPr>
        <sz val="8.4"/>
        <color rgb="FFB4B7BD"/>
        <rFont val="Helvetica"/>
        <family val="2"/>
      </rPr>
      <t>(10.8/22.8)</t>
    </r>
  </si>
  <si>
    <r>
      <t>0.780</t>
    </r>
    <r>
      <rPr>
        <sz val="8.4"/>
        <color rgb="FFB4B7BD"/>
        <rFont val="Helvetica"/>
        <family val="2"/>
      </rPr>
      <t>(7.9/10.1)</t>
    </r>
  </si>
  <si>
    <r>
      <t>0.505</t>
    </r>
    <r>
      <rPr>
        <sz val="8.4"/>
        <color rgb="FFB4B7BD"/>
        <rFont val="Helvetica"/>
        <family val="2"/>
      </rPr>
      <t>(9.8/19.4)</t>
    </r>
  </si>
  <si>
    <r>
      <t>0.892</t>
    </r>
    <r>
      <rPr>
        <sz val="8.4"/>
        <color rgb="FFB4B7BD"/>
        <rFont val="Helvetica"/>
        <family val="2"/>
      </rPr>
      <t>(5.7/6.4)</t>
    </r>
  </si>
  <si>
    <r>
      <t>0.483</t>
    </r>
    <r>
      <rPr>
        <sz val="8.4"/>
        <color rgb="FFB4B7BD"/>
        <rFont val="Helvetica"/>
        <family val="2"/>
      </rPr>
      <t>(9.7/20.1)</t>
    </r>
  </si>
  <si>
    <r>
      <t>0.865</t>
    </r>
    <r>
      <rPr>
        <sz val="8.4"/>
        <color rgb="FFB4B7BD"/>
        <rFont val="Helvetica"/>
        <family val="2"/>
      </rPr>
      <t>(5.3/6.1)</t>
    </r>
  </si>
  <si>
    <r>
      <t>0.468</t>
    </r>
    <r>
      <rPr>
        <sz val="8.4"/>
        <color rgb="FFB4B7BD"/>
        <rFont val="Helvetica"/>
        <family val="2"/>
      </rPr>
      <t>(8.7/18.6)</t>
    </r>
  </si>
  <si>
    <r>
      <t>0.923</t>
    </r>
    <r>
      <rPr>
        <sz val="8.4"/>
        <color rgb="FFB4B7BD"/>
        <rFont val="Helvetica"/>
        <family val="2"/>
      </rPr>
      <t>(4.7/5.1)</t>
    </r>
  </si>
  <si>
    <r>
      <t>0.521</t>
    </r>
    <r>
      <rPr>
        <sz val="8.4"/>
        <color rgb="FFB4B7BD"/>
        <rFont val="Helvetica"/>
        <family val="2"/>
      </rPr>
      <t>(9.2/17.6)</t>
    </r>
  </si>
  <si>
    <r>
      <t>0.874</t>
    </r>
    <r>
      <rPr>
        <sz val="8.4"/>
        <color rgb="FFB4B7BD"/>
        <rFont val="Helvetica"/>
        <family val="2"/>
      </rPr>
      <t>(5.2/6.0)</t>
    </r>
  </si>
  <si>
    <r>
      <t>0.483</t>
    </r>
    <r>
      <rPr>
        <sz val="8.4"/>
        <color rgb="FFB4B7BD"/>
        <rFont val="Helvetica"/>
        <family val="2"/>
      </rPr>
      <t>(8.8/18.1)</t>
    </r>
  </si>
  <si>
    <r>
      <t>0.887</t>
    </r>
    <r>
      <rPr>
        <sz val="8.4"/>
        <color rgb="FFB4B7BD"/>
        <rFont val="Helvetica"/>
        <family val="2"/>
      </rPr>
      <t>(4.6/5.2)</t>
    </r>
  </si>
  <si>
    <r>
      <t>0.703</t>
    </r>
    <r>
      <rPr>
        <sz val="8.4"/>
        <color rgb="FFB4B7BD"/>
        <rFont val="Helvetica"/>
        <family val="2"/>
      </rPr>
      <t>(5.2/7.4)</t>
    </r>
  </si>
  <si>
    <r>
      <t>0.700</t>
    </r>
    <r>
      <rPr>
        <sz val="8.4"/>
        <color rgb="FFB4B7BD"/>
        <rFont val="Helvetica"/>
        <family val="2"/>
      </rPr>
      <t>(2.8/4.0)</t>
    </r>
  </si>
  <si>
    <r>
      <t>0.434</t>
    </r>
    <r>
      <rPr>
        <sz val="8.4"/>
        <color rgb="FFB4B7BD"/>
        <rFont val="Helvetica"/>
        <family val="2"/>
      </rPr>
      <t>(7.0/16.0)</t>
    </r>
  </si>
  <si>
    <r>
      <t>0.884</t>
    </r>
    <r>
      <rPr>
        <sz val="8.4"/>
        <color rgb="FFB4B7BD"/>
        <rFont val="Helvetica"/>
        <family val="2"/>
      </rPr>
      <t>(6.6/7.5)</t>
    </r>
  </si>
  <si>
    <r>
      <t>0.461</t>
    </r>
    <r>
      <rPr>
        <sz val="8.4"/>
        <color rgb="FFB4B7BD"/>
        <rFont val="Helvetica"/>
        <family val="2"/>
      </rPr>
      <t>(8.6/18.6)</t>
    </r>
  </si>
  <si>
    <r>
      <t>0.812</t>
    </r>
    <r>
      <rPr>
        <sz val="8.4"/>
        <color rgb="FFB4B7BD"/>
        <rFont val="Helvetica"/>
        <family val="2"/>
      </rPr>
      <t>(4.8/6.0)</t>
    </r>
  </si>
  <si>
    <r>
      <t>0.489</t>
    </r>
    <r>
      <rPr>
        <sz val="8.4"/>
        <color rgb="FFB4B7BD"/>
        <rFont val="Helvetica"/>
        <family val="2"/>
      </rPr>
      <t>(9.0/18.3)</t>
    </r>
  </si>
  <si>
    <r>
      <t>0.854</t>
    </r>
    <r>
      <rPr>
        <sz val="8.4"/>
        <color rgb="FFB4B7BD"/>
        <rFont val="Helvetica"/>
        <family val="2"/>
      </rPr>
      <t>(7.5/8.8)</t>
    </r>
  </si>
  <si>
    <r>
      <t>0.489</t>
    </r>
    <r>
      <rPr>
        <sz val="8.4"/>
        <color rgb="FFB4B7BD"/>
        <rFont val="Helvetica"/>
        <family val="2"/>
      </rPr>
      <t>(9.9/20.2)</t>
    </r>
  </si>
  <si>
    <r>
      <t>0.796</t>
    </r>
    <r>
      <rPr>
        <sz val="8.4"/>
        <color rgb="FFB4B7BD"/>
        <rFont val="Helvetica"/>
        <family val="2"/>
      </rPr>
      <t>(5.7/7.2)</t>
    </r>
  </si>
  <si>
    <r>
      <t>0.507</t>
    </r>
    <r>
      <rPr>
        <sz val="8.4"/>
        <color rgb="FFB4B7BD"/>
        <rFont val="Helvetica"/>
        <family val="2"/>
      </rPr>
      <t>(7.1/14.0)</t>
    </r>
  </si>
  <si>
    <r>
      <t>0.815</t>
    </r>
    <r>
      <rPr>
        <sz val="8.4"/>
        <color rgb="FFB4B7BD"/>
        <rFont val="Helvetica"/>
        <family val="2"/>
      </rPr>
      <t>(3.0/3.7)</t>
    </r>
  </si>
  <si>
    <r>
      <t>0.477</t>
    </r>
    <r>
      <rPr>
        <sz val="8.4"/>
        <color rgb="FFB4B7BD"/>
        <rFont val="Helvetica"/>
        <family val="2"/>
      </rPr>
      <t>(9.1/19.2)</t>
    </r>
  </si>
  <si>
    <r>
      <t>0.896</t>
    </r>
    <r>
      <rPr>
        <sz val="8.4"/>
        <color rgb="FFB4B7BD"/>
        <rFont val="Helvetica"/>
        <family val="2"/>
      </rPr>
      <t>(5.7/6.4)</t>
    </r>
  </si>
  <si>
    <r>
      <t>0.624</t>
    </r>
    <r>
      <rPr>
        <sz val="8.4"/>
        <color rgb="FFB4B7BD"/>
        <rFont val="Helvetica"/>
        <family val="2"/>
      </rPr>
      <t>(10.4/16.6)</t>
    </r>
  </si>
  <si>
    <r>
      <t>0.650</t>
    </r>
    <r>
      <rPr>
        <sz val="8.4"/>
        <color rgb="FFB4B7BD"/>
        <rFont val="Helvetica"/>
        <family val="2"/>
      </rPr>
      <t>(6.4/9.9)</t>
    </r>
  </si>
  <si>
    <r>
      <t>0.489</t>
    </r>
    <r>
      <rPr>
        <sz val="8.4"/>
        <color rgb="FFB4B7BD"/>
        <rFont val="Helvetica"/>
        <family val="2"/>
      </rPr>
      <t>(8.3/17.1)</t>
    </r>
  </si>
  <si>
    <r>
      <t>0.788</t>
    </r>
    <r>
      <rPr>
        <sz val="8.4"/>
        <color rgb="FFB4B7BD"/>
        <rFont val="Helvetica"/>
        <family val="2"/>
      </rPr>
      <t>(4.2/5.3)</t>
    </r>
  </si>
  <si>
    <r>
      <t>0.465</t>
    </r>
    <r>
      <rPr>
        <sz val="8.4"/>
        <color rgb="FFB4B7BD"/>
        <rFont val="Helvetica"/>
        <family val="2"/>
      </rPr>
      <t>(6.3/13.5)</t>
    </r>
  </si>
  <si>
    <r>
      <t>0.878</t>
    </r>
    <r>
      <rPr>
        <sz val="8.4"/>
        <color rgb="FFB4B7BD"/>
        <rFont val="Helvetica"/>
        <family val="2"/>
      </rPr>
      <t>(3.6/4.1)</t>
    </r>
  </si>
  <si>
    <r>
      <t>0.490</t>
    </r>
    <r>
      <rPr>
        <sz val="8.4"/>
        <color rgb="FFB4B7BD"/>
        <rFont val="Helvetica"/>
        <family val="2"/>
      </rPr>
      <t>(7.3/14.9)</t>
    </r>
  </si>
  <si>
    <r>
      <t>0.871</t>
    </r>
    <r>
      <rPr>
        <sz val="8.4"/>
        <color rgb="FFB4B7BD"/>
        <rFont val="Helvetica"/>
        <family val="2"/>
      </rPr>
      <t>(6.3/7.3)</t>
    </r>
  </si>
  <si>
    <r>
      <t>0.470</t>
    </r>
    <r>
      <rPr>
        <sz val="8.4"/>
        <color rgb="FFB4B7BD"/>
        <rFont val="Helvetica"/>
        <family val="2"/>
      </rPr>
      <t>(7.5/15.9)</t>
    </r>
  </si>
  <si>
    <r>
      <t>0.886</t>
    </r>
    <r>
      <rPr>
        <sz val="8.4"/>
        <color rgb="FFB4B7BD"/>
        <rFont val="Helvetica"/>
        <family val="2"/>
      </rPr>
      <t>(3.3/3.7)</t>
    </r>
  </si>
  <si>
    <r>
      <t>0.501</t>
    </r>
    <r>
      <rPr>
        <sz val="8.4"/>
        <color rgb="FFB4B7BD"/>
        <rFont val="Helvetica"/>
        <family val="2"/>
      </rPr>
      <t>(6.9/13.8)</t>
    </r>
  </si>
  <si>
    <r>
      <t>0.858</t>
    </r>
    <r>
      <rPr>
        <sz val="8.4"/>
        <color rgb="FFB4B7BD"/>
        <rFont val="Helvetica"/>
        <family val="2"/>
      </rPr>
      <t>(4.8/5.5)</t>
    </r>
  </si>
  <si>
    <r>
      <t>0.456</t>
    </r>
    <r>
      <rPr>
        <sz val="8.4"/>
        <color rgb="FFB4B7BD"/>
        <rFont val="Helvetica"/>
        <family val="2"/>
      </rPr>
      <t>(7.4/16.3)</t>
    </r>
  </si>
  <si>
    <r>
      <t>0.892</t>
    </r>
    <r>
      <rPr>
        <sz val="8.4"/>
        <color rgb="FFB4B7BD"/>
        <rFont val="Helvetica"/>
        <family val="2"/>
      </rPr>
      <t>(6.2/7.0)</t>
    </r>
  </si>
  <si>
    <r>
      <t>0.558</t>
    </r>
    <r>
      <rPr>
        <sz val="8.4"/>
        <color rgb="FFB4B7BD"/>
        <rFont val="Helvetica"/>
        <family val="2"/>
      </rPr>
      <t>(6.3/11.3)</t>
    </r>
  </si>
  <si>
    <r>
      <t>0.792</t>
    </r>
    <r>
      <rPr>
        <sz val="8.4"/>
        <color rgb="FFB4B7BD"/>
        <rFont val="Helvetica"/>
        <family val="2"/>
      </rPr>
      <t>(3.3/4.1)</t>
    </r>
  </si>
  <si>
    <r>
      <t>0.521</t>
    </r>
    <r>
      <rPr>
        <sz val="8.4"/>
        <color rgb="FFB4B7BD"/>
        <rFont val="Helvetica"/>
        <family val="2"/>
      </rPr>
      <t>(6.3/12.1)</t>
    </r>
  </si>
  <si>
    <r>
      <t>0.864</t>
    </r>
    <r>
      <rPr>
        <sz val="8.4"/>
        <color rgb="FFB4B7BD"/>
        <rFont val="Helvetica"/>
        <family val="2"/>
      </rPr>
      <t>(6.5/7.6)</t>
    </r>
  </si>
  <si>
    <r>
      <t>0.506</t>
    </r>
    <r>
      <rPr>
        <sz val="8.4"/>
        <color rgb="FFB4B7BD"/>
        <rFont val="Helvetica"/>
        <family val="2"/>
      </rPr>
      <t>(8.5/16.7)</t>
    </r>
  </si>
  <si>
    <r>
      <t>0.728</t>
    </r>
    <r>
      <rPr>
        <sz val="8.4"/>
        <color rgb="FFB4B7BD"/>
        <rFont val="Helvetica"/>
        <family val="2"/>
      </rPr>
      <t>(3.0/4.1)</t>
    </r>
  </si>
  <si>
    <r>
      <t>0.463</t>
    </r>
    <r>
      <rPr>
        <sz val="8.4"/>
        <color rgb="FFB4B7BD"/>
        <rFont val="Helvetica"/>
        <family val="2"/>
      </rPr>
      <t>(8.5/18.4)</t>
    </r>
  </si>
  <si>
    <r>
      <t>0.860</t>
    </r>
    <r>
      <rPr>
        <sz val="8.4"/>
        <color rgb="FFB4B7BD"/>
        <rFont val="Helvetica"/>
        <family val="2"/>
      </rPr>
      <t>(3.8/4.4)</t>
    </r>
  </si>
  <si>
    <r>
      <t>0.633</t>
    </r>
    <r>
      <rPr>
        <sz val="8.4"/>
        <color rgb="FFB4B7BD"/>
        <rFont val="Helvetica"/>
        <family val="2"/>
      </rPr>
      <t>(5.6/8.9)</t>
    </r>
  </si>
  <si>
    <r>
      <t>0.781</t>
    </r>
    <r>
      <rPr>
        <sz val="8.4"/>
        <color rgb="FFB4B7BD"/>
        <rFont val="Helvetica"/>
        <family val="2"/>
      </rPr>
      <t>(2.3/2.9)</t>
    </r>
  </si>
  <si>
    <r>
      <t>0.411</t>
    </r>
    <r>
      <rPr>
        <sz val="8.4"/>
        <color rgb="FFB4B7BD"/>
        <rFont val="Helvetica"/>
        <family val="2"/>
      </rPr>
      <t>(7.4/17.9)</t>
    </r>
  </si>
  <si>
    <r>
      <t>0.823</t>
    </r>
    <r>
      <rPr>
        <sz val="8.4"/>
        <color rgb="FFB4B7BD"/>
        <rFont val="Helvetica"/>
        <family val="2"/>
      </rPr>
      <t>(4.1/4.9)</t>
    </r>
  </si>
  <si>
    <r>
      <t>0.458</t>
    </r>
    <r>
      <rPr>
        <sz val="8.4"/>
        <color rgb="FFB4B7BD"/>
        <rFont val="Helvetica"/>
        <family val="2"/>
      </rPr>
      <t>(7.0/15.3)</t>
    </r>
  </si>
  <si>
    <r>
      <t>0.903</t>
    </r>
    <r>
      <rPr>
        <sz val="8.4"/>
        <color rgb="FFB4B7BD"/>
        <rFont val="Helvetica"/>
        <family val="2"/>
      </rPr>
      <t>(3.6/3.9)</t>
    </r>
  </si>
  <si>
    <r>
      <t>0.456</t>
    </r>
    <r>
      <rPr>
        <sz val="8.4"/>
        <color rgb="FFB4B7BD"/>
        <rFont val="Helvetica"/>
        <family val="2"/>
      </rPr>
      <t>(8.5/18.7)</t>
    </r>
  </si>
  <si>
    <r>
      <t>0.873</t>
    </r>
    <r>
      <rPr>
        <sz val="8.4"/>
        <color rgb="FFB4B7BD"/>
        <rFont val="Helvetica"/>
        <family val="2"/>
      </rPr>
      <t>(7.1/8.1)</t>
    </r>
  </si>
  <si>
    <r>
      <t>0.477</t>
    </r>
    <r>
      <rPr>
        <sz val="8.4"/>
        <color rgb="FFB4B7BD"/>
        <rFont val="Helvetica"/>
        <family val="2"/>
      </rPr>
      <t>(10.4/21.7)</t>
    </r>
  </si>
  <si>
    <r>
      <t>0.795</t>
    </r>
    <r>
      <rPr>
        <sz val="8.4"/>
        <color rgb="FFB4B7BD"/>
        <rFont val="Helvetica"/>
        <family val="2"/>
      </rPr>
      <t>(6.0/7.5)</t>
    </r>
  </si>
  <si>
    <r>
      <t>0.534</t>
    </r>
    <r>
      <rPr>
        <sz val="8.4"/>
        <color rgb="FFB4B7BD"/>
        <rFont val="Helvetica"/>
        <family val="2"/>
      </rPr>
      <t>(7.1/13.2)</t>
    </r>
  </si>
  <si>
    <r>
      <t>0.779</t>
    </r>
    <r>
      <rPr>
        <sz val="8.4"/>
        <color rgb="FFB4B7BD"/>
        <rFont val="Helvetica"/>
        <family val="2"/>
      </rPr>
      <t>(3.8/4.9)</t>
    </r>
  </si>
  <si>
    <r>
      <t>0.462</t>
    </r>
    <r>
      <rPr>
        <sz val="8.4"/>
        <color rgb="FFB4B7BD"/>
        <rFont val="Helvetica"/>
        <family val="2"/>
      </rPr>
      <t>(7.5/16.1)</t>
    </r>
  </si>
  <si>
    <r>
      <t>0.802</t>
    </r>
    <r>
      <rPr>
        <sz val="8.4"/>
        <color rgb="FFB4B7BD"/>
        <rFont val="Helvetica"/>
        <family val="2"/>
      </rPr>
      <t>(7.4/9.2)</t>
    </r>
  </si>
  <si>
    <r>
      <t>0.394</t>
    </r>
    <r>
      <rPr>
        <sz val="8.4"/>
        <color rgb="FFB4B7BD"/>
        <rFont val="Helvetica"/>
        <family val="2"/>
      </rPr>
      <t>(5.7/14.4)</t>
    </r>
  </si>
  <si>
    <r>
      <t>0.902</t>
    </r>
    <r>
      <rPr>
        <sz val="8.4"/>
        <color rgb="FFB4B7BD"/>
        <rFont val="Helvetica"/>
        <family val="2"/>
      </rPr>
      <t>(2.4/2.6)</t>
    </r>
  </si>
  <si>
    <r>
      <t>0.483</t>
    </r>
    <r>
      <rPr>
        <sz val="8.4"/>
        <color rgb="FFB4B7BD"/>
        <rFont val="Helvetica"/>
        <family val="2"/>
      </rPr>
      <t>(7.1/14.7)</t>
    </r>
  </si>
  <si>
    <r>
      <t>0.908</t>
    </r>
    <r>
      <rPr>
        <sz val="8.4"/>
        <color rgb="FFB4B7BD"/>
        <rFont val="Helvetica"/>
        <family val="2"/>
      </rPr>
      <t>(3.8/4.2)</t>
    </r>
  </si>
  <si>
    <r>
      <t>0.477</t>
    </r>
    <r>
      <rPr>
        <sz val="8.4"/>
        <color rgb="FFB4B7BD"/>
        <rFont val="Helvetica"/>
        <family val="2"/>
      </rPr>
      <t>(6.8/14.3)</t>
    </r>
  </si>
  <si>
    <r>
      <t>0.875</t>
    </r>
    <r>
      <rPr>
        <sz val="8.4"/>
        <color rgb="FFB4B7BD"/>
        <rFont val="Helvetica"/>
        <family val="2"/>
      </rPr>
      <t>(3.3/3.7)</t>
    </r>
  </si>
  <si>
    <r>
      <t>0.407</t>
    </r>
    <r>
      <rPr>
        <sz val="8.4"/>
        <color rgb="FFB4B7BD"/>
        <rFont val="Helvetica"/>
        <family val="2"/>
      </rPr>
      <t>(7.0/17.3)</t>
    </r>
  </si>
  <si>
    <r>
      <t>0.899</t>
    </r>
    <r>
      <rPr>
        <sz val="8.4"/>
        <color rgb="FFB4B7BD"/>
        <rFont val="Helvetica"/>
        <family val="2"/>
      </rPr>
      <t>(2.2/2.5)</t>
    </r>
  </si>
  <si>
    <r>
      <t>0.650</t>
    </r>
    <r>
      <rPr>
        <sz val="8.4"/>
        <color rgb="FFB4B7BD"/>
        <rFont val="Helvetica"/>
        <family val="2"/>
      </rPr>
      <t>(7.5/11.5)</t>
    </r>
  </si>
  <si>
    <r>
      <t>0.747</t>
    </r>
    <r>
      <rPr>
        <sz val="8.4"/>
        <color rgb="FFB4B7BD"/>
        <rFont val="Helvetica"/>
        <family val="2"/>
      </rPr>
      <t>(4.6/6.1)</t>
    </r>
  </si>
  <si>
    <r>
      <t>0.468</t>
    </r>
    <r>
      <rPr>
        <sz val="8.4"/>
        <color rgb="FFB4B7BD"/>
        <rFont val="Helvetica"/>
        <family val="2"/>
      </rPr>
      <t>(8.0/17.1)</t>
    </r>
  </si>
  <si>
    <r>
      <t>0.828</t>
    </r>
    <r>
      <rPr>
        <sz val="8.4"/>
        <color rgb="FFB4B7BD"/>
        <rFont val="Helvetica"/>
        <family val="2"/>
      </rPr>
      <t>(4.1/4.9)</t>
    </r>
  </si>
  <si>
    <r>
      <t>0.546</t>
    </r>
    <r>
      <rPr>
        <sz val="8.4"/>
        <color rgb="FFB4B7BD"/>
        <rFont val="Helvetica"/>
        <family val="2"/>
      </rPr>
      <t>(7.2/13.2)</t>
    </r>
  </si>
  <si>
    <r>
      <t>0.606</t>
    </r>
    <r>
      <rPr>
        <sz val="8.4"/>
        <color rgb="FFB4B7BD"/>
        <rFont val="Helvetica"/>
        <family val="2"/>
      </rPr>
      <t>(2.8/4.6)</t>
    </r>
  </si>
  <si>
    <r>
      <t>0.515</t>
    </r>
    <r>
      <rPr>
        <sz val="8.4"/>
        <color rgb="FFB4B7BD"/>
        <rFont val="Helvetica"/>
        <family val="2"/>
      </rPr>
      <t>(7.9/15.3)</t>
    </r>
  </si>
  <si>
    <r>
      <t>0.738</t>
    </r>
    <r>
      <rPr>
        <sz val="8.4"/>
        <color rgb="FFB4B7BD"/>
        <rFont val="Helvetica"/>
        <family val="2"/>
      </rPr>
      <t>(3.9/5.3)</t>
    </r>
  </si>
  <si>
    <r>
      <t>0.467</t>
    </r>
    <r>
      <rPr>
        <sz val="8.4"/>
        <color rgb="FFB4B7BD"/>
        <rFont val="Helvetica"/>
        <family val="2"/>
      </rPr>
      <t>(9.3/19.9)</t>
    </r>
  </si>
  <si>
    <r>
      <t>0.841</t>
    </r>
    <r>
      <rPr>
        <sz val="8.4"/>
        <color rgb="FFB4B7BD"/>
        <rFont val="Helvetica"/>
        <family val="2"/>
      </rPr>
      <t>(4.8/5.7)</t>
    </r>
  </si>
  <si>
    <r>
      <t>0.448</t>
    </r>
    <r>
      <rPr>
        <sz val="8.4"/>
        <color rgb="FFB4B7BD"/>
        <rFont val="Helvetica"/>
        <family val="2"/>
      </rPr>
      <t>(5.9/13.3)</t>
    </r>
  </si>
  <si>
    <r>
      <t>0.763</t>
    </r>
    <r>
      <rPr>
        <sz val="8.4"/>
        <color rgb="FFB4B7BD"/>
        <rFont val="Helvetica"/>
        <family val="2"/>
      </rPr>
      <t>(3.2/4.2)</t>
    </r>
  </si>
  <si>
    <r>
      <t>0.484</t>
    </r>
    <r>
      <rPr>
        <sz val="8.4"/>
        <color rgb="FFB4B7BD"/>
        <rFont val="Helvetica"/>
        <family val="2"/>
      </rPr>
      <t>(6.3/13.0)</t>
    </r>
  </si>
  <si>
    <r>
      <t>0.867</t>
    </r>
    <r>
      <rPr>
        <sz val="8.4"/>
        <color rgb="FFB4B7BD"/>
        <rFont val="Helvetica"/>
        <family val="2"/>
      </rPr>
      <t>(2.8/3.2)</t>
    </r>
  </si>
  <si>
    <r>
      <t>0.480</t>
    </r>
    <r>
      <rPr>
        <sz val="8.4"/>
        <color rgb="FFB4B7BD"/>
        <rFont val="Helvetica"/>
        <family val="2"/>
      </rPr>
      <t>(7.5/15.6)</t>
    </r>
  </si>
  <si>
    <r>
      <t>0.917</t>
    </r>
    <r>
      <rPr>
        <sz val="8.4"/>
        <color rgb="FFB4B7BD"/>
        <rFont val="Helvetica"/>
        <family val="2"/>
      </rPr>
      <t>(3.0/3.3)</t>
    </r>
  </si>
  <si>
    <r>
      <t>0.484</t>
    </r>
    <r>
      <rPr>
        <sz val="8.4"/>
        <color rgb="FFB4B7BD"/>
        <rFont val="Helvetica"/>
        <family val="2"/>
      </rPr>
      <t>(5.8/12.0)</t>
    </r>
  </si>
  <si>
    <r>
      <t>0.828</t>
    </r>
    <r>
      <rPr>
        <sz val="8.4"/>
        <color rgb="FFB4B7BD"/>
        <rFont val="Helvetica"/>
        <family val="2"/>
      </rPr>
      <t>(2.7/3.3)</t>
    </r>
  </si>
  <si>
    <r>
      <t>0.476</t>
    </r>
    <r>
      <rPr>
        <sz val="8.4"/>
        <color rgb="FFB4B7BD"/>
        <rFont val="Helvetica"/>
        <family val="2"/>
      </rPr>
      <t>(7.1/15.0)</t>
    </r>
  </si>
  <si>
    <r>
      <t>0.803</t>
    </r>
    <r>
      <rPr>
        <sz val="8.4"/>
        <color rgb="FFB4B7BD"/>
        <rFont val="Helvetica"/>
        <family val="2"/>
      </rPr>
      <t>(3.4/4.2)</t>
    </r>
  </si>
  <si>
    <r>
      <t>0.435</t>
    </r>
    <r>
      <rPr>
        <sz val="8.4"/>
        <color rgb="FFB4B7BD"/>
        <rFont val="Helvetica"/>
        <family val="2"/>
      </rPr>
      <t>(7.0/16.1)</t>
    </r>
  </si>
  <si>
    <r>
      <t>0.892</t>
    </r>
    <r>
      <rPr>
        <sz val="8.4"/>
        <color rgb="FFB4B7BD"/>
        <rFont val="Helvetica"/>
        <family val="2"/>
      </rPr>
      <t>(3.1/3.4)</t>
    </r>
  </si>
  <si>
    <t>Kadary Richmond</t>
  </si>
  <si>
    <r>
      <t>0.625</t>
    </r>
    <r>
      <rPr>
        <sz val="8.4"/>
        <color rgb="FFB4B7BD"/>
        <rFont val="Helvetica"/>
        <family val="2"/>
      </rPr>
      <t>(3.3/5.3)</t>
    </r>
  </si>
  <si>
    <r>
      <t>1.000</t>
    </r>
    <r>
      <rPr>
        <sz val="8.4"/>
        <color rgb="FFB4B7BD"/>
        <rFont val="Helvetica"/>
        <family val="2"/>
      </rPr>
      <t>(1.0/1.0)</t>
    </r>
  </si>
  <si>
    <r>
      <t>0.472</t>
    </r>
    <r>
      <rPr>
        <sz val="8.4"/>
        <color rgb="FFB4B7BD"/>
        <rFont val="Helvetica"/>
        <family val="2"/>
      </rPr>
      <t>(6.6/13.9)</t>
    </r>
  </si>
  <si>
    <r>
      <t>0.796</t>
    </r>
    <r>
      <rPr>
        <sz val="8.4"/>
        <color rgb="FFB4B7BD"/>
        <rFont val="Helvetica"/>
        <family val="2"/>
      </rPr>
      <t>(1.7/2.1)</t>
    </r>
  </si>
  <si>
    <r>
      <t>0.481</t>
    </r>
    <r>
      <rPr>
        <sz val="8.4"/>
        <color rgb="FFB4B7BD"/>
        <rFont val="Helvetica"/>
        <family val="2"/>
      </rPr>
      <t>(5.6/11.6)</t>
    </r>
  </si>
  <si>
    <r>
      <t>0.757</t>
    </r>
    <r>
      <rPr>
        <sz val="8.4"/>
        <color rgb="FFB4B7BD"/>
        <rFont val="Helvetica"/>
        <family val="2"/>
      </rPr>
      <t>(2.1/2.7)</t>
    </r>
  </si>
  <si>
    <r>
      <t>0.435</t>
    </r>
    <r>
      <rPr>
        <sz val="8.4"/>
        <color rgb="FFB4B7BD"/>
        <rFont val="Helvetica"/>
        <family val="2"/>
      </rPr>
      <t>(4.9/11.4)</t>
    </r>
  </si>
  <si>
    <r>
      <t>0.855</t>
    </r>
    <r>
      <rPr>
        <sz val="8.4"/>
        <color rgb="FFB4B7BD"/>
        <rFont val="Helvetica"/>
        <family val="2"/>
      </rPr>
      <t>(1.8/2.1)</t>
    </r>
  </si>
  <si>
    <r>
      <t>0.442</t>
    </r>
    <r>
      <rPr>
        <sz val="8.4"/>
        <color rgb="FFB4B7BD"/>
        <rFont val="Helvetica"/>
        <family val="2"/>
      </rPr>
      <t>(6.9/15.7)</t>
    </r>
  </si>
  <si>
    <r>
      <t>0.778</t>
    </r>
    <r>
      <rPr>
        <sz val="8.4"/>
        <color rgb="FFB4B7BD"/>
        <rFont val="Helvetica"/>
        <family val="2"/>
      </rPr>
      <t>(4.5/5.8)</t>
    </r>
  </si>
  <si>
    <r>
      <t>0.520</t>
    </r>
    <r>
      <rPr>
        <sz val="8.4"/>
        <color rgb="FFB4B7BD"/>
        <rFont val="Helvetica"/>
        <family val="2"/>
      </rPr>
      <t>(4.6/8.9)</t>
    </r>
  </si>
  <si>
    <r>
      <t>0.680</t>
    </r>
    <r>
      <rPr>
        <sz val="8.4"/>
        <color rgb="FFB4B7BD"/>
        <rFont val="Helvetica"/>
        <family val="2"/>
      </rPr>
      <t>(1.8/2.6)</t>
    </r>
  </si>
  <si>
    <r>
      <t>0.439</t>
    </r>
    <r>
      <rPr>
        <sz val="8.4"/>
        <color rgb="FFB4B7BD"/>
        <rFont val="Helvetica"/>
        <family val="2"/>
      </rPr>
      <t>(6.1/13.9)</t>
    </r>
  </si>
  <si>
    <r>
      <t>0.820</t>
    </r>
    <r>
      <rPr>
        <sz val="8.4"/>
        <color rgb="FFB4B7BD"/>
        <rFont val="Helvetica"/>
        <family val="2"/>
      </rPr>
      <t>(2.5/3.0)</t>
    </r>
  </si>
  <si>
    <r>
      <t>0.482</t>
    </r>
    <r>
      <rPr>
        <sz val="8.4"/>
        <color rgb="FFB4B7BD"/>
        <rFont val="Helvetica"/>
        <family val="2"/>
      </rPr>
      <t>(6.6/13.7)</t>
    </r>
  </si>
  <si>
    <r>
      <t>0.688</t>
    </r>
    <r>
      <rPr>
        <sz val="8.4"/>
        <color rgb="FFB4B7BD"/>
        <rFont val="Helvetica"/>
        <family val="2"/>
      </rPr>
      <t>(2.1/3.0)</t>
    </r>
  </si>
  <si>
    <r>
      <t>0.682</t>
    </r>
    <r>
      <rPr>
        <sz val="8.4"/>
        <color rgb="FFB4B7BD"/>
        <rFont val="Helvetica"/>
        <family val="2"/>
      </rPr>
      <t>(4.4/6.5)</t>
    </r>
  </si>
  <si>
    <r>
      <t>0.526</t>
    </r>
    <r>
      <rPr>
        <sz val="8.4"/>
        <color rgb="FFB4B7BD"/>
        <rFont val="Helvetica"/>
        <family val="2"/>
      </rPr>
      <t>(2.1/4.0)</t>
    </r>
  </si>
  <si>
    <t>Alondes Williams</t>
  </si>
  <si>
    <r>
      <t>0.615</t>
    </r>
    <r>
      <rPr>
        <sz val="8.4"/>
        <color rgb="FFB4B7BD"/>
        <rFont val="Helvetica"/>
        <family val="2"/>
      </rPr>
      <t>(4.0/6.5)</t>
    </r>
  </si>
  <si>
    <r>
      <t>0.875</t>
    </r>
    <r>
      <rPr>
        <sz val="8.4"/>
        <color rgb="FFB4B7BD"/>
        <rFont val="Helvetica"/>
        <family val="2"/>
      </rPr>
      <t>(1.8/2.0)</t>
    </r>
  </si>
  <si>
    <r>
      <t>0.477</t>
    </r>
    <r>
      <rPr>
        <sz val="8.4"/>
        <color rgb="FFB4B7BD"/>
        <rFont val="Helvetica"/>
        <family val="2"/>
      </rPr>
      <t>(8.0/16.7)</t>
    </r>
  </si>
  <si>
    <r>
      <t>0.820</t>
    </r>
    <r>
      <rPr>
        <sz val="8.4"/>
        <color rgb="FFB4B7BD"/>
        <rFont val="Helvetica"/>
        <family val="2"/>
      </rPr>
      <t>(3.8/4.6)</t>
    </r>
  </si>
  <si>
    <r>
      <t>0.481</t>
    </r>
    <r>
      <rPr>
        <sz val="8.4"/>
        <color rgb="FFB4B7BD"/>
        <rFont val="Helvetica"/>
        <family val="2"/>
      </rPr>
      <t>(7.3/15.3)</t>
    </r>
  </si>
  <si>
    <r>
      <t>0.802</t>
    </r>
    <r>
      <rPr>
        <sz val="8.4"/>
        <color rgb="FFB4B7BD"/>
        <rFont val="Helvetica"/>
        <family val="2"/>
      </rPr>
      <t>(5.0/6.3)</t>
    </r>
  </si>
  <si>
    <r>
      <t>0.490</t>
    </r>
    <r>
      <rPr>
        <sz val="8.4"/>
        <color rgb="FFB4B7BD"/>
        <rFont val="Helvetica"/>
        <family val="2"/>
      </rPr>
      <t>(5.8/11.7)</t>
    </r>
  </si>
  <si>
    <r>
      <t>0.827</t>
    </r>
    <r>
      <rPr>
        <sz val="8.4"/>
        <color rgb="FFB4B7BD"/>
        <rFont val="Helvetica"/>
        <family val="2"/>
      </rPr>
      <t>(1.0/1.2)</t>
    </r>
  </si>
  <si>
    <r>
      <t>0.475</t>
    </r>
    <r>
      <rPr>
        <sz val="8.4"/>
        <color rgb="FFB4B7BD"/>
        <rFont val="Helvetica"/>
        <family val="2"/>
      </rPr>
      <t>(6.4/13.4)</t>
    </r>
  </si>
  <si>
    <r>
      <t>0.863</t>
    </r>
    <r>
      <rPr>
        <sz val="8.4"/>
        <color rgb="FFB4B7BD"/>
        <rFont val="Helvetica"/>
        <family val="2"/>
      </rPr>
      <t>(2.4/2.8)</t>
    </r>
  </si>
  <si>
    <r>
      <t>0.463</t>
    </r>
    <r>
      <rPr>
        <sz val="8.4"/>
        <color rgb="FFB4B7BD"/>
        <rFont val="Helvetica"/>
        <family val="2"/>
      </rPr>
      <t>(5.8/12.5)</t>
    </r>
  </si>
  <si>
    <r>
      <t>0.786</t>
    </r>
    <r>
      <rPr>
        <sz val="8.4"/>
        <color rgb="FFB4B7BD"/>
        <rFont val="Helvetica"/>
        <family val="2"/>
      </rPr>
      <t>(2.4/3.1)</t>
    </r>
  </si>
  <si>
    <r>
      <t>0.460</t>
    </r>
    <r>
      <rPr>
        <sz val="8.4"/>
        <color rgb="FFB4B7BD"/>
        <rFont val="Helvetica"/>
        <family val="2"/>
      </rPr>
      <t>(6.9/14.9)</t>
    </r>
  </si>
  <si>
    <r>
      <t>0.861</t>
    </r>
    <r>
      <rPr>
        <sz val="8.4"/>
        <color rgb="FFB4B7BD"/>
        <rFont val="Helvetica"/>
        <family val="2"/>
      </rPr>
      <t>(2.3/2.7)</t>
    </r>
  </si>
  <si>
    <r>
      <t>0.515</t>
    </r>
    <r>
      <rPr>
        <sz val="8.4"/>
        <color rgb="FFB4B7BD"/>
        <rFont val="Helvetica"/>
        <family val="2"/>
      </rPr>
      <t>(5.7/11.1)</t>
    </r>
  </si>
  <si>
    <r>
      <t>0.835</t>
    </r>
    <r>
      <rPr>
        <sz val="8.4"/>
        <color rgb="FFB4B7BD"/>
        <rFont val="Helvetica"/>
        <family val="2"/>
      </rPr>
      <t>(2.0/2.4)</t>
    </r>
  </si>
  <si>
    <r>
      <t>0.517</t>
    </r>
    <r>
      <rPr>
        <sz val="8.4"/>
        <color rgb="FFB4B7BD"/>
        <rFont val="Helvetica"/>
        <family val="2"/>
      </rPr>
      <t>(5.3/10.2)</t>
    </r>
  </si>
  <si>
    <r>
      <t>0.615</t>
    </r>
    <r>
      <rPr>
        <sz val="8.4"/>
        <color rgb="FFB4B7BD"/>
        <rFont val="Helvetica"/>
        <family val="2"/>
      </rPr>
      <t>(1.0/1.6)</t>
    </r>
  </si>
  <si>
    <r>
      <t>0.410</t>
    </r>
    <r>
      <rPr>
        <sz val="8.4"/>
        <color rgb="FFB4B7BD"/>
        <rFont val="Helvetica"/>
        <family val="2"/>
      </rPr>
      <t>(6.6/16.1)</t>
    </r>
  </si>
  <si>
    <r>
      <t>0.897</t>
    </r>
    <r>
      <rPr>
        <sz val="8.4"/>
        <color rgb="FFB4B7BD"/>
        <rFont val="Helvetica"/>
        <family val="2"/>
      </rPr>
      <t>(5.3/5.9)</t>
    </r>
  </si>
  <si>
    <r>
      <t>0.443</t>
    </r>
    <r>
      <rPr>
        <sz val="8.4"/>
        <color rgb="FFB4B7BD"/>
        <rFont val="Helvetica"/>
        <family val="2"/>
      </rPr>
      <t>(5.7/12.9)</t>
    </r>
  </si>
  <si>
    <r>
      <t>0.821</t>
    </r>
    <r>
      <rPr>
        <sz val="8.4"/>
        <color rgb="FFB4B7BD"/>
        <rFont val="Helvetica"/>
        <family val="2"/>
      </rPr>
      <t>(2.4/3.0)</t>
    </r>
  </si>
  <si>
    <r>
      <t>0.486</t>
    </r>
    <r>
      <rPr>
        <sz val="8.4"/>
        <color rgb="FFB4B7BD"/>
        <rFont val="Helvetica"/>
        <family val="2"/>
      </rPr>
      <t>(7.1/14.5)</t>
    </r>
  </si>
  <si>
    <r>
      <t>0.760</t>
    </r>
    <r>
      <rPr>
        <sz val="8.4"/>
        <color rgb="FFB4B7BD"/>
        <rFont val="Helvetica"/>
        <family val="2"/>
      </rPr>
      <t>(2.6/3.4)</t>
    </r>
  </si>
  <si>
    <r>
      <t>0.475</t>
    </r>
    <r>
      <rPr>
        <sz val="8.4"/>
        <color rgb="FFB4B7BD"/>
        <rFont val="Helvetica"/>
        <family val="2"/>
      </rPr>
      <t>(5.7/12.1)</t>
    </r>
  </si>
  <si>
    <r>
      <t>0.784</t>
    </r>
    <r>
      <rPr>
        <sz val="8.4"/>
        <color rgb="FFB4B7BD"/>
        <rFont val="Helvetica"/>
        <family val="2"/>
      </rPr>
      <t>(1.9/2.4)</t>
    </r>
  </si>
  <si>
    <r>
      <t>0.438</t>
    </r>
    <r>
      <rPr>
        <sz val="8.4"/>
        <color rgb="FFB4B7BD"/>
        <rFont val="Helvetica"/>
        <family val="2"/>
      </rPr>
      <t>(6.0/13.7)</t>
    </r>
  </si>
  <si>
    <r>
      <t>0.819</t>
    </r>
    <r>
      <rPr>
        <sz val="8.4"/>
        <color rgb="FFB4B7BD"/>
        <rFont val="Helvetica"/>
        <family val="2"/>
      </rPr>
      <t>(2.0/2.4)</t>
    </r>
  </si>
  <si>
    <r>
      <t>0.470</t>
    </r>
    <r>
      <rPr>
        <sz val="8.4"/>
        <color rgb="FFB4B7BD"/>
        <rFont val="Helvetica"/>
        <family val="2"/>
      </rPr>
      <t>(7.3/15.4)</t>
    </r>
  </si>
  <si>
    <r>
      <t>0.827</t>
    </r>
    <r>
      <rPr>
        <sz val="8.4"/>
        <color rgb="FFB4B7BD"/>
        <rFont val="Helvetica"/>
        <family val="2"/>
      </rPr>
      <t>(4.5/5.5)</t>
    </r>
  </si>
  <si>
    <r>
      <t>0.493</t>
    </r>
    <r>
      <rPr>
        <sz val="8.4"/>
        <color rgb="FFB4B7BD"/>
        <rFont val="Helvetica"/>
        <family val="2"/>
      </rPr>
      <t>(6.2/12.5)</t>
    </r>
  </si>
  <si>
    <r>
      <t>0.828</t>
    </r>
    <r>
      <rPr>
        <sz val="8.4"/>
        <color rgb="FFB4B7BD"/>
        <rFont val="Helvetica"/>
        <family val="2"/>
      </rPr>
      <t>(1.2/1.5)</t>
    </r>
  </si>
  <si>
    <r>
      <t>0.446</t>
    </r>
    <r>
      <rPr>
        <sz val="8.4"/>
        <color rgb="FFB4B7BD"/>
        <rFont val="Helvetica"/>
        <family val="2"/>
      </rPr>
      <t>(5.4/12.1)</t>
    </r>
  </si>
  <si>
    <r>
      <t>0.841</t>
    </r>
    <r>
      <rPr>
        <sz val="8.4"/>
        <color rgb="FFB4B7BD"/>
        <rFont val="Helvetica"/>
        <family val="2"/>
      </rPr>
      <t>(4.1/4.9)</t>
    </r>
  </si>
  <si>
    <r>
      <t>0.459</t>
    </r>
    <r>
      <rPr>
        <sz val="8.4"/>
        <color rgb="FFB4B7BD"/>
        <rFont val="Helvetica"/>
        <family val="2"/>
      </rPr>
      <t>(7.3/16.0)</t>
    </r>
  </si>
  <si>
    <r>
      <t>0.775</t>
    </r>
    <r>
      <rPr>
        <sz val="8.4"/>
        <color rgb="FFB4B7BD"/>
        <rFont val="Helvetica"/>
        <family val="2"/>
      </rPr>
      <t>(6.3/8.2)</t>
    </r>
  </si>
  <si>
    <r>
      <t>0.484</t>
    </r>
    <r>
      <rPr>
        <sz val="8.4"/>
        <color rgb="FFB4B7BD"/>
        <rFont val="Helvetica"/>
        <family val="2"/>
      </rPr>
      <t>(6.5/13.5)</t>
    </r>
  </si>
  <si>
    <r>
      <t>0.837</t>
    </r>
    <r>
      <rPr>
        <sz val="8.4"/>
        <color rgb="FFB4B7BD"/>
        <rFont val="Helvetica"/>
        <family val="2"/>
      </rPr>
      <t>(3.3/3.9)</t>
    </r>
  </si>
  <si>
    <r>
      <t>0.639</t>
    </r>
    <r>
      <rPr>
        <sz val="8.4"/>
        <color rgb="FFB4B7BD"/>
        <rFont val="Helvetica"/>
        <family val="2"/>
      </rPr>
      <t>(6.0/9.4)</t>
    </r>
  </si>
  <si>
    <r>
      <t>0.709</t>
    </r>
    <r>
      <rPr>
        <sz val="8.4"/>
        <color rgb="FFB4B7BD"/>
        <rFont val="Helvetica"/>
        <family val="2"/>
      </rPr>
      <t>(3.3/4.7)</t>
    </r>
  </si>
  <si>
    <r>
      <t>0.497</t>
    </r>
    <r>
      <rPr>
        <sz val="8.4"/>
        <color rgb="FFB4B7BD"/>
        <rFont val="Helvetica"/>
        <family val="2"/>
      </rPr>
      <t>(6.5/13.1)</t>
    </r>
  </si>
  <si>
    <r>
      <t>0.868</t>
    </r>
    <r>
      <rPr>
        <sz val="8.4"/>
        <color rgb="FFB4B7BD"/>
        <rFont val="Helvetica"/>
        <family val="2"/>
      </rPr>
      <t>(4.9/5.6)</t>
    </r>
  </si>
  <si>
    <r>
      <t>0.458</t>
    </r>
    <r>
      <rPr>
        <sz val="8.4"/>
        <color rgb="FFB4B7BD"/>
        <rFont val="Helvetica"/>
        <family val="2"/>
      </rPr>
      <t>(5.4/11.8)</t>
    </r>
  </si>
  <si>
    <r>
      <t>0.825</t>
    </r>
    <r>
      <rPr>
        <sz val="8.4"/>
        <color rgb="FFB4B7BD"/>
        <rFont val="Helvetica"/>
        <family val="2"/>
      </rPr>
      <t>(5.3/6.5)</t>
    </r>
  </si>
  <si>
    <r>
      <t>0.553</t>
    </r>
    <r>
      <rPr>
        <sz val="8.4"/>
        <color rgb="FFB4B7BD"/>
        <rFont val="Helvetica"/>
        <family val="2"/>
      </rPr>
      <t>(5.2/9.5)</t>
    </r>
  </si>
  <si>
    <r>
      <t>0.841</t>
    </r>
    <r>
      <rPr>
        <sz val="8.4"/>
        <color rgb="FFB4B7BD"/>
        <rFont val="Helvetica"/>
        <family val="2"/>
      </rPr>
      <t>(2.9/3.5)</t>
    </r>
  </si>
  <si>
    <r>
      <t>0.481</t>
    </r>
    <r>
      <rPr>
        <sz val="8.4"/>
        <color rgb="FFB4B7BD"/>
        <rFont val="Helvetica"/>
        <family val="2"/>
      </rPr>
      <t>(7.2/14.9)</t>
    </r>
  </si>
  <si>
    <r>
      <t>0.823</t>
    </r>
    <r>
      <rPr>
        <sz val="8.4"/>
        <color rgb="FFB4B7BD"/>
        <rFont val="Helvetica"/>
        <family val="2"/>
      </rPr>
      <t>(4.8/5.8)</t>
    </r>
  </si>
  <si>
    <r>
      <t>0.438</t>
    </r>
    <r>
      <rPr>
        <sz val="8.4"/>
        <color rgb="FFB4B7BD"/>
        <rFont val="Helvetica"/>
        <family val="2"/>
      </rPr>
      <t>(5.3/12.0)</t>
    </r>
  </si>
  <si>
    <r>
      <t>0.802</t>
    </r>
    <r>
      <rPr>
        <sz val="8.4"/>
        <color rgb="FFB4B7BD"/>
        <rFont val="Helvetica"/>
        <family val="2"/>
      </rPr>
      <t>(2.2/2.7)</t>
    </r>
  </si>
  <si>
    <r>
      <t>0.703</t>
    </r>
    <r>
      <rPr>
        <sz val="8.4"/>
        <color rgb="FFB4B7BD"/>
        <rFont val="Helvetica"/>
        <family val="2"/>
      </rPr>
      <t>(1.6/2.3)</t>
    </r>
  </si>
  <si>
    <r>
      <t>0.451</t>
    </r>
    <r>
      <rPr>
        <sz val="8.4"/>
        <color rgb="FFB4B7BD"/>
        <rFont val="Helvetica"/>
        <family val="2"/>
      </rPr>
      <t>(6.0/13.4)</t>
    </r>
  </si>
  <si>
    <r>
      <t>0.838</t>
    </r>
    <r>
      <rPr>
        <sz val="8.4"/>
        <color rgb="FFB4B7BD"/>
        <rFont val="Helvetica"/>
        <family val="2"/>
      </rPr>
      <t>(1.7/2.0)</t>
    </r>
  </si>
  <si>
    <r>
      <t>0.530</t>
    </r>
    <r>
      <rPr>
        <sz val="8.4"/>
        <color rgb="FFB4B7BD"/>
        <rFont val="Helvetica"/>
        <family val="2"/>
      </rPr>
      <t>(4.5/8.4)</t>
    </r>
  </si>
  <si>
    <r>
      <t>0.747</t>
    </r>
    <r>
      <rPr>
        <sz val="8.4"/>
        <color rgb="FFB4B7BD"/>
        <rFont val="Helvetica"/>
        <family val="2"/>
      </rPr>
      <t>(0.9/1.2)</t>
    </r>
  </si>
  <si>
    <r>
      <t>0.403</t>
    </r>
    <r>
      <rPr>
        <sz val="8.4"/>
        <color rgb="FFB4B7BD"/>
        <rFont val="Helvetica"/>
        <family val="2"/>
      </rPr>
      <t>(5.3/13.1)</t>
    </r>
  </si>
  <si>
    <r>
      <t>0.857</t>
    </r>
    <r>
      <rPr>
        <sz val="8.4"/>
        <color rgb="FFB4B7BD"/>
        <rFont val="Helvetica"/>
        <family val="2"/>
      </rPr>
      <t>(2.8/3.3)</t>
    </r>
  </si>
  <si>
    <r>
      <t>0.543</t>
    </r>
    <r>
      <rPr>
        <sz val="8.4"/>
        <color rgb="FFB4B7BD"/>
        <rFont val="Helvetica"/>
        <family val="2"/>
      </rPr>
      <t>(6.3/11.6)</t>
    </r>
  </si>
  <si>
    <r>
      <t>0.727</t>
    </r>
    <r>
      <rPr>
        <sz val="8.4"/>
        <color rgb="FFB4B7BD"/>
        <rFont val="Helvetica"/>
        <family val="2"/>
      </rPr>
      <t>(2.9/4.1)</t>
    </r>
  </si>
  <si>
    <r>
      <t>0.430</t>
    </r>
    <r>
      <rPr>
        <sz val="8.4"/>
        <color rgb="FFB4B7BD"/>
        <rFont val="Helvetica"/>
        <family val="2"/>
      </rPr>
      <t>(5.0/11.5)</t>
    </r>
  </si>
  <si>
    <r>
      <t>0.802</t>
    </r>
    <r>
      <rPr>
        <sz val="8.4"/>
        <color rgb="FFB4B7BD"/>
        <rFont val="Helvetica"/>
        <family val="2"/>
      </rPr>
      <t>(0.8/1.0)</t>
    </r>
  </si>
  <si>
    <r>
      <t>0.464</t>
    </r>
    <r>
      <rPr>
        <sz val="8.4"/>
        <color rgb="FFB4B7BD"/>
        <rFont val="Helvetica"/>
        <family val="2"/>
      </rPr>
      <t>(6.4/13.8)</t>
    </r>
  </si>
  <si>
    <r>
      <t>0.890</t>
    </r>
    <r>
      <rPr>
        <sz val="8.4"/>
        <color rgb="FFB4B7BD"/>
        <rFont val="Helvetica"/>
        <family val="2"/>
      </rPr>
      <t>(1.5/1.7)</t>
    </r>
  </si>
  <si>
    <r>
      <t>0.508</t>
    </r>
    <r>
      <rPr>
        <sz val="8.4"/>
        <color rgb="FFB4B7BD"/>
        <rFont val="Helvetica"/>
        <family val="2"/>
      </rPr>
      <t>(4.6/9.0)</t>
    </r>
  </si>
  <si>
    <r>
      <t>0.720</t>
    </r>
    <r>
      <rPr>
        <sz val="8.4"/>
        <color rgb="FFB4B7BD"/>
        <rFont val="Helvetica"/>
        <family val="2"/>
      </rPr>
      <t>(1.4/1.9)</t>
    </r>
  </si>
  <si>
    <r>
      <t>0.644</t>
    </r>
    <r>
      <rPr>
        <sz val="8.4"/>
        <color rgb="FFB4B7BD"/>
        <rFont val="Helvetica"/>
        <family val="2"/>
      </rPr>
      <t>(4.7/7.3)</t>
    </r>
  </si>
  <si>
    <r>
      <t>0.771</t>
    </r>
    <r>
      <rPr>
        <sz val="8.4"/>
        <color rgb="FFB4B7BD"/>
        <rFont val="Helvetica"/>
        <family val="2"/>
      </rPr>
      <t>(2.3/2.9)</t>
    </r>
  </si>
  <si>
    <r>
      <t>0.600</t>
    </r>
    <r>
      <rPr>
        <sz val="8.4"/>
        <color rgb="FFB4B7BD"/>
        <rFont val="Helvetica"/>
        <family val="2"/>
      </rPr>
      <t>(7.8/13.0)</t>
    </r>
  </si>
  <si>
    <r>
      <t>0.716</t>
    </r>
    <r>
      <rPr>
        <sz val="8.4"/>
        <color rgb="FFB4B7BD"/>
        <rFont val="Helvetica"/>
        <family val="2"/>
      </rPr>
      <t>(5.4/7.5)</t>
    </r>
  </si>
  <si>
    <t>Cormac Ryan</t>
  </si>
  <si>
    <r>
      <t>0.520</t>
    </r>
    <r>
      <rPr>
        <sz val="8.4"/>
        <color rgb="FFB4B7BD"/>
        <rFont val="Helvetica"/>
        <family val="2"/>
      </rPr>
      <t>(4.8/9.3)</t>
    </r>
  </si>
  <si>
    <r>
      <t>0.923</t>
    </r>
    <r>
      <rPr>
        <sz val="8.4"/>
        <color rgb="FFB4B7BD"/>
        <rFont val="Helvetica"/>
        <family val="2"/>
      </rPr>
      <t>(2.2/2.4)</t>
    </r>
  </si>
  <si>
    <r>
      <t>0.479</t>
    </r>
    <r>
      <rPr>
        <sz val="8.4"/>
        <color rgb="FFB4B7BD"/>
        <rFont val="Helvetica"/>
        <family val="2"/>
      </rPr>
      <t>(6.7/14.0)</t>
    </r>
  </si>
  <si>
    <r>
      <t>0.880</t>
    </r>
    <r>
      <rPr>
        <sz val="8.4"/>
        <color rgb="FFB4B7BD"/>
        <rFont val="Helvetica"/>
        <family val="2"/>
      </rPr>
      <t>(3.2/3.6)</t>
    </r>
  </si>
  <si>
    <r>
      <t>0.456</t>
    </r>
    <r>
      <rPr>
        <sz val="8.4"/>
        <color rgb="FFB4B7BD"/>
        <rFont val="Helvetica"/>
        <family val="2"/>
      </rPr>
      <t>(5.2/11.3)</t>
    </r>
  </si>
  <si>
    <r>
      <t>0.732</t>
    </r>
    <r>
      <rPr>
        <sz val="8.4"/>
        <color rgb="FFB4B7BD"/>
        <rFont val="Helvetica"/>
        <family val="2"/>
      </rPr>
      <t>(1.2/1.6)</t>
    </r>
  </si>
  <si>
    <r>
      <t>0.484</t>
    </r>
    <r>
      <rPr>
        <sz val="8.4"/>
        <color rgb="FFB4B7BD"/>
        <rFont val="Helvetica"/>
        <family val="2"/>
      </rPr>
      <t>(9.0/18.6)</t>
    </r>
  </si>
  <si>
    <r>
      <t>0.693</t>
    </r>
    <r>
      <rPr>
        <sz val="8.4"/>
        <color rgb="FFB4B7BD"/>
        <rFont val="Helvetica"/>
        <family val="2"/>
      </rPr>
      <t>(4.2/6.1)</t>
    </r>
  </si>
  <si>
    <r>
      <t>0.596</t>
    </r>
    <r>
      <rPr>
        <sz val="8.4"/>
        <color rgb="FFB4B7BD"/>
        <rFont val="Helvetica"/>
        <family val="2"/>
      </rPr>
      <t>(6.0/10.1)</t>
    </r>
  </si>
  <si>
    <r>
      <t>0.711</t>
    </r>
    <r>
      <rPr>
        <sz val="8.4"/>
        <color rgb="FFB4B7BD"/>
        <rFont val="Helvetica"/>
        <family val="2"/>
      </rPr>
      <t>(2.1/3.0)</t>
    </r>
  </si>
  <si>
    <r>
      <t>0.450</t>
    </r>
    <r>
      <rPr>
        <sz val="8.4"/>
        <color rgb="FFB4B7BD"/>
        <rFont val="Helvetica"/>
        <family val="2"/>
      </rPr>
      <t>(5.7/12.6)</t>
    </r>
  </si>
  <si>
    <r>
      <t>0.775</t>
    </r>
    <r>
      <rPr>
        <sz val="8.4"/>
        <color rgb="FFB4B7BD"/>
        <rFont val="Helvetica"/>
        <family val="2"/>
      </rPr>
      <t>(2.1/2.7)</t>
    </r>
  </si>
  <si>
    <r>
      <t>0.442</t>
    </r>
    <r>
      <rPr>
        <sz val="8.4"/>
        <color rgb="FFB4B7BD"/>
        <rFont val="Helvetica"/>
        <family val="2"/>
      </rPr>
      <t>(5.8/13.2)</t>
    </r>
  </si>
  <si>
    <r>
      <t>0.517</t>
    </r>
    <r>
      <rPr>
        <sz val="8.4"/>
        <color rgb="FFB4B7BD"/>
        <rFont val="Helvetica"/>
        <family val="2"/>
      </rPr>
      <t>(5.6/10.8)</t>
    </r>
  </si>
  <si>
    <r>
      <t>0.876</t>
    </r>
    <r>
      <rPr>
        <sz val="8.4"/>
        <color rgb="FFB4B7BD"/>
        <rFont val="Helvetica"/>
        <family val="2"/>
      </rPr>
      <t>(1.8/2.1)</t>
    </r>
  </si>
  <si>
    <r>
      <t>0.420</t>
    </r>
    <r>
      <rPr>
        <sz val="8.4"/>
        <color rgb="FFB4B7BD"/>
        <rFont val="Helvetica"/>
        <family val="2"/>
      </rPr>
      <t>(5.5/13.0)</t>
    </r>
  </si>
  <si>
    <r>
      <t>0.776</t>
    </r>
    <r>
      <rPr>
        <sz val="8.4"/>
        <color rgb="FFB4B7BD"/>
        <rFont val="Helvetica"/>
        <family val="2"/>
      </rPr>
      <t>(1.7/2.1)</t>
    </r>
  </si>
  <si>
    <r>
      <t>0.418</t>
    </r>
    <r>
      <rPr>
        <sz val="8.4"/>
        <color rgb="FFB4B7BD"/>
        <rFont val="Helvetica"/>
        <family val="2"/>
      </rPr>
      <t>(4.4/10.5)</t>
    </r>
  </si>
  <si>
    <r>
      <t>0.874</t>
    </r>
    <r>
      <rPr>
        <sz val="8.4"/>
        <color rgb="FFB4B7BD"/>
        <rFont val="Helvetica"/>
        <family val="2"/>
      </rPr>
      <t>(1.0/1.1)</t>
    </r>
  </si>
  <si>
    <r>
      <t>0.476</t>
    </r>
    <r>
      <rPr>
        <sz val="8.4"/>
        <color rgb="FFB4B7BD"/>
        <rFont val="Helvetica"/>
        <family val="2"/>
      </rPr>
      <t>(3.5/7.5)</t>
    </r>
  </si>
  <si>
    <r>
      <t>0.828</t>
    </r>
    <r>
      <rPr>
        <sz val="8.4"/>
        <color rgb="FFB4B7BD"/>
        <rFont val="Helvetica"/>
        <family val="2"/>
      </rPr>
      <t>(1.0/1.2)</t>
    </r>
  </si>
  <si>
    <r>
      <t>0.503</t>
    </r>
    <r>
      <rPr>
        <sz val="8.4"/>
        <color rgb="FFB4B7BD"/>
        <rFont val="Helvetica"/>
        <family val="2"/>
      </rPr>
      <t>(4.4/8.7)</t>
    </r>
  </si>
  <si>
    <r>
      <t>0.549</t>
    </r>
    <r>
      <rPr>
        <sz val="8.4"/>
        <color rgb="FFB4B7BD"/>
        <rFont val="Helvetica"/>
        <family val="2"/>
      </rPr>
      <t>(1.5/2.8)</t>
    </r>
  </si>
  <si>
    <r>
      <t>0.451</t>
    </r>
    <r>
      <rPr>
        <sz val="8.4"/>
        <color rgb="FFB4B7BD"/>
        <rFont val="Helvetica"/>
        <family val="2"/>
      </rPr>
      <t>(6.1/13.4)</t>
    </r>
  </si>
  <si>
    <r>
      <t>0.841</t>
    </r>
    <r>
      <rPr>
        <sz val="8.4"/>
        <color rgb="FFB4B7BD"/>
        <rFont val="Helvetica"/>
        <family val="2"/>
      </rPr>
      <t>(3.4/4.1)</t>
    </r>
  </si>
  <si>
    <r>
      <t>0.671</t>
    </r>
    <r>
      <rPr>
        <sz val="8.4"/>
        <color rgb="FFB4B7BD"/>
        <rFont val="Helvetica"/>
        <family val="2"/>
      </rPr>
      <t>(5.6/8.3)</t>
    </r>
  </si>
  <si>
    <r>
      <t>0.645</t>
    </r>
    <r>
      <rPr>
        <sz val="8.4"/>
        <color rgb="FFB4B7BD"/>
        <rFont val="Helvetica"/>
        <family val="2"/>
      </rPr>
      <t>(1.3/2.0)</t>
    </r>
  </si>
  <si>
    <r>
      <t>0.438</t>
    </r>
    <r>
      <rPr>
        <sz val="8.4"/>
        <color rgb="FFB4B7BD"/>
        <rFont val="Helvetica"/>
        <family val="2"/>
      </rPr>
      <t>(4.0/9.1)</t>
    </r>
  </si>
  <si>
    <r>
      <t>0.740</t>
    </r>
    <r>
      <rPr>
        <sz val="8.4"/>
        <color rgb="FFB4B7BD"/>
        <rFont val="Helvetica"/>
        <family val="2"/>
      </rPr>
      <t>(1.8/2.5)</t>
    </r>
  </si>
  <si>
    <r>
      <t>0.491</t>
    </r>
    <r>
      <rPr>
        <sz val="8.4"/>
        <color rgb="FFB4B7BD"/>
        <rFont val="Helvetica"/>
        <family val="2"/>
      </rPr>
      <t>(5.3/10.8)</t>
    </r>
  </si>
  <si>
    <r>
      <t>0.730</t>
    </r>
    <r>
      <rPr>
        <sz val="8.4"/>
        <color rgb="FFB4B7BD"/>
        <rFont val="Helvetica"/>
        <family val="2"/>
      </rPr>
      <t>(2.6/3.5)</t>
    </r>
  </si>
  <si>
    <r>
      <t>0.470</t>
    </r>
    <r>
      <rPr>
        <sz val="8.4"/>
        <color rgb="FFB4B7BD"/>
        <rFont val="Helvetica"/>
        <family val="2"/>
      </rPr>
      <t>(5.6/12.0)</t>
    </r>
  </si>
  <si>
    <r>
      <t>0.734</t>
    </r>
    <r>
      <rPr>
        <sz val="8.4"/>
        <color rgb="FFB4B7BD"/>
        <rFont val="Helvetica"/>
        <family val="2"/>
      </rPr>
      <t>(4.1/5.6)</t>
    </r>
  </si>
  <si>
    <r>
      <t>0.622</t>
    </r>
    <r>
      <rPr>
        <sz val="8.4"/>
        <color rgb="FFB4B7BD"/>
        <rFont val="Helvetica"/>
        <family val="2"/>
      </rPr>
      <t>(3.9/6.3)</t>
    </r>
  </si>
  <si>
    <r>
      <t>0.610</t>
    </r>
    <r>
      <rPr>
        <sz val="8.4"/>
        <color rgb="FFB4B7BD"/>
        <rFont val="Helvetica"/>
        <family val="2"/>
      </rPr>
      <t>(1.4/2.2)</t>
    </r>
  </si>
  <si>
    <r>
      <t>0.822</t>
    </r>
    <r>
      <rPr>
        <sz val="8.4"/>
        <color rgb="FFB4B7BD"/>
        <rFont val="Helvetica"/>
        <family val="2"/>
      </rPr>
      <t>(2.7/3.3)</t>
    </r>
  </si>
  <si>
    <r>
      <t>0.473</t>
    </r>
    <r>
      <rPr>
        <sz val="8.4"/>
        <color rgb="FFB4B7BD"/>
        <rFont val="Helvetica"/>
        <family val="2"/>
      </rPr>
      <t>(4.4/9.2)</t>
    </r>
  </si>
  <si>
    <r>
      <t>0.795</t>
    </r>
    <r>
      <rPr>
        <sz val="8.4"/>
        <color rgb="FFB4B7BD"/>
        <rFont val="Helvetica"/>
        <family val="2"/>
      </rPr>
      <t>(2.7/3.4)</t>
    </r>
  </si>
  <si>
    <r>
      <t>0.485</t>
    </r>
    <r>
      <rPr>
        <sz val="8.4"/>
        <color rgb="FFB4B7BD"/>
        <rFont val="Helvetica"/>
        <family val="2"/>
      </rPr>
      <t>(5.0/10.4)</t>
    </r>
  </si>
  <si>
    <r>
      <t>0.870</t>
    </r>
    <r>
      <rPr>
        <sz val="8.4"/>
        <color rgb="FFB4B7BD"/>
        <rFont val="Helvetica"/>
        <family val="2"/>
      </rPr>
      <t>(2.5/2.8)</t>
    </r>
  </si>
  <si>
    <r>
      <t>0.473</t>
    </r>
    <r>
      <rPr>
        <sz val="8.4"/>
        <color rgb="FFB4B7BD"/>
        <rFont val="Helvetica"/>
        <family val="2"/>
      </rPr>
      <t>(3.7/7.7)</t>
    </r>
  </si>
  <si>
    <r>
      <t>0.940</t>
    </r>
    <r>
      <rPr>
        <sz val="8.4"/>
        <color rgb="FFB4B7BD"/>
        <rFont val="Helvetica"/>
        <family val="2"/>
      </rPr>
      <t>(1.8/1.9)</t>
    </r>
  </si>
  <si>
    <r>
      <t>0.455</t>
    </r>
    <r>
      <rPr>
        <sz val="8.4"/>
        <color rgb="FFB4B7BD"/>
        <rFont val="Helvetica"/>
        <family val="2"/>
      </rPr>
      <t>(6.9/15.2)</t>
    </r>
  </si>
  <si>
    <r>
      <t>0.772</t>
    </r>
    <r>
      <rPr>
        <sz val="8.4"/>
        <color rgb="FFB4B7BD"/>
        <rFont val="Helvetica"/>
        <family val="2"/>
      </rPr>
      <t>(2.4/3.1)</t>
    </r>
  </si>
  <si>
    <r>
      <t>0.552</t>
    </r>
    <r>
      <rPr>
        <sz val="8.4"/>
        <color rgb="FFB4B7BD"/>
        <rFont val="Helvetica"/>
        <family val="2"/>
      </rPr>
      <t>(5.3/9.6)</t>
    </r>
  </si>
  <si>
    <r>
      <t>0.766</t>
    </r>
    <r>
      <rPr>
        <sz val="8.4"/>
        <color rgb="FFB4B7BD"/>
        <rFont val="Helvetica"/>
        <family val="2"/>
      </rPr>
      <t>(1.7/2.2)</t>
    </r>
  </si>
  <si>
    <r>
      <t>0.406</t>
    </r>
    <r>
      <rPr>
        <sz val="8.4"/>
        <color rgb="FFB4B7BD"/>
        <rFont val="Helvetica"/>
        <family val="2"/>
      </rPr>
      <t>(4.1/10.2)</t>
    </r>
  </si>
  <si>
    <r>
      <t>0.743</t>
    </r>
    <r>
      <rPr>
        <sz val="8.4"/>
        <color rgb="FFB4B7BD"/>
        <rFont val="Helvetica"/>
        <family val="2"/>
      </rPr>
      <t>(1.0/1.3)</t>
    </r>
  </si>
  <si>
    <r>
      <t>0.453</t>
    </r>
    <r>
      <rPr>
        <sz val="8.4"/>
        <color rgb="FFB4B7BD"/>
        <rFont val="Helvetica"/>
        <family val="2"/>
      </rPr>
      <t>(5.8/12.8)</t>
    </r>
  </si>
  <si>
    <r>
      <t>0.814</t>
    </r>
    <r>
      <rPr>
        <sz val="8.4"/>
        <color rgb="FFB4B7BD"/>
        <rFont val="Helvetica"/>
        <family val="2"/>
      </rPr>
      <t>(4.6/5.6)</t>
    </r>
  </si>
  <si>
    <r>
      <t>0.525</t>
    </r>
    <r>
      <rPr>
        <sz val="8.4"/>
        <color rgb="FFB4B7BD"/>
        <rFont val="Helvetica"/>
        <family val="2"/>
      </rPr>
      <t>(4.2/7.9)</t>
    </r>
  </si>
  <si>
    <r>
      <t>0.571</t>
    </r>
    <r>
      <rPr>
        <sz val="8.4"/>
        <color rgb="FFB4B7BD"/>
        <rFont val="Helvetica"/>
        <family val="2"/>
      </rPr>
      <t>(1.5/2.6)</t>
    </r>
  </si>
  <si>
    <r>
      <t>0.430</t>
    </r>
    <r>
      <rPr>
        <sz val="8.4"/>
        <color rgb="FFB4B7BD"/>
        <rFont val="Helvetica"/>
        <family val="2"/>
      </rPr>
      <t>(5.4/12.5)</t>
    </r>
  </si>
  <si>
    <r>
      <t>0.869</t>
    </r>
    <r>
      <rPr>
        <sz val="8.4"/>
        <color rgb="FFB4B7BD"/>
        <rFont val="Helvetica"/>
        <family val="2"/>
      </rPr>
      <t>(5.4/6.2)</t>
    </r>
  </si>
  <si>
    <r>
      <t>0.467</t>
    </r>
    <r>
      <rPr>
        <sz val="8.4"/>
        <color rgb="FFB4B7BD"/>
        <rFont val="Helvetica"/>
        <family val="2"/>
      </rPr>
      <t>(5.1/10.9)</t>
    </r>
  </si>
  <si>
    <r>
      <t>0.766</t>
    </r>
    <r>
      <rPr>
        <sz val="8.4"/>
        <color rgb="FFB4B7BD"/>
        <rFont val="Helvetica"/>
        <family val="2"/>
      </rPr>
      <t>(2.2/2.9)</t>
    </r>
  </si>
  <si>
    <t>Jalen Slawson</t>
  </si>
  <si>
    <r>
      <t>0.442</t>
    </r>
    <r>
      <rPr>
        <sz val="8.4"/>
        <color rgb="FFB4B7BD"/>
        <rFont val="Helvetica"/>
        <family val="2"/>
      </rPr>
      <t>(2.6/5.9)</t>
    </r>
  </si>
  <si>
    <r>
      <t>0.706</t>
    </r>
    <r>
      <rPr>
        <sz val="8.4"/>
        <color rgb="FFB4B7BD"/>
        <rFont val="Helvetica"/>
        <family val="2"/>
      </rPr>
      <t>(0.9/1.3)</t>
    </r>
  </si>
  <si>
    <r>
      <t>0.512</t>
    </r>
    <r>
      <rPr>
        <sz val="8.4"/>
        <color rgb="FFB4B7BD"/>
        <rFont val="Helvetica"/>
        <family val="2"/>
      </rPr>
      <t>(4.2/8.2)</t>
    </r>
  </si>
  <si>
    <r>
      <t>0.792</t>
    </r>
    <r>
      <rPr>
        <sz val="8.4"/>
        <color rgb="FFB4B7BD"/>
        <rFont val="Helvetica"/>
        <family val="2"/>
      </rPr>
      <t>(2.5/3.2)</t>
    </r>
  </si>
  <si>
    <r>
      <t>0.455</t>
    </r>
    <r>
      <rPr>
        <sz val="8.4"/>
        <color rgb="FFB4B7BD"/>
        <rFont val="Helvetica"/>
        <family val="2"/>
      </rPr>
      <t>(4.8/10.6)</t>
    </r>
  </si>
  <si>
    <r>
      <t>0.797</t>
    </r>
    <r>
      <rPr>
        <sz val="8.4"/>
        <color rgb="FFB4B7BD"/>
        <rFont val="Helvetica"/>
        <family val="2"/>
      </rPr>
      <t>(2.3/2.9)</t>
    </r>
  </si>
  <si>
    <r>
      <t>0.452</t>
    </r>
    <r>
      <rPr>
        <sz val="8.4"/>
        <color rgb="FFB4B7BD"/>
        <rFont val="Helvetica"/>
        <family val="2"/>
      </rPr>
      <t>(7.8/17.4)</t>
    </r>
  </si>
  <si>
    <r>
      <t>0.787</t>
    </r>
    <r>
      <rPr>
        <sz val="8.4"/>
        <color rgb="FFB4B7BD"/>
        <rFont val="Helvetica"/>
        <family val="2"/>
      </rPr>
      <t>(3.1/3.9)</t>
    </r>
  </si>
  <si>
    <r>
      <t>0.708</t>
    </r>
    <r>
      <rPr>
        <sz val="8.4"/>
        <color rgb="FFB4B7BD"/>
        <rFont val="Helvetica"/>
        <family val="2"/>
      </rPr>
      <t>(3.0/4.2)</t>
    </r>
  </si>
  <si>
    <r>
      <t>0.596</t>
    </r>
    <r>
      <rPr>
        <sz val="8.4"/>
        <color rgb="FFB4B7BD"/>
        <rFont val="Helvetica"/>
        <family val="2"/>
      </rPr>
      <t>(0.6/1.0)</t>
    </r>
  </si>
  <si>
    <t>Bez Mbeng</t>
  </si>
  <si>
    <r>
      <t>0.500</t>
    </r>
    <r>
      <rPr>
        <sz val="8.4"/>
        <color rgb="FFB4B7BD"/>
        <rFont val="Helvetica"/>
        <family val="2"/>
      </rPr>
      <t>(3.3/6.7)</t>
    </r>
  </si>
  <si>
    <r>
      <t>0.640</t>
    </r>
    <r>
      <rPr>
        <sz val="8.4"/>
        <color rgb="FFB4B7BD"/>
        <rFont val="Helvetica"/>
        <family val="2"/>
      </rPr>
      <t>(1.1/1.7)</t>
    </r>
  </si>
  <si>
    <r>
      <t>0.427</t>
    </r>
    <r>
      <rPr>
        <sz val="8.4"/>
        <color rgb="FFB4B7BD"/>
        <rFont val="Helvetica"/>
        <family val="2"/>
      </rPr>
      <t>(5.6/13.1)</t>
    </r>
  </si>
  <si>
    <r>
      <t>0.694</t>
    </r>
    <r>
      <rPr>
        <sz val="8.4"/>
        <color rgb="FFB4B7BD"/>
        <rFont val="Helvetica"/>
        <family val="2"/>
      </rPr>
      <t>(2.0/2.9)</t>
    </r>
  </si>
  <si>
    <r>
      <t>0.485</t>
    </r>
    <r>
      <rPr>
        <sz val="8.4"/>
        <color rgb="FFB4B7BD"/>
        <rFont val="Helvetica"/>
        <family val="2"/>
      </rPr>
      <t>(5.3/10.9)</t>
    </r>
  </si>
  <si>
    <r>
      <t>0.855</t>
    </r>
    <r>
      <rPr>
        <sz val="8.4"/>
        <color rgb="FFB4B7BD"/>
        <rFont val="Helvetica"/>
        <family val="2"/>
      </rPr>
      <t>(3.2/3.8)</t>
    </r>
  </si>
  <si>
    <r>
      <t>0.469</t>
    </r>
    <r>
      <rPr>
        <sz val="8.4"/>
        <color rgb="FFB4B7BD"/>
        <rFont val="Helvetica"/>
        <family val="2"/>
      </rPr>
      <t>(4.9/10.5)</t>
    </r>
  </si>
  <si>
    <r>
      <t>0.732</t>
    </r>
    <r>
      <rPr>
        <sz val="8.4"/>
        <color rgb="FFB4B7BD"/>
        <rFont val="Helvetica"/>
        <family val="2"/>
      </rPr>
      <t>(2.6/3.6)</t>
    </r>
  </si>
  <si>
    <r>
      <t>0.479</t>
    </r>
    <r>
      <rPr>
        <sz val="8.4"/>
        <color rgb="FFB4B7BD"/>
        <rFont val="Helvetica"/>
        <family val="2"/>
      </rPr>
      <t>(5.3/11.1)</t>
    </r>
  </si>
  <si>
    <r>
      <t>0.667</t>
    </r>
    <r>
      <rPr>
        <sz val="8.4"/>
        <color rgb="FFB4B7BD"/>
        <rFont val="Helvetica"/>
        <family val="2"/>
      </rPr>
      <t>(1.8/2.7)</t>
    </r>
  </si>
  <si>
    <r>
      <t>0.700</t>
    </r>
    <r>
      <rPr>
        <sz val="8.4"/>
        <color rgb="FFB4B7BD"/>
        <rFont val="Helvetica"/>
        <family val="2"/>
      </rPr>
      <t>(4.7/6.7)</t>
    </r>
  </si>
  <si>
    <r>
      <t>0.602</t>
    </r>
    <r>
      <rPr>
        <sz val="8.4"/>
        <color rgb="FFB4B7BD"/>
        <rFont val="Helvetica"/>
        <family val="2"/>
      </rPr>
      <t>(1.3/2.1)</t>
    </r>
  </si>
  <si>
    <r>
      <t>0.443</t>
    </r>
    <r>
      <rPr>
        <sz val="8.4"/>
        <color rgb="FFB4B7BD"/>
        <rFont val="Helvetica"/>
        <family val="2"/>
      </rPr>
      <t>(4.3/9.7)</t>
    </r>
  </si>
  <si>
    <r>
      <t>0.783</t>
    </r>
    <r>
      <rPr>
        <sz val="8.4"/>
        <color rgb="FFB4B7BD"/>
        <rFont val="Helvetica"/>
        <family val="2"/>
      </rPr>
      <t>(1.8/2.3)</t>
    </r>
  </si>
  <si>
    <r>
      <t>0.571</t>
    </r>
    <r>
      <rPr>
        <sz val="8.4"/>
        <color rgb="FFB4B7BD"/>
        <rFont val="Helvetica"/>
        <family val="2"/>
      </rPr>
      <t>(4.8/8.4)</t>
    </r>
  </si>
  <si>
    <r>
      <t>0.616</t>
    </r>
    <r>
      <rPr>
        <sz val="8.4"/>
        <color rgb="FFB4B7BD"/>
        <rFont val="Helvetica"/>
        <family val="2"/>
      </rPr>
      <t>(2.0/3.3)</t>
    </r>
  </si>
  <si>
    <r>
      <t>0.497</t>
    </r>
    <r>
      <rPr>
        <sz val="8.4"/>
        <color rgb="FFB4B7BD"/>
        <rFont val="Helvetica"/>
        <family val="2"/>
      </rPr>
      <t>(5.5/11.1)</t>
    </r>
  </si>
  <si>
    <r>
      <t>0.767</t>
    </r>
    <r>
      <rPr>
        <sz val="8.4"/>
        <color rgb="FFB4B7BD"/>
        <rFont val="Helvetica"/>
        <family val="2"/>
      </rPr>
      <t>(3.5/4.5)</t>
    </r>
  </si>
  <si>
    <r>
      <t>0.435</t>
    </r>
    <r>
      <rPr>
        <sz val="8.4"/>
        <color rgb="FFB4B7BD"/>
        <rFont val="Helvetica"/>
        <family val="2"/>
      </rPr>
      <t>(7.4/17.1)</t>
    </r>
  </si>
  <si>
    <r>
      <t>0.842</t>
    </r>
    <r>
      <rPr>
        <sz val="8.4"/>
        <color rgb="FFB4B7BD"/>
        <rFont val="Helvetica"/>
        <family val="2"/>
      </rPr>
      <t>(3.0/3.6)</t>
    </r>
  </si>
  <si>
    <r>
      <t>0.432</t>
    </r>
    <r>
      <rPr>
        <sz val="8.4"/>
        <color rgb="FFB4B7BD"/>
        <rFont val="Helvetica"/>
        <family val="2"/>
      </rPr>
      <t>(3.3/7.6)</t>
    </r>
  </si>
  <si>
    <r>
      <t>0.809</t>
    </r>
    <r>
      <rPr>
        <sz val="8.4"/>
        <color rgb="FFB4B7BD"/>
        <rFont val="Helvetica"/>
        <family val="2"/>
      </rPr>
      <t>(0.7/0.9)</t>
    </r>
  </si>
  <si>
    <r>
      <t>0.507</t>
    </r>
    <r>
      <rPr>
        <sz val="8.4"/>
        <color rgb="FFB4B7BD"/>
        <rFont val="Helvetica"/>
        <family val="2"/>
      </rPr>
      <t>(6.2/12.2)</t>
    </r>
  </si>
  <si>
    <r>
      <t>0.769</t>
    </r>
    <r>
      <rPr>
        <sz val="8.4"/>
        <color rgb="FFB4B7BD"/>
        <rFont val="Helvetica"/>
        <family val="2"/>
      </rPr>
      <t>(2.2/2.9)</t>
    </r>
  </si>
  <si>
    <r>
      <t>0.471</t>
    </r>
    <r>
      <rPr>
        <sz val="8.4"/>
        <color rgb="FFB4B7BD"/>
        <rFont val="Helvetica"/>
        <family val="2"/>
      </rPr>
      <t>(4.9/10.5)</t>
    </r>
  </si>
  <si>
    <r>
      <t>0.843</t>
    </r>
    <r>
      <rPr>
        <sz val="8.4"/>
        <color rgb="FFB4B7BD"/>
        <rFont val="Helvetica"/>
        <family val="2"/>
      </rPr>
      <t>(2.3/2.7)</t>
    </r>
  </si>
  <si>
    <r>
      <t>0.753</t>
    </r>
    <r>
      <rPr>
        <sz val="8.4"/>
        <color rgb="FFB4B7BD"/>
        <rFont val="Helvetica"/>
        <family val="2"/>
      </rPr>
      <t>(3.2/4.2)</t>
    </r>
  </si>
  <si>
    <r>
      <t>0.716</t>
    </r>
    <r>
      <rPr>
        <sz val="8.4"/>
        <color rgb="FFB4B7BD"/>
        <rFont val="Helvetica"/>
        <family val="2"/>
      </rPr>
      <t>(1.2/1.7)</t>
    </r>
  </si>
  <si>
    <r>
      <t>0.440</t>
    </r>
    <r>
      <rPr>
        <sz val="8.4"/>
        <color rgb="FFB4B7BD"/>
        <rFont val="Helvetica"/>
        <family val="2"/>
      </rPr>
      <t>(4.8/10.9)</t>
    </r>
  </si>
  <si>
    <r>
      <t>0.708</t>
    </r>
    <r>
      <rPr>
        <sz val="8.4"/>
        <color rgb="FFB4B7BD"/>
        <rFont val="Helvetica"/>
        <family val="2"/>
      </rPr>
      <t>(1.2/1.7)</t>
    </r>
  </si>
  <si>
    <r>
      <t>0.437</t>
    </r>
    <r>
      <rPr>
        <sz val="8.4"/>
        <color rgb="FFB4B7BD"/>
        <rFont val="Helvetica"/>
        <family val="2"/>
      </rPr>
      <t>(3.7/8.4)</t>
    </r>
  </si>
  <si>
    <r>
      <t>0.844</t>
    </r>
    <r>
      <rPr>
        <sz val="8.4"/>
        <color rgb="FFB4B7BD"/>
        <rFont val="Helvetica"/>
        <family val="2"/>
      </rPr>
      <t>(1.4/1.6)</t>
    </r>
  </si>
  <si>
    <r>
      <t>0.655</t>
    </r>
    <r>
      <rPr>
        <sz val="8.4"/>
        <color rgb="FFB4B7BD"/>
        <rFont val="Helvetica"/>
        <family val="2"/>
      </rPr>
      <t>(3.8/5.7)</t>
    </r>
  </si>
  <si>
    <r>
      <t>0.683</t>
    </r>
    <r>
      <rPr>
        <sz val="8.4"/>
        <color rgb="FFB4B7BD"/>
        <rFont val="Helvetica"/>
        <family val="2"/>
      </rPr>
      <t>(2.0/2.9)</t>
    </r>
  </si>
  <si>
    <r>
      <t>0.450</t>
    </r>
    <r>
      <rPr>
        <sz val="8.4"/>
        <color rgb="FFB4B7BD"/>
        <rFont val="Helvetica"/>
        <family val="2"/>
      </rPr>
      <t>(5.3/11.8)</t>
    </r>
  </si>
  <si>
    <r>
      <t>0.687</t>
    </r>
    <r>
      <rPr>
        <sz val="8.4"/>
        <color rgb="FFB4B7BD"/>
        <rFont val="Helvetica"/>
        <family val="2"/>
      </rPr>
      <t>(2.2/3.3)</t>
    </r>
  </si>
  <si>
    <r>
      <t>0.437</t>
    </r>
    <r>
      <rPr>
        <sz val="8.4"/>
        <color rgb="FFB4B7BD"/>
        <rFont val="Helvetica"/>
        <family val="2"/>
      </rPr>
      <t>(4.9/11.3)</t>
    </r>
  </si>
  <si>
    <r>
      <t>0.815</t>
    </r>
    <r>
      <rPr>
        <sz val="8.4"/>
        <color rgb="FFB4B7BD"/>
        <rFont val="Helvetica"/>
        <family val="2"/>
      </rPr>
      <t>(1.6/1.9)</t>
    </r>
  </si>
  <si>
    <r>
      <t>0.631</t>
    </r>
    <r>
      <rPr>
        <sz val="8.4"/>
        <color rgb="FFB4B7BD"/>
        <rFont val="Helvetica"/>
        <family val="2"/>
      </rPr>
      <t>(3.1/5.0)</t>
    </r>
  </si>
  <si>
    <r>
      <t>0.659</t>
    </r>
    <r>
      <rPr>
        <sz val="8.4"/>
        <color rgb="FFB4B7BD"/>
        <rFont val="Helvetica"/>
        <family val="2"/>
      </rPr>
      <t>(1.6/2.4)</t>
    </r>
  </si>
  <si>
    <t>Julian Reese</t>
  </si>
  <si>
    <r>
      <t>0.529</t>
    </r>
    <r>
      <rPr>
        <sz val="8.4"/>
        <color rgb="FFB4B7BD"/>
        <rFont val="Helvetica"/>
        <family val="2"/>
      </rPr>
      <t>(4.8/9.2)</t>
    </r>
  </si>
  <si>
    <r>
      <t>0.636</t>
    </r>
    <r>
      <rPr>
        <sz val="8.4"/>
        <color rgb="FFB4B7BD"/>
        <rFont val="Helvetica"/>
        <family val="2"/>
      </rPr>
      <t>(2.2/3.4)</t>
    </r>
  </si>
  <si>
    <r>
      <t>0.421</t>
    </r>
    <r>
      <rPr>
        <sz val="8.4"/>
        <color rgb="FFB4B7BD"/>
        <rFont val="Helvetica"/>
        <family val="2"/>
      </rPr>
      <t>(3.4/8.0)</t>
    </r>
  </si>
  <si>
    <r>
      <t>0.711</t>
    </r>
    <r>
      <rPr>
        <sz val="8.4"/>
        <color rgb="FFB4B7BD"/>
        <rFont val="Helvetica"/>
        <family val="2"/>
      </rPr>
      <t>(0.3/0.5)</t>
    </r>
  </si>
  <si>
    <r>
      <t>0.450</t>
    </r>
    <r>
      <rPr>
        <sz val="8.4"/>
        <color rgb="FFB4B7BD"/>
        <rFont val="Helvetica"/>
        <family val="2"/>
      </rPr>
      <t>(4.5/10.1)</t>
    </r>
  </si>
  <si>
    <r>
      <t>0.840</t>
    </r>
    <r>
      <rPr>
        <sz val="8.4"/>
        <color rgb="FFB4B7BD"/>
        <rFont val="Helvetica"/>
        <family val="2"/>
      </rPr>
      <t>(2.7/3.2)</t>
    </r>
  </si>
  <si>
    <r>
      <t>0.550</t>
    </r>
    <r>
      <rPr>
        <sz val="8.4"/>
        <color rgb="FFB4B7BD"/>
        <rFont val="Helvetica"/>
        <family val="2"/>
      </rPr>
      <t>(3.8/6.9)</t>
    </r>
  </si>
  <si>
    <r>
      <t>0.756</t>
    </r>
    <r>
      <rPr>
        <sz val="8.4"/>
        <color rgb="FFB4B7BD"/>
        <rFont val="Helvetica"/>
        <family val="2"/>
      </rPr>
      <t>(1.7/2.3)</t>
    </r>
  </si>
  <si>
    <r>
      <t>0.493</t>
    </r>
    <r>
      <rPr>
        <sz val="8.4"/>
        <color rgb="FFB4B7BD"/>
        <rFont val="Helvetica"/>
        <family val="2"/>
      </rPr>
      <t>(5.0/10.2)</t>
    </r>
  </si>
  <si>
    <r>
      <t>0.738</t>
    </r>
    <r>
      <rPr>
        <sz val="8.4"/>
        <color rgb="FFB4B7BD"/>
        <rFont val="Helvetica"/>
        <family val="2"/>
      </rPr>
      <t>(1.2/1.6)</t>
    </r>
  </si>
  <si>
    <r>
      <t>0.425</t>
    </r>
    <r>
      <rPr>
        <sz val="8.4"/>
        <color rgb="FFB4B7BD"/>
        <rFont val="Helvetica"/>
        <family val="2"/>
      </rPr>
      <t>(3.1/7.2)</t>
    </r>
  </si>
  <si>
    <r>
      <t>0.846</t>
    </r>
    <r>
      <rPr>
        <sz val="8.4"/>
        <color rgb="FFB4B7BD"/>
        <rFont val="Helvetica"/>
        <family val="2"/>
      </rPr>
      <t>(0.5/0.6)</t>
    </r>
  </si>
  <si>
    <r>
      <t>0.480</t>
    </r>
    <r>
      <rPr>
        <sz val="8.4"/>
        <color rgb="FFB4B7BD"/>
        <rFont val="Helvetica"/>
        <family val="2"/>
      </rPr>
      <t>(4.2/8.8)</t>
    </r>
  </si>
  <si>
    <r>
      <t>0.839</t>
    </r>
    <r>
      <rPr>
        <sz val="8.4"/>
        <color rgb="FFB4B7BD"/>
        <rFont val="Helvetica"/>
        <family val="2"/>
      </rPr>
      <t>(1.7/2.1)</t>
    </r>
  </si>
  <si>
    <r>
      <t>0.492</t>
    </r>
    <r>
      <rPr>
        <sz val="8.4"/>
        <color rgb="FFB4B7BD"/>
        <rFont val="Helvetica"/>
        <family val="2"/>
      </rPr>
      <t>(4.2/8.5)</t>
    </r>
  </si>
  <si>
    <r>
      <t>0.750</t>
    </r>
    <r>
      <rPr>
        <sz val="8.4"/>
        <color rgb="FFB4B7BD"/>
        <rFont val="Helvetica"/>
        <family val="2"/>
      </rPr>
      <t>(2.1/2.8)</t>
    </r>
  </si>
  <si>
    <r>
      <t>0.571</t>
    </r>
    <r>
      <rPr>
        <sz val="8.4"/>
        <color rgb="FFB4B7BD"/>
        <rFont val="Helvetica"/>
        <family val="2"/>
      </rPr>
      <t>(5.2/9.1)</t>
    </r>
  </si>
  <si>
    <r>
      <t>0.786</t>
    </r>
    <r>
      <rPr>
        <sz val="8.4"/>
        <color rgb="FFB4B7BD"/>
        <rFont val="Helvetica"/>
        <family val="2"/>
      </rPr>
      <t>(1.8/2.3)</t>
    </r>
  </si>
  <si>
    <r>
      <t>0.425</t>
    </r>
    <r>
      <rPr>
        <sz val="8.4"/>
        <color rgb="FFB4B7BD"/>
        <rFont val="Helvetica"/>
        <family val="2"/>
      </rPr>
      <t>(4.1/9.7)</t>
    </r>
  </si>
  <si>
    <r>
      <t>0.746</t>
    </r>
    <r>
      <rPr>
        <sz val="8.4"/>
        <color rgb="FFB4B7BD"/>
        <rFont val="Helvetica"/>
        <family val="2"/>
      </rPr>
      <t>(2.4/3.2)</t>
    </r>
  </si>
  <si>
    <r>
      <t>0.491</t>
    </r>
    <r>
      <rPr>
        <sz val="8.4"/>
        <color rgb="FFB4B7BD"/>
        <rFont val="Helvetica"/>
        <family val="2"/>
      </rPr>
      <t>(7.0/14.3)</t>
    </r>
  </si>
  <si>
    <r>
      <t>0.717</t>
    </r>
    <r>
      <rPr>
        <sz val="8.4"/>
        <color rgb="FFB4B7BD"/>
        <rFont val="Helvetica"/>
        <family val="2"/>
      </rPr>
      <t>(3.5/4.9)</t>
    </r>
  </si>
  <si>
    <r>
      <t>0.510</t>
    </r>
    <r>
      <rPr>
        <sz val="8.4"/>
        <color rgb="FFB4B7BD"/>
        <rFont val="Helvetica"/>
        <family val="2"/>
      </rPr>
      <t>(5.7/11.1)</t>
    </r>
  </si>
  <si>
    <r>
      <t>0.760</t>
    </r>
    <r>
      <rPr>
        <sz val="8.4"/>
        <color rgb="FFB4B7BD"/>
        <rFont val="Helvetica"/>
        <family val="2"/>
      </rPr>
      <t>(3.1/4.1)</t>
    </r>
  </si>
  <si>
    <r>
      <t>0.418</t>
    </r>
    <r>
      <rPr>
        <sz val="8.4"/>
        <color rgb="FFB4B7BD"/>
        <rFont val="Helvetica"/>
        <family val="2"/>
      </rPr>
      <t>(3.0/7.2)</t>
    </r>
  </si>
  <si>
    <r>
      <t>0.702</t>
    </r>
    <r>
      <rPr>
        <sz val="8.4"/>
        <color rgb="FFB4B7BD"/>
        <rFont val="Helvetica"/>
        <family val="2"/>
      </rPr>
      <t>(0.9/1.2)</t>
    </r>
  </si>
  <si>
    <r>
      <t>0.523</t>
    </r>
    <r>
      <rPr>
        <sz val="8.4"/>
        <color rgb="FFB4B7BD"/>
        <rFont val="Helvetica"/>
        <family val="2"/>
      </rPr>
      <t>(4.1/7.9)</t>
    </r>
  </si>
  <si>
    <r>
      <t>0.747</t>
    </r>
    <r>
      <rPr>
        <sz val="8.4"/>
        <color rgb="FFB4B7BD"/>
        <rFont val="Helvetica"/>
        <family val="2"/>
      </rPr>
      <t>(1.5/2.0)</t>
    </r>
  </si>
  <si>
    <r>
      <t>0.641</t>
    </r>
    <r>
      <rPr>
        <sz val="8.4"/>
        <color rgb="FFB4B7BD"/>
        <rFont val="Helvetica"/>
        <family val="2"/>
      </rPr>
      <t>(2.6/4.0)</t>
    </r>
  </si>
  <si>
    <r>
      <t>0.825</t>
    </r>
    <r>
      <rPr>
        <sz val="8.4"/>
        <color rgb="FFB4B7BD"/>
        <rFont val="Helvetica"/>
        <family val="2"/>
      </rPr>
      <t>(1.4/1.7)</t>
    </r>
  </si>
  <si>
    <r>
      <t>0.440</t>
    </r>
    <r>
      <rPr>
        <sz val="8.4"/>
        <color rgb="FFB4B7BD"/>
        <rFont val="Helvetica"/>
        <family val="2"/>
      </rPr>
      <t>(4.1/9.3)</t>
    </r>
  </si>
  <si>
    <r>
      <t>0.770</t>
    </r>
    <r>
      <rPr>
        <sz val="8.4"/>
        <color rgb="FFB4B7BD"/>
        <rFont val="Helvetica"/>
        <family val="2"/>
      </rPr>
      <t>(1.5/1.9)</t>
    </r>
  </si>
  <si>
    <r>
      <t>0.611</t>
    </r>
    <r>
      <rPr>
        <sz val="8.4"/>
        <color rgb="FFB4B7BD"/>
        <rFont val="Helvetica"/>
        <family val="2"/>
      </rPr>
      <t>(1.6/2.6)</t>
    </r>
  </si>
  <si>
    <r>
      <t>0.800</t>
    </r>
    <r>
      <rPr>
        <sz val="8.4"/>
        <color rgb="FFB4B7BD"/>
        <rFont val="Helvetica"/>
        <family val="2"/>
      </rPr>
      <t>(1.1/1.4)</t>
    </r>
  </si>
  <si>
    <r>
      <t>0.446</t>
    </r>
    <r>
      <rPr>
        <sz val="8.4"/>
        <color rgb="FFB4B7BD"/>
        <rFont val="Helvetica"/>
        <family val="2"/>
      </rPr>
      <t>(5.6/12.5)</t>
    </r>
  </si>
  <si>
    <r>
      <t>0.817</t>
    </r>
    <r>
      <rPr>
        <sz val="8.4"/>
        <color rgb="FFB4B7BD"/>
        <rFont val="Helvetica"/>
        <family val="2"/>
      </rPr>
      <t>(3.9/4.8)</t>
    </r>
  </si>
  <si>
    <r>
      <t>0.723</t>
    </r>
    <r>
      <rPr>
        <sz val="8.4"/>
        <color rgb="FFB4B7BD"/>
        <rFont val="Helvetica"/>
        <family val="2"/>
      </rPr>
      <t>(2.5/3.4)</t>
    </r>
  </si>
  <si>
    <r>
      <t>0.408</t>
    </r>
    <r>
      <rPr>
        <sz val="8.4"/>
        <color rgb="FFB4B7BD"/>
        <rFont val="Helvetica"/>
        <family val="2"/>
      </rPr>
      <t>(0.7/1.7)</t>
    </r>
  </si>
  <si>
    <r>
      <t>0.499</t>
    </r>
    <r>
      <rPr>
        <sz val="8.4"/>
        <color rgb="FFB4B7BD"/>
        <rFont val="Helvetica"/>
        <family val="2"/>
      </rPr>
      <t>(3.8/7.6)</t>
    </r>
  </si>
  <si>
    <r>
      <t>0.763</t>
    </r>
    <r>
      <rPr>
        <sz val="8.4"/>
        <color rgb="FFB4B7BD"/>
        <rFont val="Helvetica"/>
        <family val="2"/>
      </rPr>
      <t>(1.4/1.9)</t>
    </r>
  </si>
  <si>
    <r>
      <t>0.490</t>
    </r>
    <r>
      <rPr>
        <sz val="8.4"/>
        <color rgb="FFB4B7BD"/>
        <rFont val="Helvetica"/>
        <family val="2"/>
      </rPr>
      <t>(3.7/7.6)</t>
    </r>
  </si>
  <si>
    <r>
      <t>0.636</t>
    </r>
    <r>
      <rPr>
        <sz val="8.4"/>
        <color rgb="FFB4B7BD"/>
        <rFont val="Helvetica"/>
        <family val="2"/>
      </rPr>
      <t>(0.6/0.9)</t>
    </r>
  </si>
  <si>
    <r>
      <t>0.406</t>
    </r>
    <r>
      <rPr>
        <sz val="8.4"/>
        <color rgb="FFB4B7BD"/>
        <rFont val="Helvetica"/>
        <family val="2"/>
      </rPr>
      <t>(4.4/10.8)</t>
    </r>
  </si>
  <si>
    <r>
      <t>0.826</t>
    </r>
    <r>
      <rPr>
        <sz val="8.4"/>
        <color rgb="FFB4B7BD"/>
        <rFont val="Helvetica"/>
        <family val="2"/>
      </rPr>
      <t>(2.0/2.5)</t>
    </r>
  </si>
  <si>
    <r>
      <t>0.488</t>
    </r>
    <r>
      <rPr>
        <sz val="8.4"/>
        <color rgb="FFB4B7BD"/>
        <rFont val="Helvetica"/>
        <family val="2"/>
      </rPr>
      <t>(5.5/11.2)</t>
    </r>
  </si>
  <si>
    <r>
      <t>0.706</t>
    </r>
    <r>
      <rPr>
        <sz val="8.4"/>
        <color rgb="FFB4B7BD"/>
        <rFont val="Helvetica"/>
        <family val="2"/>
      </rPr>
      <t>(0.7/1.0)</t>
    </r>
  </si>
  <si>
    <r>
      <t>0.483</t>
    </r>
    <r>
      <rPr>
        <sz val="8.4"/>
        <color rgb="FFB4B7BD"/>
        <rFont val="Helvetica"/>
        <family val="2"/>
      </rPr>
      <t>(3.7/7.6)</t>
    </r>
  </si>
  <si>
    <r>
      <t>0.742</t>
    </r>
    <r>
      <rPr>
        <sz val="8.4"/>
        <color rgb="FFB4B7BD"/>
        <rFont val="Helvetica"/>
        <family val="2"/>
      </rPr>
      <t>(1.3/1.8)</t>
    </r>
  </si>
  <si>
    <t>Andersson Garcia</t>
  </si>
  <si>
    <r>
      <t>0.310</t>
    </r>
    <r>
      <rPr>
        <sz val="8.4"/>
        <color rgb="FFB4B7BD"/>
        <rFont val="Helvetica"/>
        <family val="2"/>
      </rPr>
      <t>(1.8/5.8)</t>
    </r>
  </si>
  <si>
    <r>
      <t>0.778</t>
    </r>
    <r>
      <rPr>
        <sz val="8.4"/>
        <color rgb="FFB4B7BD"/>
        <rFont val="Helvetica"/>
        <family val="2"/>
      </rPr>
      <t>(1.4/1.8)</t>
    </r>
  </si>
  <si>
    <r>
      <t>0.461</t>
    </r>
    <r>
      <rPr>
        <sz val="8.4"/>
        <color rgb="FFB4B7BD"/>
        <rFont val="Helvetica"/>
        <family val="2"/>
      </rPr>
      <t>(4.3/9.3)</t>
    </r>
  </si>
  <si>
    <r>
      <t>0.855</t>
    </r>
    <r>
      <rPr>
        <sz val="8.4"/>
        <color rgb="FFB4B7BD"/>
        <rFont val="Helvetica"/>
        <family val="2"/>
      </rPr>
      <t>(1.1/1.3)</t>
    </r>
  </si>
  <si>
    <r>
      <t>0.583</t>
    </r>
    <r>
      <rPr>
        <sz val="8.4"/>
        <color rgb="FFB4B7BD"/>
        <rFont val="Helvetica"/>
        <family val="2"/>
      </rPr>
      <t>(2.4/4.1)</t>
    </r>
  </si>
  <si>
    <r>
      <t>0.510</t>
    </r>
    <r>
      <rPr>
        <sz val="8.4"/>
        <color rgb="FFB4B7BD"/>
        <rFont val="Helvetica"/>
        <family val="2"/>
      </rPr>
      <t>(0.6/1.2)</t>
    </r>
  </si>
  <si>
    <r>
      <t>0.519</t>
    </r>
    <r>
      <rPr>
        <sz val="8.4"/>
        <color rgb="FFB4B7BD"/>
        <rFont val="Helvetica"/>
        <family val="2"/>
      </rPr>
      <t>(4.6/8.8)</t>
    </r>
  </si>
  <si>
    <r>
      <t>0.782</t>
    </r>
    <r>
      <rPr>
        <sz val="8.4"/>
        <color rgb="FFB4B7BD"/>
        <rFont val="Helvetica"/>
        <family val="2"/>
      </rPr>
      <t>(1.8/2.3)</t>
    </r>
  </si>
  <si>
    <r>
      <t>0.441</t>
    </r>
    <r>
      <rPr>
        <sz val="8.4"/>
        <color rgb="FFB4B7BD"/>
        <rFont val="Helvetica"/>
        <family val="2"/>
      </rPr>
      <t>(4.2/9.4)</t>
    </r>
  </si>
  <si>
    <r>
      <t>0.899</t>
    </r>
    <r>
      <rPr>
        <sz val="8.4"/>
        <color rgb="FFB4B7BD"/>
        <rFont val="Helvetica"/>
        <family val="2"/>
      </rPr>
      <t>(1.6/1.8)</t>
    </r>
  </si>
  <si>
    <r>
      <t>0.495</t>
    </r>
    <r>
      <rPr>
        <sz val="8.4"/>
        <color rgb="FFB4B7BD"/>
        <rFont val="Helvetica"/>
        <family val="2"/>
      </rPr>
      <t>(4.3/8.7)</t>
    </r>
  </si>
  <si>
    <r>
      <t>0.722</t>
    </r>
    <r>
      <rPr>
        <sz val="8.4"/>
        <color rgb="FFB4B7BD"/>
        <rFont val="Helvetica"/>
        <family val="2"/>
      </rPr>
      <t>(2.6/3.5)</t>
    </r>
  </si>
  <si>
    <r>
      <t>0.476</t>
    </r>
    <r>
      <rPr>
        <sz val="8.4"/>
        <color rgb="FFB4B7BD"/>
        <rFont val="Helvetica"/>
        <family val="2"/>
      </rPr>
      <t>(2.8/5.8)</t>
    </r>
  </si>
  <si>
    <r>
      <t>0.765</t>
    </r>
    <r>
      <rPr>
        <sz val="8.4"/>
        <color rgb="FFB4B7BD"/>
        <rFont val="Helvetica"/>
        <family val="2"/>
      </rPr>
      <t>(0.8/1.0)</t>
    </r>
  </si>
  <si>
    <r>
      <t>0.434</t>
    </r>
    <r>
      <rPr>
        <sz val="8.4"/>
        <color rgb="FFB4B7BD"/>
        <rFont val="Helvetica"/>
        <family val="2"/>
      </rPr>
      <t>(5.3/12.3)</t>
    </r>
  </si>
  <si>
    <r>
      <t>0.789</t>
    </r>
    <r>
      <rPr>
        <sz val="8.4"/>
        <color rgb="FFB4B7BD"/>
        <rFont val="Helvetica"/>
        <family val="2"/>
      </rPr>
      <t>(2.4/3.0)</t>
    </r>
  </si>
  <si>
    <r>
      <t>0.415</t>
    </r>
    <r>
      <rPr>
        <sz val="8.4"/>
        <color rgb="FFB4B7BD"/>
        <rFont val="Helvetica"/>
        <family val="2"/>
      </rPr>
      <t>(4.0/9.7)</t>
    </r>
  </si>
  <si>
    <r>
      <t>0.776</t>
    </r>
    <r>
      <rPr>
        <sz val="8.4"/>
        <color rgb="FFB4B7BD"/>
        <rFont val="Helvetica"/>
        <family val="2"/>
      </rPr>
      <t>(0.9/1.1)</t>
    </r>
  </si>
  <si>
    <t>Hayden Gray</t>
  </si>
  <si>
    <r>
      <t>0.667</t>
    </r>
    <r>
      <rPr>
        <sz val="8.4"/>
        <color rgb="FFB4B7BD"/>
        <rFont val="Helvetica"/>
        <family val="2"/>
      </rPr>
      <t>(2.0/3.0)</t>
    </r>
  </si>
  <si>
    <r>
      <t>1.000</t>
    </r>
    <r>
      <rPr>
        <sz val="8.4"/>
        <color rgb="FFB4B7BD"/>
        <rFont val="Helvetica"/>
        <family val="2"/>
      </rPr>
      <t>(2.0/2.0)</t>
    </r>
  </si>
  <si>
    <r>
      <t>0.443</t>
    </r>
    <r>
      <rPr>
        <sz val="8.4"/>
        <color rgb="FFB4B7BD"/>
        <rFont val="Helvetica"/>
        <family val="2"/>
      </rPr>
      <t>(5.5/12.4)</t>
    </r>
  </si>
  <si>
    <r>
      <t>0.750</t>
    </r>
    <r>
      <rPr>
        <sz val="8.4"/>
        <color rgb="FFB4B7BD"/>
        <rFont val="Helvetica"/>
        <family val="2"/>
      </rPr>
      <t>(0.9/1.2)</t>
    </r>
  </si>
  <si>
    <r>
      <t>0.418</t>
    </r>
    <r>
      <rPr>
        <sz val="8.4"/>
        <color rgb="FFB4B7BD"/>
        <rFont val="Helvetica"/>
        <family val="2"/>
      </rPr>
      <t>(4.8/11.4)</t>
    </r>
  </si>
  <si>
    <r>
      <t>0.840</t>
    </r>
    <r>
      <rPr>
        <sz val="8.4"/>
        <color rgb="FFB4B7BD"/>
        <rFont val="Helvetica"/>
        <family val="2"/>
      </rPr>
      <t>(2.8/3.3)</t>
    </r>
  </si>
  <si>
    <r>
      <t>0.538</t>
    </r>
    <r>
      <rPr>
        <sz val="8.4"/>
        <color rgb="FFB4B7BD"/>
        <rFont val="Helvetica"/>
        <family val="2"/>
      </rPr>
      <t>(4.3/8.0)</t>
    </r>
  </si>
  <si>
    <r>
      <t>0.862</t>
    </r>
    <r>
      <rPr>
        <sz val="8.4"/>
        <color rgb="FFB4B7BD"/>
        <rFont val="Helvetica"/>
        <family val="2"/>
      </rPr>
      <t>(0.4/0.5)</t>
    </r>
  </si>
  <si>
    <r>
      <t>0.383</t>
    </r>
    <r>
      <rPr>
        <sz val="8.4"/>
        <color rgb="FFB4B7BD"/>
        <rFont val="Helvetica"/>
        <family val="2"/>
      </rPr>
      <t>(3.3/8.5)</t>
    </r>
  </si>
  <si>
    <r>
      <t>0.806</t>
    </r>
    <r>
      <rPr>
        <sz val="8.4"/>
        <color rgb="FFB4B7BD"/>
        <rFont val="Helvetica"/>
        <family val="2"/>
      </rPr>
      <t>(0.9/1.1)</t>
    </r>
  </si>
  <si>
    <r>
      <t>0.433</t>
    </r>
    <r>
      <rPr>
        <sz val="8.4"/>
        <color rgb="FFB4B7BD"/>
        <rFont val="Helvetica"/>
        <family val="2"/>
      </rPr>
      <t>(1.9/4.5)</t>
    </r>
  </si>
  <si>
    <r>
      <t>0.840</t>
    </r>
    <r>
      <rPr>
        <sz val="8.4"/>
        <color rgb="FFB4B7BD"/>
        <rFont val="Helvetica"/>
        <family val="2"/>
      </rPr>
      <t>(0.7/0.8)</t>
    </r>
  </si>
  <si>
    <r>
      <t>0.579</t>
    </r>
    <r>
      <rPr>
        <sz val="8.4"/>
        <color rgb="FFB4B7BD"/>
        <rFont val="Helvetica"/>
        <family val="2"/>
      </rPr>
      <t>(3.5/6.0)</t>
    </r>
  </si>
  <si>
    <r>
      <t>0.657</t>
    </r>
    <r>
      <rPr>
        <sz val="8.4"/>
        <color rgb="FFB4B7BD"/>
        <rFont val="Helvetica"/>
        <family val="2"/>
      </rPr>
      <t>(1.2/1.9)</t>
    </r>
  </si>
  <si>
    <r>
      <t>0.503</t>
    </r>
    <r>
      <rPr>
        <sz val="8.4"/>
        <color rgb="FFB4B7BD"/>
        <rFont val="Helvetica"/>
        <family val="2"/>
      </rPr>
      <t>(4.2/8.3)</t>
    </r>
  </si>
  <si>
    <r>
      <t>0.913</t>
    </r>
    <r>
      <rPr>
        <sz val="8.4"/>
        <color rgb="FFB4B7BD"/>
        <rFont val="Helvetica"/>
        <family val="2"/>
      </rPr>
      <t>(1.8/1.9)</t>
    </r>
  </si>
  <si>
    <r>
      <t>0.472</t>
    </r>
    <r>
      <rPr>
        <sz val="8.4"/>
        <color rgb="FFB4B7BD"/>
        <rFont val="Helvetica"/>
        <family val="2"/>
      </rPr>
      <t>(1.7/3.6)</t>
    </r>
  </si>
  <si>
    <r>
      <t>0.727</t>
    </r>
    <r>
      <rPr>
        <sz val="8.4"/>
        <color rgb="FFB4B7BD"/>
        <rFont val="Helvetica"/>
        <family val="2"/>
      </rPr>
      <t>(0.6/0.8)</t>
    </r>
  </si>
  <si>
    <t>Malachi Smith</t>
  </si>
  <si>
    <r>
      <t>0.485</t>
    </r>
    <r>
      <rPr>
        <sz val="8.4"/>
        <color rgb="FFB4B7BD"/>
        <rFont val="Helvetica"/>
        <family val="2"/>
      </rPr>
      <t>(3.2/6.6)</t>
    </r>
  </si>
  <si>
    <r>
      <t>1.000</t>
    </r>
    <r>
      <rPr>
        <sz val="8.4"/>
        <color rgb="FFB4B7BD"/>
        <rFont val="Helvetica"/>
        <family val="2"/>
      </rPr>
      <t>(0.5/0.5)</t>
    </r>
  </si>
  <si>
    <r>
      <t>0.502</t>
    </r>
    <r>
      <rPr>
        <sz val="8.4"/>
        <color rgb="FFB4B7BD"/>
        <rFont val="Helvetica"/>
        <family val="2"/>
      </rPr>
      <t>(3.4/6.7)</t>
    </r>
  </si>
  <si>
    <r>
      <t>0.784</t>
    </r>
    <r>
      <rPr>
        <sz val="8.4"/>
        <color rgb="FFB4B7BD"/>
        <rFont val="Helvetica"/>
        <family val="2"/>
      </rPr>
      <t>(1.2/1.5)</t>
    </r>
  </si>
  <si>
    <r>
      <t>0.395</t>
    </r>
    <r>
      <rPr>
        <sz val="8.4"/>
        <color rgb="FFB4B7BD"/>
        <rFont val="Helvetica"/>
        <family val="2"/>
      </rPr>
      <t>(3.0/7.7)</t>
    </r>
  </si>
  <si>
    <r>
      <t>0.822</t>
    </r>
    <r>
      <rPr>
        <sz val="8.4"/>
        <color rgb="FFB4B7BD"/>
        <rFont val="Helvetica"/>
        <family val="2"/>
      </rPr>
      <t>(1.7/2.1)</t>
    </r>
  </si>
  <si>
    <r>
      <t>0.415</t>
    </r>
    <r>
      <rPr>
        <sz val="8.4"/>
        <color rgb="FFB4B7BD"/>
        <rFont val="Helvetica"/>
        <family val="2"/>
      </rPr>
      <t>(4.7/11.4)</t>
    </r>
  </si>
  <si>
    <r>
      <t>0.829</t>
    </r>
    <r>
      <rPr>
        <sz val="8.4"/>
        <color rgb="FFB4B7BD"/>
        <rFont val="Helvetica"/>
        <family val="2"/>
      </rPr>
      <t>(2.0/2.5)</t>
    </r>
  </si>
  <si>
    <r>
      <t>0.505</t>
    </r>
    <r>
      <rPr>
        <sz val="8.4"/>
        <color rgb="FFB4B7BD"/>
        <rFont val="Helvetica"/>
        <family val="2"/>
      </rPr>
      <t>(4.8/9.5)</t>
    </r>
  </si>
  <si>
    <r>
      <t>0.756</t>
    </r>
    <r>
      <rPr>
        <sz val="8.4"/>
        <color rgb="FFB4B7BD"/>
        <rFont val="Helvetica"/>
        <family val="2"/>
      </rPr>
      <t>(1.3/1.7)</t>
    </r>
  </si>
  <si>
    <r>
      <t>0.603</t>
    </r>
    <r>
      <rPr>
        <sz val="8.4"/>
        <color rgb="FFB4B7BD"/>
        <rFont val="Helvetica"/>
        <family val="2"/>
      </rPr>
      <t>(3.5/5.7)</t>
    </r>
  </si>
  <si>
    <r>
      <t>0.678</t>
    </r>
    <r>
      <rPr>
        <sz val="8.4"/>
        <color rgb="FFB4B7BD"/>
        <rFont val="Helvetica"/>
        <family val="2"/>
      </rPr>
      <t>(1.7/2.5)</t>
    </r>
  </si>
  <si>
    <t>Adama Bal</t>
  </si>
  <si>
    <r>
      <t>0.412</t>
    </r>
    <r>
      <rPr>
        <sz val="8.4"/>
        <color rgb="FFB4B7BD"/>
        <rFont val="Helvetica"/>
        <family val="2"/>
      </rPr>
      <t>(3.5/8.5)</t>
    </r>
  </si>
  <si>
    <r>
      <t>0.900</t>
    </r>
    <r>
      <rPr>
        <sz val="8.4"/>
        <color rgb="FFB4B7BD"/>
        <rFont val="Helvetica"/>
        <family val="2"/>
      </rPr>
      <t>(1.1/1.3)</t>
    </r>
  </si>
  <si>
    <r>
      <t>0.460</t>
    </r>
    <r>
      <rPr>
        <sz val="8.4"/>
        <color rgb="FFB4B7BD"/>
        <rFont val="Helvetica"/>
        <family val="2"/>
      </rPr>
      <t>(5.3/11.4)</t>
    </r>
  </si>
  <si>
    <r>
      <t>0.826</t>
    </r>
    <r>
      <rPr>
        <sz val="8.4"/>
        <color rgb="FFB4B7BD"/>
        <rFont val="Helvetica"/>
        <family val="2"/>
      </rPr>
      <t>(2.2/2.7)</t>
    </r>
  </si>
  <si>
    <t>MyRAnk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</si>
</sst>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22">
    <font>
      <sz val="12"/>
      <color theme="1"/>
      <name val="Calibri"/>
      <family val="2"/>
      <scheme val="minor"/>
    </font>
    <font>
      <sz val="8.4"/>
      <color rgb="FF22292F"/>
      <name val="Helvetica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22292F"/>
      <name val="Helvetica"/>
      <family val="2"/>
    </font>
    <font>
      <b/>
      <sz val="14"/>
      <color rgb="FF0E0E0E"/>
      <name val=".SF NS"/>
    </font>
    <font>
      <sz val="14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232A31"/>
      <name val="Helvetica Neue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4"/>
      <color rgb="FF22292F"/>
      <name val="Helvetica"/>
      <family val="2"/>
    </font>
    <font>
      <sz val="14"/>
      <color rgb="FF999999"/>
      <name val="Helvetica"/>
      <family val="2"/>
    </font>
    <font>
      <b/>
      <sz val="11"/>
      <color rgb="FF48494A"/>
      <name val="Arial"/>
      <family val="2"/>
    </font>
    <font>
      <sz val="12"/>
      <color rgb="FF6C6D6F"/>
      <name val="Arial"/>
      <family val="2"/>
    </font>
    <font>
      <b/>
      <sz val="12"/>
      <color rgb="FF6C6D6F"/>
      <name val="Arial"/>
      <family val="2"/>
    </font>
    <font>
      <sz val="14"/>
      <color rgb="FFB4B7BD"/>
      <name val="Helvetica"/>
      <family val="2"/>
    </font>
    <font>
      <sz val="8.4"/>
      <color rgb="FFB4B7BD"/>
      <name val="Helvetica"/>
      <family val="2"/>
    </font>
    <font>
      <sz val="10"/>
      <name val="Arial"/>
      <family val="2"/>
    </font>
    <font>
      <sz val="12"/>
      <color rgb="FFB4B7BD"/>
      <name val="Helvetica"/>
      <family val="2"/>
    </font>
    <font>
      <b/>
      <sz val="12"/>
      <color rgb="FFB4B7BD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/>
    <xf numFmtId="9" fontId="0" fillId="0" borderId="0" xfId="0" applyNumberFormat="1"/>
    <xf numFmtId="0" fontId="4" fillId="0" borderId="0" xfId="0" applyFont="1"/>
    <xf numFmtId="10" fontId="0" fillId="0" borderId="0" xfId="2" applyNumberFormat="1" applyFont="1"/>
    <xf numFmtId="9" fontId="0" fillId="0" borderId="0" xfId="2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/>
    </xf>
    <xf numFmtId="0" fontId="5" fillId="0" borderId="0" xfId="0" applyFont="1"/>
    <xf numFmtId="2" fontId="0" fillId="0" borderId="0" xfId="2" applyNumberFormat="1" applyFont="1"/>
    <xf numFmtId="2" fontId="2" fillId="0" borderId="0" xfId="1" applyNumberFormat="1"/>
    <xf numFmtId="0" fontId="6" fillId="0" borderId="0" xfId="0" applyFont="1"/>
    <xf numFmtId="9" fontId="0" fillId="0" borderId="0" xfId="2" applyFont="1" applyAlignment="1">
      <alignment horizontal="right"/>
    </xf>
    <xf numFmtId="0" fontId="7" fillId="0" borderId="0" xfId="0" applyFont="1"/>
    <xf numFmtId="2" fontId="7" fillId="0" borderId="0" xfId="0" applyNumberFormat="1" applyFont="1"/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2" borderId="0" xfId="1" applyFill="1"/>
    <xf numFmtId="0" fontId="14" fillId="0" borderId="0" xfId="0" applyFont="1"/>
    <xf numFmtId="0" fontId="16" fillId="0" borderId="0" xfId="0" applyFont="1"/>
    <xf numFmtId="0" fontId="15" fillId="0" borderId="0" xfId="0" applyFont="1"/>
    <xf numFmtId="0" fontId="0" fillId="0" borderId="0" xfId="2" applyNumberFormat="1" applyFont="1"/>
    <xf numFmtId="9" fontId="0" fillId="0" borderId="0" xfId="2" applyFont="1" applyAlignment="1">
      <alignment horizontal="center"/>
    </xf>
    <xf numFmtId="2" fontId="8" fillId="0" borderId="0" xfId="0" applyNumberFormat="1" applyFont="1"/>
    <xf numFmtId="164" fontId="8" fillId="0" borderId="0" xfId="0" applyNumberFormat="1" applyFont="1"/>
    <xf numFmtId="166" fontId="0" fillId="0" borderId="0" xfId="2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7" fillId="0" borderId="0" xfId="2" applyNumberFormat="1" applyFont="1" applyAlignment="1">
      <alignment horizontal="center"/>
    </xf>
    <xf numFmtId="2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6" fillId="3" borderId="0" xfId="0" applyFont="1" applyFill="1"/>
    <xf numFmtId="0" fontId="17" fillId="0" borderId="0" xfId="0" applyFont="1"/>
    <xf numFmtId="0" fontId="19" fillId="0" borderId="0" xfId="0" applyFont="1"/>
    <xf numFmtId="165" fontId="19" fillId="0" borderId="0" xfId="0" applyNumberFormat="1" applyFont="1"/>
    <xf numFmtId="2" fontId="19" fillId="0" borderId="0" xfId="0" applyNumberFormat="1" applyFont="1"/>
    <xf numFmtId="0" fontId="20" fillId="0" borderId="0" xfId="0" applyFont="1"/>
    <xf numFmtId="0" fontId="21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ContentPlaceHolder1$GridView1','Sort$tur')" TargetMode="External"/><Relationship Id="rId21" Type="http://schemas.openxmlformats.org/officeDocument/2006/relationships/hyperlink" Target="javascript:__doPostBack('ctl00$ContentPlaceHolder1$GridView1','Sort$tgm')" TargetMode="External"/><Relationship Id="rId42" Type="http://schemas.openxmlformats.org/officeDocument/2006/relationships/hyperlink" Target="javascript:__doPostBack('ctl00$ContentPlaceHolder1$GridView1','Sort$ast')" TargetMode="External"/><Relationship Id="rId63" Type="http://schemas.openxmlformats.org/officeDocument/2006/relationships/hyperlink" Target="javascript:__doPostBack('ctl00$ContentPlaceHolder1$GridView1','Sort$tur')" TargetMode="External"/><Relationship Id="rId84" Type="http://schemas.openxmlformats.org/officeDocument/2006/relationships/hyperlink" Target="javascript:__doPostBack('ctl00$ContentPlaceHolder1$GridView1','Sort$tgm')" TargetMode="External"/><Relationship Id="rId138" Type="http://schemas.openxmlformats.org/officeDocument/2006/relationships/hyperlink" Target="javascript:__doPostBack('ctl00$ContentPlaceHolder1$GridView1','Sort$tgm')" TargetMode="External"/><Relationship Id="rId107" Type="http://schemas.openxmlformats.org/officeDocument/2006/relationships/hyperlink" Target="javascript:__doPostBack('ctl00$ContentPlaceHolder1$GridView1','Sort$blk')" TargetMode="External"/><Relationship Id="rId11" Type="http://schemas.openxmlformats.org/officeDocument/2006/relationships/hyperlink" Target="javascript:__doPostBack('ctl00$ContentPlaceHolder1$GridView1','Sort$ftp')" TargetMode="External"/><Relationship Id="rId32" Type="http://schemas.openxmlformats.org/officeDocument/2006/relationships/hyperlink" Target="javascript:__doPostBack('ctl00$ContentPlaceHolder1$GridView1','Sort$reb')" TargetMode="External"/><Relationship Id="rId37" Type="http://schemas.openxmlformats.org/officeDocument/2006/relationships/hyperlink" Target="javascript:__doPostBack('ctl00$ContentPlaceHolder1$GridView1','Sort$fgp')" TargetMode="External"/><Relationship Id="rId53" Type="http://schemas.openxmlformats.org/officeDocument/2006/relationships/hyperlink" Target="javascript:__doPostBack('ctl00$ContentPlaceHolder1$GridView1','Sort$blk')" TargetMode="External"/><Relationship Id="rId58" Type="http://schemas.openxmlformats.org/officeDocument/2006/relationships/hyperlink" Target="javascript:__doPostBack('ctl00$ContentPlaceHolder1$GridView1','Sort$pts')" TargetMode="External"/><Relationship Id="rId74" Type="http://schemas.openxmlformats.org/officeDocument/2006/relationships/hyperlink" Target="javascript:__doPostBack('ctl00$ContentPlaceHolder1$GridView1','Sort$ftp')" TargetMode="External"/><Relationship Id="rId79" Type="http://schemas.openxmlformats.org/officeDocument/2006/relationships/hyperlink" Target="javascript:__doPostBack('ctl00$ContentPlaceHolder1$GridView1','Sort$stl')" TargetMode="External"/><Relationship Id="rId102" Type="http://schemas.openxmlformats.org/officeDocument/2006/relationships/hyperlink" Target="javascript:__doPostBack('ctl00$ContentPlaceHolder1$GridView1','Sort$tgm')" TargetMode="External"/><Relationship Id="rId123" Type="http://schemas.openxmlformats.org/officeDocument/2006/relationships/hyperlink" Target="javascript:__doPostBack('ctl00$ContentPlaceHolder1$GridView1','Sort$ast')" TargetMode="External"/><Relationship Id="rId128" Type="http://schemas.openxmlformats.org/officeDocument/2006/relationships/hyperlink" Target="javascript:__doPostBack('ctl00$ContentPlaceHolder1$GridView1','Sort$ftp')" TargetMode="External"/><Relationship Id="rId144" Type="http://schemas.openxmlformats.org/officeDocument/2006/relationships/hyperlink" Target="javascript:__doPostBack('ctl00$ContentPlaceHolder1$GridView1','Sort$tur')" TargetMode="External"/><Relationship Id="rId5" Type="http://schemas.openxmlformats.org/officeDocument/2006/relationships/hyperlink" Target="javascript:__doPostBack('ctl00$ContentPlaceHolder1$GridView1','Sort$reb')" TargetMode="External"/><Relationship Id="rId90" Type="http://schemas.openxmlformats.org/officeDocument/2006/relationships/hyperlink" Target="javascript:__doPostBack('ctl00$ContentPlaceHolder1$GridView1','Sort$tur')" TargetMode="External"/><Relationship Id="rId95" Type="http://schemas.openxmlformats.org/officeDocument/2006/relationships/hyperlink" Target="javascript:__doPostBack('ctl00$ContentPlaceHolder1$GridView1','Sort$reb')" TargetMode="External"/><Relationship Id="rId22" Type="http://schemas.openxmlformats.org/officeDocument/2006/relationships/hyperlink" Target="javascript:__doPostBack('ctl00$ContentPlaceHolder1$GridView1','Sort$pts')" TargetMode="External"/><Relationship Id="rId27" Type="http://schemas.openxmlformats.org/officeDocument/2006/relationships/hyperlink" Target="javascript:__doPostBack('ctl00$ContentPlaceHolder1$GridView1','Sort$tur')" TargetMode="External"/><Relationship Id="rId43" Type="http://schemas.openxmlformats.org/officeDocument/2006/relationships/hyperlink" Target="javascript:__doPostBack('ctl00$ContentPlaceHolder1$GridView1','Sort$stl')" TargetMode="External"/><Relationship Id="rId48" Type="http://schemas.openxmlformats.org/officeDocument/2006/relationships/hyperlink" Target="javascript:__doPostBack('ctl00$ContentPlaceHolder1$GridView1','Sort$tgm')" TargetMode="External"/><Relationship Id="rId64" Type="http://schemas.openxmlformats.org/officeDocument/2006/relationships/hyperlink" Target="javascript:__doPostBack('ctl00$ContentPlaceHolder1$GridView1','Sort$fgp')" TargetMode="External"/><Relationship Id="rId69" Type="http://schemas.openxmlformats.org/officeDocument/2006/relationships/hyperlink" Target="javascript:__doPostBack('ctl00$ContentPlaceHolder1$GridView1','Sort$ast')" TargetMode="External"/><Relationship Id="rId113" Type="http://schemas.openxmlformats.org/officeDocument/2006/relationships/hyperlink" Target="javascript:__doPostBack('ctl00$ContentPlaceHolder1$GridView1','Sort$reb')" TargetMode="External"/><Relationship Id="rId118" Type="http://schemas.openxmlformats.org/officeDocument/2006/relationships/hyperlink" Target="javascript:__doPostBack('ctl00$ContentPlaceHolder1$GridView1','Sort$fgp')" TargetMode="External"/><Relationship Id="rId134" Type="http://schemas.openxmlformats.org/officeDocument/2006/relationships/hyperlink" Target="javascript:__doPostBack('ctl00$ContentPlaceHolder1$GridView1','Sort$blk')" TargetMode="External"/><Relationship Id="rId139" Type="http://schemas.openxmlformats.org/officeDocument/2006/relationships/hyperlink" Target="javascript:__doPostBack('ctl00$ContentPlaceHolder1$GridView1','Sort$pts')" TargetMode="External"/><Relationship Id="rId80" Type="http://schemas.openxmlformats.org/officeDocument/2006/relationships/hyperlink" Target="javascript:__doPostBack('ctl00$ContentPlaceHolder1$GridView1','Sort$blk')" TargetMode="External"/><Relationship Id="rId85" Type="http://schemas.openxmlformats.org/officeDocument/2006/relationships/hyperlink" Target="javascript:__doPostBack('ctl00$ContentPlaceHolder1$GridView1','Sort$pts')" TargetMode="External"/><Relationship Id="rId12" Type="http://schemas.openxmlformats.org/officeDocument/2006/relationships/hyperlink" Target="javascript:__doPostBack('ctl00$ContentPlaceHolder1$GridView1','Sort$tgm')" TargetMode="External"/><Relationship Id="rId17" Type="http://schemas.openxmlformats.org/officeDocument/2006/relationships/hyperlink" Target="javascript:__doPostBack('ctl00$ContentPlaceHolder1$GridView1','Sort$blk')" TargetMode="External"/><Relationship Id="rId33" Type="http://schemas.openxmlformats.org/officeDocument/2006/relationships/hyperlink" Target="javascript:__doPostBack('ctl00$ContentPlaceHolder1$GridView1','Sort$ast')" TargetMode="External"/><Relationship Id="rId38" Type="http://schemas.openxmlformats.org/officeDocument/2006/relationships/hyperlink" Target="javascript:__doPostBack('ctl00$ContentPlaceHolder1$GridView1','Sort$ftp')" TargetMode="External"/><Relationship Id="rId59" Type="http://schemas.openxmlformats.org/officeDocument/2006/relationships/hyperlink" Target="javascript:__doPostBack('ctl00$ContentPlaceHolder1$GridView1','Sort$reb')" TargetMode="External"/><Relationship Id="rId103" Type="http://schemas.openxmlformats.org/officeDocument/2006/relationships/hyperlink" Target="javascript:__doPostBack('ctl00$ContentPlaceHolder1$GridView1','Sort$pts')" TargetMode="External"/><Relationship Id="rId108" Type="http://schemas.openxmlformats.org/officeDocument/2006/relationships/hyperlink" Target="javascript:__doPostBack('ctl00$ContentPlaceHolder1$GridView1','Sort$tur')" TargetMode="External"/><Relationship Id="rId124" Type="http://schemas.openxmlformats.org/officeDocument/2006/relationships/hyperlink" Target="javascript:__doPostBack('ctl00$ContentPlaceHolder1$GridView1','Sort$stl')" TargetMode="External"/><Relationship Id="rId129" Type="http://schemas.openxmlformats.org/officeDocument/2006/relationships/hyperlink" Target="javascript:__doPostBack('ctl00$ContentPlaceHolder1$GridView1','Sort$tgm')" TargetMode="External"/><Relationship Id="rId54" Type="http://schemas.openxmlformats.org/officeDocument/2006/relationships/hyperlink" Target="javascript:__doPostBack('ctl00$ContentPlaceHolder1$GridView1','Sort$tur')" TargetMode="External"/><Relationship Id="rId70" Type="http://schemas.openxmlformats.org/officeDocument/2006/relationships/hyperlink" Target="javascript:__doPostBack('ctl00$ContentPlaceHolder1$GridView1','Sort$stl')" TargetMode="External"/><Relationship Id="rId75" Type="http://schemas.openxmlformats.org/officeDocument/2006/relationships/hyperlink" Target="javascript:__doPostBack('ctl00$ContentPlaceHolder1$GridView1','Sort$tgm')" TargetMode="External"/><Relationship Id="rId91" Type="http://schemas.openxmlformats.org/officeDocument/2006/relationships/hyperlink" Target="javascript:__doPostBack('ctl00$ContentPlaceHolder1$GridView1','Sort$fgp')" TargetMode="External"/><Relationship Id="rId96" Type="http://schemas.openxmlformats.org/officeDocument/2006/relationships/hyperlink" Target="javascript:__doPostBack('ctl00$ContentPlaceHolder1$GridView1','Sort$ast')" TargetMode="External"/><Relationship Id="rId140" Type="http://schemas.openxmlformats.org/officeDocument/2006/relationships/hyperlink" Target="javascript:__doPostBack('ctl00$ContentPlaceHolder1$GridView1','Sort$reb')" TargetMode="External"/><Relationship Id="rId1" Type="http://schemas.openxmlformats.org/officeDocument/2006/relationships/hyperlink" Target="javascript:__doPostBack('ctl00$ContentPlaceHolder1$GridView1','Sort$fgp')" TargetMode="External"/><Relationship Id="rId6" Type="http://schemas.openxmlformats.org/officeDocument/2006/relationships/hyperlink" Target="javascript:__doPostBack('ctl00$ContentPlaceHolder1$GridView1','Sort$ast')" TargetMode="External"/><Relationship Id="rId23" Type="http://schemas.openxmlformats.org/officeDocument/2006/relationships/hyperlink" Target="javascript:__doPostBack('ctl00$ContentPlaceHolder1$GridView1','Sort$reb')" TargetMode="External"/><Relationship Id="rId28" Type="http://schemas.openxmlformats.org/officeDocument/2006/relationships/hyperlink" Target="javascript:__doPostBack('ctl00$ContentPlaceHolder1$GridView1','Sort$fgp')" TargetMode="External"/><Relationship Id="rId49" Type="http://schemas.openxmlformats.org/officeDocument/2006/relationships/hyperlink" Target="javascript:__doPostBack('ctl00$ContentPlaceHolder1$GridView1','Sort$pts')" TargetMode="External"/><Relationship Id="rId114" Type="http://schemas.openxmlformats.org/officeDocument/2006/relationships/hyperlink" Target="javascript:__doPostBack('ctl00$ContentPlaceHolder1$GridView1','Sort$ast')" TargetMode="External"/><Relationship Id="rId119" Type="http://schemas.openxmlformats.org/officeDocument/2006/relationships/hyperlink" Target="javascript:__doPostBack('ctl00$ContentPlaceHolder1$GridView1','Sort$ftp')" TargetMode="External"/><Relationship Id="rId44" Type="http://schemas.openxmlformats.org/officeDocument/2006/relationships/hyperlink" Target="javascript:__doPostBack('ctl00$ContentPlaceHolder1$GridView1','Sort$blk')" TargetMode="External"/><Relationship Id="rId60" Type="http://schemas.openxmlformats.org/officeDocument/2006/relationships/hyperlink" Target="javascript:__doPostBack('ctl00$ContentPlaceHolder1$GridView1','Sort$ast')" TargetMode="External"/><Relationship Id="rId65" Type="http://schemas.openxmlformats.org/officeDocument/2006/relationships/hyperlink" Target="javascript:__doPostBack('ctl00$ContentPlaceHolder1$GridView1','Sort$ftp')" TargetMode="External"/><Relationship Id="rId81" Type="http://schemas.openxmlformats.org/officeDocument/2006/relationships/hyperlink" Target="javascript:__doPostBack('ctl00$ContentPlaceHolder1$GridView1','Sort$tur')" TargetMode="External"/><Relationship Id="rId86" Type="http://schemas.openxmlformats.org/officeDocument/2006/relationships/hyperlink" Target="javascript:__doPostBack('ctl00$ContentPlaceHolder1$GridView1','Sort$reb')" TargetMode="External"/><Relationship Id="rId130" Type="http://schemas.openxmlformats.org/officeDocument/2006/relationships/hyperlink" Target="javascript:__doPostBack('ctl00$ContentPlaceHolder1$GridView1','Sort$pts')" TargetMode="External"/><Relationship Id="rId135" Type="http://schemas.openxmlformats.org/officeDocument/2006/relationships/hyperlink" Target="javascript:__doPostBack('ctl00$ContentPlaceHolder1$GridView1','Sort$tur')" TargetMode="External"/><Relationship Id="rId13" Type="http://schemas.openxmlformats.org/officeDocument/2006/relationships/hyperlink" Target="javascript:__doPostBack('ctl00$ContentPlaceHolder1$GridView1','Sort$pts')" TargetMode="External"/><Relationship Id="rId18" Type="http://schemas.openxmlformats.org/officeDocument/2006/relationships/hyperlink" Target="javascript:__doPostBack('ctl00$ContentPlaceHolder1$GridView1','Sort$tur')" TargetMode="External"/><Relationship Id="rId39" Type="http://schemas.openxmlformats.org/officeDocument/2006/relationships/hyperlink" Target="javascript:__doPostBack('ctl00$ContentPlaceHolder1$GridView1','Sort$tgm')" TargetMode="External"/><Relationship Id="rId109" Type="http://schemas.openxmlformats.org/officeDocument/2006/relationships/hyperlink" Target="javascript:__doPostBack('ctl00$ContentPlaceHolder1$GridView1','Sort$fgp')" TargetMode="External"/><Relationship Id="rId34" Type="http://schemas.openxmlformats.org/officeDocument/2006/relationships/hyperlink" Target="javascript:__doPostBack('ctl00$ContentPlaceHolder1$GridView1','Sort$stl')" TargetMode="External"/><Relationship Id="rId50" Type="http://schemas.openxmlformats.org/officeDocument/2006/relationships/hyperlink" Target="javascript:__doPostBack('ctl00$ContentPlaceHolder1$GridView1','Sort$reb')" TargetMode="External"/><Relationship Id="rId55" Type="http://schemas.openxmlformats.org/officeDocument/2006/relationships/hyperlink" Target="javascript:__doPostBack('ctl00$ContentPlaceHolder1$GridView1','Sort$fgp')" TargetMode="External"/><Relationship Id="rId76" Type="http://schemas.openxmlformats.org/officeDocument/2006/relationships/hyperlink" Target="javascript:__doPostBack('ctl00$ContentPlaceHolder1$GridView1','Sort$pts')" TargetMode="External"/><Relationship Id="rId97" Type="http://schemas.openxmlformats.org/officeDocument/2006/relationships/hyperlink" Target="javascript:__doPostBack('ctl00$ContentPlaceHolder1$GridView1','Sort$stl')" TargetMode="External"/><Relationship Id="rId104" Type="http://schemas.openxmlformats.org/officeDocument/2006/relationships/hyperlink" Target="javascript:__doPostBack('ctl00$ContentPlaceHolder1$GridView1','Sort$reb')" TargetMode="External"/><Relationship Id="rId120" Type="http://schemas.openxmlformats.org/officeDocument/2006/relationships/hyperlink" Target="javascript:__doPostBack('ctl00$ContentPlaceHolder1$GridView1','Sort$tgm')" TargetMode="External"/><Relationship Id="rId125" Type="http://schemas.openxmlformats.org/officeDocument/2006/relationships/hyperlink" Target="javascript:__doPostBack('ctl00$ContentPlaceHolder1$GridView1','Sort$blk')" TargetMode="External"/><Relationship Id="rId141" Type="http://schemas.openxmlformats.org/officeDocument/2006/relationships/hyperlink" Target="javascript:__doPostBack('ctl00$ContentPlaceHolder1$GridView1','Sort$ast')" TargetMode="External"/><Relationship Id="rId7" Type="http://schemas.openxmlformats.org/officeDocument/2006/relationships/hyperlink" Target="javascript:__doPostBack('ctl00$ContentPlaceHolder1$GridView1','Sort$stl')" TargetMode="External"/><Relationship Id="rId71" Type="http://schemas.openxmlformats.org/officeDocument/2006/relationships/hyperlink" Target="javascript:__doPostBack('ctl00$ContentPlaceHolder1$GridView1','Sort$blk')" TargetMode="External"/><Relationship Id="rId92" Type="http://schemas.openxmlformats.org/officeDocument/2006/relationships/hyperlink" Target="javascript:__doPostBack('ctl00$ContentPlaceHolder1$GridView1','Sort$ftp')" TargetMode="External"/><Relationship Id="rId2" Type="http://schemas.openxmlformats.org/officeDocument/2006/relationships/hyperlink" Target="javascript:__doPostBack('ctl00$ContentPlaceHolder1$GridView1','Sort$ftp')" TargetMode="External"/><Relationship Id="rId29" Type="http://schemas.openxmlformats.org/officeDocument/2006/relationships/hyperlink" Target="javascript:__doPostBack('ctl00$ContentPlaceHolder1$GridView1','Sort$ftp')" TargetMode="External"/><Relationship Id="rId24" Type="http://schemas.openxmlformats.org/officeDocument/2006/relationships/hyperlink" Target="javascript:__doPostBack('ctl00$ContentPlaceHolder1$GridView1','Sort$ast')" TargetMode="External"/><Relationship Id="rId40" Type="http://schemas.openxmlformats.org/officeDocument/2006/relationships/hyperlink" Target="javascript:__doPostBack('ctl00$ContentPlaceHolder1$GridView1','Sort$pts')" TargetMode="External"/><Relationship Id="rId45" Type="http://schemas.openxmlformats.org/officeDocument/2006/relationships/hyperlink" Target="javascript:__doPostBack('ctl00$ContentPlaceHolder1$GridView1','Sort$tur')" TargetMode="External"/><Relationship Id="rId66" Type="http://schemas.openxmlformats.org/officeDocument/2006/relationships/hyperlink" Target="javascript:__doPostBack('ctl00$ContentPlaceHolder1$GridView1','Sort$tgm')" TargetMode="External"/><Relationship Id="rId87" Type="http://schemas.openxmlformats.org/officeDocument/2006/relationships/hyperlink" Target="javascript:__doPostBack('ctl00$ContentPlaceHolder1$GridView1','Sort$ast')" TargetMode="External"/><Relationship Id="rId110" Type="http://schemas.openxmlformats.org/officeDocument/2006/relationships/hyperlink" Target="javascript:__doPostBack('ctl00$ContentPlaceHolder1$GridView1','Sort$ftp')" TargetMode="External"/><Relationship Id="rId115" Type="http://schemas.openxmlformats.org/officeDocument/2006/relationships/hyperlink" Target="javascript:__doPostBack('ctl00$ContentPlaceHolder1$GridView1','Sort$stl')" TargetMode="External"/><Relationship Id="rId131" Type="http://schemas.openxmlformats.org/officeDocument/2006/relationships/hyperlink" Target="javascript:__doPostBack('ctl00$ContentPlaceHolder1$GridView1','Sort$reb')" TargetMode="External"/><Relationship Id="rId136" Type="http://schemas.openxmlformats.org/officeDocument/2006/relationships/hyperlink" Target="javascript:__doPostBack('ctl00$ContentPlaceHolder1$GridView1','Sort$fgp')" TargetMode="External"/><Relationship Id="rId61" Type="http://schemas.openxmlformats.org/officeDocument/2006/relationships/hyperlink" Target="javascript:__doPostBack('ctl00$ContentPlaceHolder1$GridView1','Sort$stl')" TargetMode="External"/><Relationship Id="rId82" Type="http://schemas.openxmlformats.org/officeDocument/2006/relationships/hyperlink" Target="javascript:__doPostBack('ctl00$ContentPlaceHolder1$GridView1','Sort$fgp')" TargetMode="External"/><Relationship Id="rId19" Type="http://schemas.openxmlformats.org/officeDocument/2006/relationships/hyperlink" Target="javascript:__doPostBack('ctl00$ContentPlaceHolder1$GridView1','Sort$fgp')" TargetMode="External"/><Relationship Id="rId14" Type="http://schemas.openxmlformats.org/officeDocument/2006/relationships/hyperlink" Target="javascript:__doPostBack('ctl00$ContentPlaceHolder1$GridView1','Sort$reb')" TargetMode="External"/><Relationship Id="rId30" Type="http://schemas.openxmlformats.org/officeDocument/2006/relationships/hyperlink" Target="javascript:__doPostBack('ctl00$ContentPlaceHolder1$GridView1','Sort$tgm')" TargetMode="External"/><Relationship Id="rId35" Type="http://schemas.openxmlformats.org/officeDocument/2006/relationships/hyperlink" Target="javascript:__doPostBack('ctl00$ContentPlaceHolder1$GridView1','Sort$blk')" TargetMode="External"/><Relationship Id="rId56" Type="http://schemas.openxmlformats.org/officeDocument/2006/relationships/hyperlink" Target="javascript:__doPostBack('ctl00$ContentPlaceHolder1$GridView1','Sort$ftp')" TargetMode="External"/><Relationship Id="rId77" Type="http://schemas.openxmlformats.org/officeDocument/2006/relationships/hyperlink" Target="javascript:__doPostBack('ctl00$ContentPlaceHolder1$GridView1','Sort$reb')" TargetMode="External"/><Relationship Id="rId100" Type="http://schemas.openxmlformats.org/officeDocument/2006/relationships/hyperlink" Target="javascript:__doPostBack('ctl00$ContentPlaceHolder1$GridView1','Sort$fgp')" TargetMode="External"/><Relationship Id="rId105" Type="http://schemas.openxmlformats.org/officeDocument/2006/relationships/hyperlink" Target="javascript:__doPostBack('ctl00$ContentPlaceHolder1$GridView1','Sort$ast')" TargetMode="External"/><Relationship Id="rId126" Type="http://schemas.openxmlformats.org/officeDocument/2006/relationships/hyperlink" Target="javascript:__doPostBack('ctl00$ContentPlaceHolder1$GridView1','Sort$tur')" TargetMode="External"/><Relationship Id="rId8" Type="http://schemas.openxmlformats.org/officeDocument/2006/relationships/hyperlink" Target="javascript:__doPostBack('ctl00$ContentPlaceHolder1$GridView1','Sort$blk')" TargetMode="External"/><Relationship Id="rId51" Type="http://schemas.openxmlformats.org/officeDocument/2006/relationships/hyperlink" Target="javascript:__doPostBack('ctl00$ContentPlaceHolder1$GridView1','Sort$ast')" TargetMode="External"/><Relationship Id="rId72" Type="http://schemas.openxmlformats.org/officeDocument/2006/relationships/hyperlink" Target="javascript:__doPostBack('ctl00$ContentPlaceHolder1$GridView1','Sort$tur')" TargetMode="External"/><Relationship Id="rId93" Type="http://schemas.openxmlformats.org/officeDocument/2006/relationships/hyperlink" Target="javascript:__doPostBack('ctl00$ContentPlaceHolder1$GridView1','Sort$tgm')" TargetMode="External"/><Relationship Id="rId98" Type="http://schemas.openxmlformats.org/officeDocument/2006/relationships/hyperlink" Target="javascript:__doPostBack('ctl00$ContentPlaceHolder1$GridView1','Sort$blk')" TargetMode="External"/><Relationship Id="rId121" Type="http://schemas.openxmlformats.org/officeDocument/2006/relationships/hyperlink" Target="javascript:__doPostBack('ctl00$ContentPlaceHolder1$GridView1','Sort$pts')" TargetMode="External"/><Relationship Id="rId142" Type="http://schemas.openxmlformats.org/officeDocument/2006/relationships/hyperlink" Target="javascript:__doPostBack('ctl00$ContentPlaceHolder1$GridView1','Sort$stl')" TargetMode="External"/><Relationship Id="rId3" Type="http://schemas.openxmlformats.org/officeDocument/2006/relationships/hyperlink" Target="javascript:__doPostBack('ctl00$ContentPlaceHolder1$GridView1','Sort$tgm')" TargetMode="External"/><Relationship Id="rId25" Type="http://schemas.openxmlformats.org/officeDocument/2006/relationships/hyperlink" Target="javascript:__doPostBack('ctl00$ContentPlaceHolder1$GridView1','Sort$stl')" TargetMode="External"/><Relationship Id="rId46" Type="http://schemas.openxmlformats.org/officeDocument/2006/relationships/hyperlink" Target="javascript:__doPostBack('ctl00$ContentPlaceHolder1$GridView1','Sort$fgp')" TargetMode="External"/><Relationship Id="rId67" Type="http://schemas.openxmlformats.org/officeDocument/2006/relationships/hyperlink" Target="javascript:__doPostBack('ctl00$ContentPlaceHolder1$GridView1','Sort$pts')" TargetMode="External"/><Relationship Id="rId116" Type="http://schemas.openxmlformats.org/officeDocument/2006/relationships/hyperlink" Target="javascript:__doPostBack('ctl00$ContentPlaceHolder1$GridView1','Sort$blk')" TargetMode="External"/><Relationship Id="rId137" Type="http://schemas.openxmlformats.org/officeDocument/2006/relationships/hyperlink" Target="javascript:__doPostBack('ctl00$ContentPlaceHolder1$GridView1','Sort$ftp')" TargetMode="External"/><Relationship Id="rId20" Type="http://schemas.openxmlformats.org/officeDocument/2006/relationships/hyperlink" Target="javascript:__doPostBack('ctl00$ContentPlaceHolder1$GridView1','Sort$ftp')" TargetMode="External"/><Relationship Id="rId41" Type="http://schemas.openxmlformats.org/officeDocument/2006/relationships/hyperlink" Target="javascript:__doPostBack('ctl00$ContentPlaceHolder1$GridView1','Sort$reb')" TargetMode="External"/><Relationship Id="rId62" Type="http://schemas.openxmlformats.org/officeDocument/2006/relationships/hyperlink" Target="javascript:__doPostBack('ctl00$ContentPlaceHolder1$GridView1','Sort$blk')" TargetMode="External"/><Relationship Id="rId83" Type="http://schemas.openxmlformats.org/officeDocument/2006/relationships/hyperlink" Target="javascript:__doPostBack('ctl00$ContentPlaceHolder1$GridView1','Sort$ftp')" TargetMode="External"/><Relationship Id="rId88" Type="http://schemas.openxmlformats.org/officeDocument/2006/relationships/hyperlink" Target="javascript:__doPostBack('ctl00$ContentPlaceHolder1$GridView1','Sort$stl')" TargetMode="External"/><Relationship Id="rId111" Type="http://schemas.openxmlformats.org/officeDocument/2006/relationships/hyperlink" Target="javascript:__doPostBack('ctl00$ContentPlaceHolder1$GridView1','Sort$tgm')" TargetMode="External"/><Relationship Id="rId132" Type="http://schemas.openxmlformats.org/officeDocument/2006/relationships/hyperlink" Target="javascript:__doPostBack('ctl00$ContentPlaceHolder1$GridView1','Sort$ast')" TargetMode="External"/><Relationship Id="rId15" Type="http://schemas.openxmlformats.org/officeDocument/2006/relationships/hyperlink" Target="javascript:__doPostBack('ctl00$ContentPlaceHolder1$GridView1','Sort$ast')" TargetMode="External"/><Relationship Id="rId36" Type="http://schemas.openxmlformats.org/officeDocument/2006/relationships/hyperlink" Target="javascript:__doPostBack('ctl00$ContentPlaceHolder1$GridView1','Sort$tur')" TargetMode="External"/><Relationship Id="rId57" Type="http://schemas.openxmlformats.org/officeDocument/2006/relationships/hyperlink" Target="javascript:__doPostBack('ctl00$ContentPlaceHolder1$GridView1','Sort$tgm')" TargetMode="External"/><Relationship Id="rId106" Type="http://schemas.openxmlformats.org/officeDocument/2006/relationships/hyperlink" Target="javascript:__doPostBack('ctl00$ContentPlaceHolder1$GridView1','Sort$stl')" TargetMode="External"/><Relationship Id="rId127" Type="http://schemas.openxmlformats.org/officeDocument/2006/relationships/hyperlink" Target="javascript:__doPostBack('ctl00$ContentPlaceHolder1$GridView1','Sort$fgp')" TargetMode="External"/><Relationship Id="rId10" Type="http://schemas.openxmlformats.org/officeDocument/2006/relationships/hyperlink" Target="javascript:__doPostBack('ctl00$ContentPlaceHolder1$GridView1','Sort$fgp')" TargetMode="External"/><Relationship Id="rId31" Type="http://schemas.openxmlformats.org/officeDocument/2006/relationships/hyperlink" Target="javascript:__doPostBack('ctl00$ContentPlaceHolder1$GridView1','Sort$pts')" TargetMode="External"/><Relationship Id="rId52" Type="http://schemas.openxmlformats.org/officeDocument/2006/relationships/hyperlink" Target="javascript:__doPostBack('ctl00$ContentPlaceHolder1$GridView1','Sort$stl')" TargetMode="External"/><Relationship Id="rId73" Type="http://schemas.openxmlformats.org/officeDocument/2006/relationships/hyperlink" Target="javascript:__doPostBack('ctl00$ContentPlaceHolder1$GridView1','Sort$fgp')" TargetMode="External"/><Relationship Id="rId78" Type="http://schemas.openxmlformats.org/officeDocument/2006/relationships/hyperlink" Target="javascript:__doPostBack('ctl00$ContentPlaceHolder1$GridView1','Sort$ast')" TargetMode="External"/><Relationship Id="rId94" Type="http://schemas.openxmlformats.org/officeDocument/2006/relationships/hyperlink" Target="javascript:__doPostBack('ctl00$ContentPlaceHolder1$GridView1','Sort$pts')" TargetMode="External"/><Relationship Id="rId99" Type="http://schemas.openxmlformats.org/officeDocument/2006/relationships/hyperlink" Target="javascript:__doPostBack('ctl00$ContentPlaceHolder1$GridView1','Sort$tur')" TargetMode="External"/><Relationship Id="rId101" Type="http://schemas.openxmlformats.org/officeDocument/2006/relationships/hyperlink" Target="javascript:__doPostBack('ctl00$ContentPlaceHolder1$GridView1','Sort$ftp')" TargetMode="External"/><Relationship Id="rId122" Type="http://schemas.openxmlformats.org/officeDocument/2006/relationships/hyperlink" Target="javascript:__doPostBack('ctl00$ContentPlaceHolder1$GridView1','Sort$reb')" TargetMode="External"/><Relationship Id="rId143" Type="http://schemas.openxmlformats.org/officeDocument/2006/relationships/hyperlink" Target="javascript:__doPostBack('ctl00$ContentPlaceHolder1$GridView1','Sort$blk')" TargetMode="External"/><Relationship Id="rId4" Type="http://schemas.openxmlformats.org/officeDocument/2006/relationships/hyperlink" Target="javascript:__doPostBack('ctl00$ContentPlaceHolder1$GridView1','Sort$pts')" TargetMode="External"/><Relationship Id="rId9" Type="http://schemas.openxmlformats.org/officeDocument/2006/relationships/hyperlink" Target="javascript:__doPostBack('ctl00$ContentPlaceHolder1$GridView1','Sort$tur')" TargetMode="External"/><Relationship Id="rId26" Type="http://schemas.openxmlformats.org/officeDocument/2006/relationships/hyperlink" Target="javascript:__doPostBack('ctl00$ContentPlaceHolder1$GridView1','Sort$blk')" TargetMode="External"/><Relationship Id="rId47" Type="http://schemas.openxmlformats.org/officeDocument/2006/relationships/hyperlink" Target="javascript:__doPostBack('ctl00$ContentPlaceHolder1$GridView1','Sort$ftp')" TargetMode="External"/><Relationship Id="rId68" Type="http://schemas.openxmlformats.org/officeDocument/2006/relationships/hyperlink" Target="javascript:__doPostBack('ctl00$ContentPlaceHolder1$GridView1','Sort$reb')" TargetMode="External"/><Relationship Id="rId89" Type="http://schemas.openxmlformats.org/officeDocument/2006/relationships/hyperlink" Target="javascript:__doPostBack('ctl00$ContentPlaceHolder1$GridView1','Sort$blk')" TargetMode="External"/><Relationship Id="rId112" Type="http://schemas.openxmlformats.org/officeDocument/2006/relationships/hyperlink" Target="javascript:__doPostBack('ctl00$ContentPlaceHolder1$GridView1','Sort$pts')" TargetMode="External"/><Relationship Id="rId133" Type="http://schemas.openxmlformats.org/officeDocument/2006/relationships/hyperlink" Target="javascript:__doPostBack('ctl00$ContentPlaceHolder1$GridView1','Sort$stl')" TargetMode="External"/><Relationship Id="rId16" Type="http://schemas.openxmlformats.org/officeDocument/2006/relationships/hyperlink" Target="javascript:__doPostBack('ctl00$ContentPlaceHolder1$GridView1','Sort$stl')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ctl00$ContentPlaceHolder1$GridView1','Sort$blk')" TargetMode="External"/><Relationship Id="rId13" Type="http://schemas.openxmlformats.org/officeDocument/2006/relationships/hyperlink" Target="javascript:__doPostBack('ctl00$ContentPlaceHolder1$GridView1','Sort$pts')" TargetMode="External"/><Relationship Id="rId18" Type="http://schemas.openxmlformats.org/officeDocument/2006/relationships/hyperlink" Target="javascript:__doPostBack('ctl00$ContentPlaceHolder1$GridView1','Sort$tur')" TargetMode="External"/><Relationship Id="rId3" Type="http://schemas.openxmlformats.org/officeDocument/2006/relationships/hyperlink" Target="javascript:__doPostBack('ctl00$ContentPlaceHolder1$GridView1','Sort$tgm')" TargetMode="External"/><Relationship Id="rId7" Type="http://schemas.openxmlformats.org/officeDocument/2006/relationships/hyperlink" Target="javascript:__doPostBack('ctl00$ContentPlaceHolder1$GridView1','Sort$stl')" TargetMode="External"/><Relationship Id="rId12" Type="http://schemas.openxmlformats.org/officeDocument/2006/relationships/hyperlink" Target="javascript:__doPostBack('ctl00$ContentPlaceHolder1$GridView1','Sort$tgm')" TargetMode="External"/><Relationship Id="rId17" Type="http://schemas.openxmlformats.org/officeDocument/2006/relationships/hyperlink" Target="javascript:__doPostBack('ctl00$ContentPlaceHolder1$GridView1','Sort$blk')" TargetMode="External"/><Relationship Id="rId2" Type="http://schemas.openxmlformats.org/officeDocument/2006/relationships/hyperlink" Target="javascript:__doPostBack('ctl00$ContentPlaceHolder1$GridView1','Sort$ftp')" TargetMode="External"/><Relationship Id="rId16" Type="http://schemas.openxmlformats.org/officeDocument/2006/relationships/hyperlink" Target="javascript:__doPostBack('ctl00$ContentPlaceHolder1$GridView1','Sort$stl')" TargetMode="External"/><Relationship Id="rId1" Type="http://schemas.openxmlformats.org/officeDocument/2006/relationships/hyperlink" Target="javascript:__doPostBack('ctl00$ContentPlaceHolder1$GridView1','Sort$fgp')" TargetMode="External"/><Relationship Id="rId6" Type="http://schemas.openxmlformats.org/officeDocument/2006/relationships/hyperlink" Target="javascript:__doPostBack('ctl00$ContentPlaceHolder1$GridView1','Sort$ast')" TargetMode="External"/><Relationship Id="rId11" Type="http://schemas.openxmlformats.org/officeDocument/2006/relationships/hyperlink" Target="javascript:__doPostBack('ctl00$ContentPlaceHolder1$GridView1','Sort$ftp')" TargetMode="External"/><Relationship Id="rId5" Type="http://schemas.openxmlformats.org/officeDocument/2006/relationships/hyperlink" Target="javascript:__doPostBack('ctl00$ContentPlaceHolder1$GridView1','Sort$reb')" TargetMode="External"/><Relationship Id="rId15" Type="http://schemas.openxmlformats.org/officeDocument/2006/relationships/hyperlink" Target="javascript:__doPostBack('ctl00$ContentPlaceHolder1$GridView1','Sort$ast')" TargetMode="External"/><Relationship Id="rId10" Type="http://schemas.openxmlformats.org/officeDocument/2006/relationships/hyperlink" Target="javascript:__doPostBack('ctl00$ContentPlaceHolder1$GridView1','Sort$fgp')" TargetMode="External"/><Relationship Id="rId4" Type="http://schemas.openxmlformats.org/officeDocument/2006/relationships/hyperlink" Target="javascript:__doPostBack('ctl00$ContentPlaceHolder1$GridView1','Sort$pts')" TargetMode="External"/><Relationship Id="rId9" Type="http://schemas.openxmlformats.org/officeDocument/2006/relationships/hyperlink" Target="javascript:__doPostBack('ctl00$ContentPlaceHolder1$GridView1','Sort$tur')" TargetMode="External"/><Relationship Id="rId14" Type="http://schemas.openxmlformats.org/officeDocument/2006/relationships/hyperlink" Target="javascript:__doPostBack('ctl00$ContentPlaceHolder1$GridView1','Sort$reb')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ctl00$ContentPlaceHolder1$GridView1','Sort$blk')" TargetMode="External"/><Relationship Id="rId13" Type="http://schemas.openxmlformats.org/officeDocument/2006/relationships/hyperlink" Target="javascript:__doPostBack('ctl00$ContentPlaceHolder1$GridView1','Sort$tur')" TargetMode="External"/><Relationship Id="rId18" Type="http://schemas.openxmlformats.org/officeDocument/2006/relationships/hyperlink" Target="javascript:__doPostBack('ctl00$ContentPlaceHolder1$GridView1','Sort$pts')" TargetMode="External"/><Relationship Id="rId3" Type="http://schemas.openxmlformats.org/officeDocument/2006/relationships/hyperlink" Target="javascript:__doPostBack('ctl00$ContentPlaceHolder1$GridView1','Sort$tgm')" TargetMode="External"/><Relationship Id="rId21" Type="http://schemas.openxmlformats.org/officeDocument/2006/relationships/hyperlink" Target="javascript:__doPostBack('ctl00$ContentPlaceHolder1$GridView1','Sort$fgp')" TargetMode="External"/><Relationship Id="rId7" Type="http://schemas.openxmlformats.org/officeDocument/2006/relationships/hyperlink" Target="javascript:__doPostBack('ctl00$ContentPlaceHolder1$GridView1','Sort$stl')" TargetMode="External"/><Relationship Id="rId12" Type="http://schemas.openxmlformats.org/officeDocument/2006/relationships/hyperlink" Target="javascript:__doPostBack('ctl00$ContentPlaceHolder1$GridView1','Sort$totalz')" TargetMode="External"/><Relationship Id="rId17" Type="http://schemas.openxmlformats.org/officeDocument/2006/relationships/hyperlink" Target="javascript:__doPostBack('ctl00$ContentPlaceHolder1$GridView1','Sort$reb')" TargetMode="External"/><Relationship Id="rId2" Type="http://schemas.openxmlformats.org/officeDocument/2006/relationships/hyperlink" Target="javascript:__doPostBack('ctl00$ContentPlaceHolder1$GridView1','Sort$ftp')" TargetMode="External"/><Relationship Id="rId16" Type="http://schemas.openxmlformats.org/officeDocument/2006/relationships/hyperlink" Target="javascript:__doPostBack('ctl00$ContentPlaceHolder1$GridView1','Sort$ast')" TargetMode="External"/><Relationship Id="rId20" Type="http://schemas.openxmlformats.org/officeDocument/2006/relationships/hyperlink" Target="javascript:__doPostBack('ctl00$ContentPlaceHolder1$GridView1','Sort$ftp')" TargetMode="External"/><Relationship Id="rId1" Type="http://schemas.openxmlformats.org/officeDocument/2006/relationships/hyperlink" Target="javascript:__doPostBack('ctl00$ContentPlaceHolder1$GridView1','Sort$fgp')" TargetMode="External"/><Relationship Id="rId6" Type="http://schemas.openxmlformats.org/officeDocument/2006/relationships/hyperlink" Target="javascript:__doPostBack('ctl00$ContentPlaceHolder1$GridView1','Sort$ast')" TargetMode="External"/><Relationship Id="rId11" Type="http://schemas.openxmlformats.org/officeDocument/2006/relationships/hyperlink" Target="javascript:__doPostBack('ctl00$ContentPlaceHolder1$GridView1','Sort$NAME')" TargetMode="External"/><Relationship Id="rId5" Type="http://schemas.openxmlformats.org/officeDocument/2006/relationships/hyperlink" Target="javascript:__doPostBack('ctl00$ContentPlaceHolder1$GridView1','Sort$reb')" TargetMode="External"/><Relationship Id="rId15" Type="http://schemas.openxmlformats.org/officeDocument/2006/relationships/hyperlink" Target="javascript:__doPostBack('ctl00$ContentPlaceHolder1$GridView1','Sort$stl')" TargetMode="External"/><Relationship Id="rId10" Type="http://schemas.openxmlformats.org/officeDocument/2006/relationships/hyperlink" Target="https://hashtagbasketball.com/120004/player" TargetMode="External"/><Relationship Id="rId19" Type="http://schemas.openxmlformats.org/officeDocument/2006/relationships/hyperlink" Target="javascript:__doPostBack('ctl00$ContentPlaceHolder1$GridView1','Sort$tgm')" TargetMode="External"/><Relationship Id="rId4" Type="http://schemas.openxmlformats.org/officeDocument/2006/relationships/hyperlink" Target="javascript:__doPostBack('ctl00$ContentPlaceHolder1$GridView1','Sort$pts')" TargetMode="External"/><Relationship Id="rId9" Type="http://schemas.openxmlformats.org/officeDocument/2006/relationships/hyperlink" Target="javascript:__doPostBack('ctl00$ContentPlaceHolder1$GridView1','Sort$tur')" TargetMode="External"/><Relationship Id="rId14" Type="http://schemas.openxmlformats.org/officeDocument/2006/relationships/hyperlink" Target="javascript:__doPostBack('ctl00$ContentPlaceHolder1$GridView1','Sort$blk')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agbasketball.com/31067/player" TargetMode="External"/><Relationship Id="rId21" Type="http://schemas.openxmlformats.org/officeDocument/2006/relationships/hyperlink" Target="https://hashtagbasketball.com/9476/player" TargetMode="External"/><Relationship Id="rId42" Type="http://schemas.openxmlformats.org/officeDocument/2006/relationships/hyperlink" Target="https://hashtagbasketball.com/9354/player" TargetMode="External"/><Relationship Id="rId63" Type="http://schemas.openxmlformats.org/officeDocument/2006/relationships/hyperlink" Target="https://hashtagbasketball.com/13750/player" TargetMode="External"/><Relationship Id="rId84" Type="http://schemas.openxmlformats.org/officeDocument/2006/relationships/hyperlink" Target="https://hashtagbasketball.com/17189/player" TargetMode="External"/><Relationship Id="rId138" Type="http://schemas.openxmlformats.org/officeDocument/2006/relationships/hyperlink" Target="https://hashtagbasketball.com/9526/player" TargetMode="External"/><Relationship Id="rId159" Type="http://schemas.openxmlformats.org/officeDocument/2006/relationships/hyperlink" Target="https://hashtagbasketball.com/111248/player" TargetMode="External"/><Relationship Id="rId170" Type="http://schemas.openxmlformats.org/officeDocument/2006/relationships/hyperlink" Target="https://hashtagbasketball.com/9082/player" TargetMode="External"/><Relationship Id="rId191" Type="http://schemas.openxmlformats.org/officeDocument/2006/relationships/hyperlink" Target="https://hashtagbasketball.com/120282/player" TargetMode="External"/><Relationship Id="rId205" Type="http://schemas.openxmlformats.org/officeDocument/2006/relationships/hyperlink" Target="https://hashtagbasketball.com/27591/player" TargetMode="External"/><Relationship Id="rId107" Type="http://schemas.openxmlformats.org/officeDocument/2006/relationships/hyperlink" Target="https://hashtagbasketball.com/13756/player" TargetMode="External"/><Relationship Id="rId11" Type="http://schemas.openxmlformats.org/officeDocument/2006/relationships/hyperlink" Target="javascript:__doPostBack('ctl00$ContentPlaceHolder1$GridView1','Sort$ast')" TargetMode="External"/><Relationship Id="rId32" Type="http://schemas.openxmlformats.org/officeDocument/2006/relationships/hyperlink" Target="https://hashtagbasketball.com/13734/player" TargetMode="External"/><Relationship Id="rId53" Type="http://schemas.openxmlformats.org/officeDocument/2006/relationships/hyperlink" Target="https://hashtagbasketball.com/17304/player" TargetMode="External"/><Relationship Id="rId74" Type="http://schemas.openxmlformats.org/officeDocument/2006/relationships/hyperlink" Target="https://hashtagbasketball.com/9503/player" TargetMode="External"/><Relationship Id="rId128" Type="http://schemas.openxmlformats.org/officeDocument/2006/relationships/hyperlink" Target="https://hashtagbasketball.com/15209/player" TargetMode="External"/><Relationship Id="rId149" Type="http://schemas.openxmlformats.org/officeDocument/2006/relationships/hyperlink" Target="https://hashtagbasketball.com/31059/player" TargetMode="External"/><Relationship Id="rId5" Type="http://schemas.openxmlformats.org/officeDocument/2006/relationships/hyperlink" Target="javascript:__doPostBack('ctl00$ContentPlaceHolder1$GridView1','Sort$MPG')" TargetMode="External"/><Relationship Id="rId95" Type="http://schemas.openxmlformats.org/officeDocument/2006/relationships/hyperlink" Target="https://hashtagbasketball.com/9489/player" TargetMode="External"/><Relationship Id="rId160" Type="http://schemas.openxmlformats.org/officeDocument/2006/relationships/hyperlink" Target="https://hashtagbasketball.com/53823/player" TargetMode="External"/><Relationship Id="rId181" Type="http://schemas.openxmlformats.org/officeDocument/2006/relationships/hyperlink" Target="https://hashtagbasketball.com/109470/player" TargetMode="External"/><Relationship Id="rId22" Type="http://schemas.openxmlformats.org/officeDocument/2006/relationships/hyperlink" Target="https://hashtagbasketball.com/13741/player" TargetMode="External"/><Relationship Id="rId43" Type="http://schemas.openxmlformats.org/officeDocument/2006/relationships/hyperlink" Target="https://hashtagbasketball.com/15211/player" TargetMode="External"/><Relationship Id="rId64" Type="http://schemas.openxmlformats.org/officeDocument/2006/relationships/hyperlink" Target="https://hashtagbasketball.com/15201/player" TargetMode="External"/><Relationship Id="rId118" Type="http://schemas.openxmlformats.org/officeDocument/2006/relationships/hyperlink" Target="https://hashtagbasketball.com/38942/player" TargetMode="External"/><Relationship Id="rId139" Type="http://schemas.openxmlformats.org/officeDocument/2006/relationships/hyperlink" Target="https://hashtagbasketball.com/111250/player" TargetMode="External"/><Relationship Id="rId85" Type="http://schemas.openxmlformats.org/officeDocument/2006/relationships/hyperlink" Target="https://hashtagbasketball.com/27724/player" TargetMode="External"/><Relationship Id="rId150" Type="http://schemas.openxmlformats.org/officeDocument/2006/relationships/hyperlink" Target="https://hashtagbasketball.com/10122/player" TargetMode="External"/><Relationship Id="rId171" Type="http://schemas.openxmlformats.org/officeDocument/2006/relationships/hyperlink" Target="https://hashtagbasketball.com/17197/player" TargetMode="External"/><Relationship Id="rId192" Type="http://schemas.openxmlformats.org/officeDocument/2006/relationships/hyperlink" Target="https://hashtagbasketball.com/38570/player" TargetMode="External"/><Relationship Id="rId206" Type="http://schemas.openxmlformats.org/officeDocument/2006/relationships/hyperlink" Target="https://hashtagbasketball.com/17308/player" TargetMode="External"/><Relationship Id="rId12" Type="http://schemas.openxmlformats.org/officeDocument/2006/relationships/hyperlink" Target="javascript:__doPostBack('ctl00$ContentPlaceHolder1$GridView1','Sort$stl')" TargetMode="External"/><Relationship Id="rId33" Type="http://schemas.openxmlformats.org/officeDocument/2006/relationships/hyperlink" Target="https://hashtagbasketball.com/9325/player" TargetMode="External"/><Relationship Id="rId108" Type="http://schemas.openxmlformats.org/officeDocument/2006/relationships/hyperlink" Target="https://hashtagbasketball.com/38835/player" TargetMode="External"/><Relationship Id="rId129" Type="http://schemas.openxmlformats.org/officeDocument/2006/relationships/hyperlink" Target="https://hashtagbasketball.com/120216/player" TargetMode="External"/><Relationship Id="rId54" Type="http://schemas.openxmlformats.org/officeDocument/2006/relationships/hyperlink" Target="https://hashtagbasketball.com/27469/player" TargetMode="External"/><Relationship Id="rId75" Type="http://schemas.openxmlformats.org/officeDocument/2006/relationships/hyperlink" Target="https://hashtagbasketball.com/53587/player" TargetMode="External"/><Relationship Id="rId96" Type="http://schemas.openxmlformats.org/officeDocument/2006/relationships/hyperlink" Target="https://hashtagbasketball.com/15202/player" TargetMode="External"/><Relationship Id="rId140" Type="http://schemas.openxmlformats.org/officeDocument/2006/relationships/hyperlink" Target="https://hashtagbasketball.com/15204/player" TargetMode="External"/><Relationship Id="rId161" Type="http://schemas.openxmlformats.org/officeDocument/2006/relationships/hyperlink" Target="https://hashtagbasketball.com/17259/player" TargetMode="External"/><Relationship Id="rId182" Type="http://schemas.openxmlformats.org/officeDocument/2006/relationships/hyperlink" Target="https://hashtagbasketball.com/17193/player" TargetMode="External"/><Relationship Id="rId6" Type="http://schemas.openxmlformats.org/officeDocument/2006/relationships/hyperlink" Target="javascript:__doPostBack('ctl00$ContentPlaceHolder1$GridView1','Sort$fgp')" TargetMode="External"/><Relationship Id="rId23" Type="http://schemas.openxmlformats.org/officeDocument/2006/relationships/hyperlink" Target="https://hashtagbasketball.com/9218/player" TargetMode="External"/><Relationship Id="rId119" Type="http://schemas.openxmlformats.org/officeDocument/2006/relationships/hyperlink" Target="https://hashtagbasketball.com/39847/player" TargetMode="External"/><Relationship Id="rId44" Type="http://schemas.openxmlformats.org/officeDocument/2006/relationships/hyperlink" Target="https://hashtagbasketball.com/120018/player" TargetMode="External"/><Relationship Id="rId65" Type="http://schemas.openxmlformats.org/officeDocument/2006/relationships/hyperlink" Target="https://hashtagbasketball.com/110400/player" TargetMode="External"/><Relationship Id="rId86" Type="http://schemas.openxmlformats.org/officeDocument/2006/relationships/hyperlink" Target="https://hashtagbasketball.com/13732/player" TargetMode="External"/><Relationship Id="rId130" Type="http://schemas.openxmlformats.org/officeDocument/2006/relationships/hyperlink" Target="https://hashtagbasketball.com/120041/player" TargetMode="External"/><Relationship Id="rId151" Type="http://schemas.openxmlformats.org/officeDocument/2006/relationships/hyperlink" Target="https://hashtagbasketball.com/53593/player" TargetMode="External"/><Relationship Id="rId172" Type="http://schemas.openxmlformats.org/officeDocument/2006/relationships/hyperlink" Target="https://hashtagbasketball.com/120014/player" TargetMode="External"/><Relationship Id="rId193" Type="http://schemas.openxmlformats.org/officeDocument/2006/relationships/hyperlink" Target="https://hashtagbasketball.com/38582/player" TargetMode="External"/><Relationship Id="rId207" Type="http://schemas.openxmlformats.org/officeDocument/2006/relationships/hyperlink" Target="https://hashtagbasketball.com/120359/player" TargetMode="External"/><Relationship Id="rId13" Type="http://schemas.openxmlformats.org/officeDocument/2006/relationships/hyperlink" Target="javascript:__doPostBack('ctl00$ContentPlaceHolder1$GridView1','Sort$blk')" TargetMode="External"/><Relationship Id="rId109" Type="http://schemas.openxmlformats.org/officeDocument/2006/relationships/hyperlink" Target="https://hashtagbasketball.com/16958/player" TargetMode="External"/><Relationship Id="rId34" Type="http://schemas.openxmlformats.org/officeDocument/2006/relationships/hyperlink" Target="https://hashtagbasketball.com/31049/player" TargetMode="External"/><Relationship Id="rId55" Type="http://schemas.openxmlformats.org/officeDocument/2006/relationships/hyperlink" Target="https://hashtagbasketball.com/38848/player" TargetMode="External"/><Relationship Id="rId76" Type="http://schemas.openxmlformats.org/officeDocument/2006/relationships/hyperlink" Target="https://hashtagbasketball.com/10149/player" TargetMode="External"/><Relationship Id="rId97" Type="http://schemas.openxmlformats.org/officeDocument/2006/relationships/hyperlink" Target="https://hashtagbasketball.com/27679/player" TargetMode="External"/><Relationship Id="rId120" Type="http://schemas.openxmlformats.org/officeDocument/2006/relationships/hyperlink" Target="https://hashtagbasketball.com/35209/player" TargetMode="External"/><Relationship Id="rId141" Type="http://schemas.openxmlformats.org/officeDocument/2006/relationships/hyperlink" Target="https://hashtagbasketball.com/111215/player" TargetMode="External"/><Relationship Id="rId7" Type="http://schemas.openxmlformats.org/officeDocument/2006/relationships/hyperlink" Target="javascript:__doPostBack('ctl00$ContentPlaceHolder1$GridView1','Sort$ftp')" TargetMode="External"/><Relationship Id="rId162" Type="http://schemas.openxmlformats.org/officeDocument/2006/relationships/hyperlink" Target="https://hashtagbasketball.com/17273/player" TargetMode="External"/><Relationship Id="rId183" Type="http://schemas.openxmlformats.org/officeDocument/2006/relationships/hyperlink" Target="https://hashtagbasketball.com/15282/player" TargetMode="External"/><Relationship Id="rId24" Type="http://schemas.openxmlformats.org/officeDocument/2006/relationships/hyperlink" Target="https://hashtagbasketball.com/9386/player" TargetMode="External"/><Relationship Id="rId45" Type="http://schemas.openxmlformats.org/officeDocument/2006/relationships/hyperlink" Target="https://hashtagbasketball.com/13730/player" TargetMode="External"/><Relationship Id="rId66" Type="http://schemas.openxmlformats.org/officeDocument/2006/relationships/hyperlink" Target="https://hashtagbasketball.com/120273/player" TargetMode="External"/><Relationship Id="rId87" Type="http://schemas.openxmlformats.org/officeDocument/2006/relationships/hyperlink" Target="https://hashtagbasketball.com/9342/player" TargetMode="External"/><Relationship Id="rId110" Type="http://schemas.openxmlformats.org/officeDocument/2006/relationships/hyperlink" Target="https://hashtagbasketball.com/120183/player" TargetMode="External"/><Relationship Id="rId131" Type="http://schemas.openxmlformats.org/officeDocument/2006/relationships/hyperlink" Target="https://hashtagbasketball.com/120065/player" TargetMode="External"/><Relationship Id="rId152" Type="http://schemas.openxmlformats.org/officeDocument/2006/relationships/hyperlink" Target="https://hashtagbasketball.com/17252/player" TargetMode="External"/><Relationship Id="rId173" Type="http://schemas.openxmlformats.org/officeDocument/2006/relationships/hyperlink" Target="https://hashtagbasketball.com/120244/player" TargetMode="External"/><Relationship Id="rId194" Type="http://schemas.openxmlformats.org/officeDocument/2006/relationships/hyperlink" Target="https://hashtagbasketball.com/120015/player" TargetMode="External"/><Relationship Id="rId208" Type="http://schemas.openxmlformats.org/officeDocument/2006/relationships/hyperlink" Target="https://hashtagbasketball.com/31159/player" TargetMode="External"/><Relationship Id="rId19" Type="http://schemas.openxmlformats.org/officeDocument/2006/relationships/hyperlink" Target="https://hashtagbasketball.com/27450/player" TargetMode="External"/><Relationship Id="rId14" Type="http://schemas.openxmlformats.org/officeDocument/2006/relationships/hyperlink" Target="javascript:__doPostBack('ctl00$ContentPlaceHolder1$GridView1','Sort$tur')" TargetMode="External"/><Relationship Id="rId30" Type="http://schemas.openxmlformats.org/officeDocument/2006/relationships/hyperlink" Target="https://hashtagbasketball.com/27638/player" TargetMode="External"/><Relationship Id="rId35" Type="http://schemas.openxmlformats.org/officeDocument/2006/relationships/hyperlink" Target="https://hashtagbasketball.com/17286/player" TargetMode="External"/><Relationship Id="rId56" Type="http://schemas.openxmlformats.org/officeDocument/2006/relationships/hyperlink" Target="https://hashtagbasketball.com/120207/player" TargetMode="External"/><Relationship Id="rId77" Type="http://schemas.openxmlformats.org/officeDocument/2006/relationships/hyperlink" Target="https://hashtagbasketball.com/9282/player" TargetMode="External"/><Relationship Id="rId100" Type="http://schemas.openxmlformats.org/officeDocument/2006/relationships/hyperlink" Target="https://hashtagbasketball.com/31068/player" TargetMode="External"/><Relationship Id="rId105" Type="http://schemas.openxmlformats.org/officeDocument/2006/relationships/hyperlink" Target="https://hashtagbasketball.com/120004/player" TargetMode="External"/><Relationship Id="rId126" Type="http://schemas.openxmlformats.org/officeDocument/2006/relationships/hyperlink" Target="https://hashtagbasketball.com/120002/player" TargetMode="External"/><Relationship Id="rId147" Type="http://schemas.openxmlformats.org/officeDocument/2006/relationships/hyperlink" Target="https://hashtagbasketball.com/9212/player" TargetMode="External"/><Relationship Id="rId168" Type="http://schemas.openxmlformats.org/officeDocument/2006/relationships/hyperlink" Target="https://hashtagbasketball.com/27622/player" TargetMode="External"/><Relationship Id="rId8" Type="http://schemas.openxmlformats.org/officeDocument/2006/relationships/hyperlink" Target="javascript:__doPostBack('ctl00$ContentPlaceHolder1$GridView1','Sort$tgm')" TargetMode="External"/><Relationship Id="rId51" Type="http://schemas.openxmlformats.org/officeDocument/2006/relationships/hyperlink" Target="https://hashtagbasketball.com/13755/player" TargetMode="External"/><Relationship Id="rId72" Type="http://schemas.openxmlformats.org/officeDocument/2006/relationships/hyperlink" Target="https://hashtagbasketball.com/9250/player" TargetMode="External"/><Relationship Id="rId93" Type="http://schemas.openxmlformats.org/officeDocument/2006/relationships/hyperlink" Target="https://hashtagbasketball.com/38949/player" TargetMode="External"/><Relationship Id="rId98" Type="http://schemas.openxmlformats.org/officeDocument/2006/relationships/hyperlink" Target="https://hashtagbasketball.com/31037/player" TargetMode="External"/><Relationship Id="rId121" Type="http://schemas.openxmlformats.org/officeDocument/2006/relationships/hyperlink" Target="https://hashtagbasketball.com/9192/player" TargetMode="External"/><Relationship Id="rId142" Type="http://schemas.openxmlformats.org/officeDocument/2006/relationships/hyperlink" Target="https://hashtagbasketball.com/38941/player" TargetMode="External"/><Relationship Id="rId163" Type="http://schemas.openxmlformats.org/officeDocument/2006/relationships/hyperlink" Target="https://hashtagbasketball.com/27644/player" TargetMode="External"/><Relationship Id="rId184" Type="http://schemas.openxmlformats.org/officeDocument/2006/relationships/hyperlink" Target="https://hashtagbasketball.com/10146/player" TargetMode="External"/><Relationship Id="rId189" Type="http://schemas.openxmlformats.org/officeDocument/2006/relationships/hyperlink" Target="https://hashtagbasketball.com/120361/player" TargetMode="External"/><Relationship Id="rId3" Type="http://schemas.openxmlformats.org/officeDocument/2006/relationships/hyperlink" Target="javascript:__doPostBack('ctl00$ContentPlaceHolder1$GridView1','Sort$tsum')" TargetMode="External"/><Relationship Id="rId214" Type="http://schemas.openxmlformats.org/officeDocument/2006/relationships/hyperlink" Target="https://hashtagbasketball.com/111224/player" TargetMode="External"/><Relationship Id="rId25" Type="http://schemas.openxmlformats.org/officeDocument/2006/relationships/hyperlink" Target="https://hashtagbasketball.com/10134/player" TargetMode="External"/><Relationship Id="rId46" Type="http://schemas.openxmlformats.org/officeDocument/2006/relationships/hyperlink" Target="https://hashtagbasketball.com/17208/player" TargetMode="External"/><Relationship Id="rId67" Type="http://schemas.openxmlformats.org/officeDocument/2006/relationships/hyperlink" Target="https://hashtagbasketball.com/38954/player" TargetMode="External"/><Relationship Id="rId116" Type="http://schemas.openxmlformats.org/officeDocument/2006/relationships/hyperlink" Target="https://hashtagbasketball.com/38614/player" TargetMode="External"/><Relationship Id="rId137" Type="http://schemas.openxmlformats.org/officeDocument/2006/relationships/hyperlink" Target="https://hashtagbasketball.com/38940/player" TargetMode="External"/><Relationship Id="rId158" Type="http://schemas.openxmlformats.org/officeDocument/2006/relationships/hyperlink" Target="https://hashtagbasketball.com/120239/player" TargetMode="External"/><Relationship Id="rId20" Type="http://schemas.openxmlformats.org/officeDocument/2006/relationships/hyperlink" Target="https://hashtagbasketball.com/15200/player" TargetMode="External"/><Relationship Id="rId41" Type="http://schemas.openxmlformats.org/officeDocument/2006/relationships/hyperlink" Target="https://hashtagbasketball.com/9152/player" TargetMode="External"/><Relationship Id="rId62" Type="http://schemas.openxmlformats.org/officeDocument/2006/relationships/hyperlink" Target="https://hashtagbasketball.com/17295/player" TargetMode="External"/><Relationship Id="rId83" Type="http://schemas.openxmlformats.org/officeDocument/2006/relationships/hyperlink" Target="https://hashtagbasketball.com/39833/player" TargetMode="External"/><Relationship Id="rId88" Type="http://schemas.openxmlformats.org/officeDocument/2006/relationships/hyperlink" Target="https://hashtagbasketball.com/120210/player" TargetMode="External"/><Relationship Id="rId111" Type="http://schemas.openxmlformats.org/officeDocument/2006/relationships/hyperlink" Target="https://hashtagbasketball.com/9343/player" TargetMode="External"/><Relationship Id="rId132" Type="http://schemas.openxmlformats.org/officeDocument/2006/relationships/hyperlink" Target="https://hashtagbasketball.com/9447/player" TargetMode="External"/><Relationship Id="rId153" Type="http://schemas.openxmlformats.org/officeDocument/2006/relationships/hyperlink" Target="https://hashtagbasketball.com/9406/player" TargetMode="External"/><Relationship Id="rId174" Type="http://schemas.openxmlformats.org/officeDocument/2006/relationships/hyperlink" Target="https://hashtagbasketball.com/109467/player" TargetMode="External"/><Relationship Id="rId179" Type="http://schemas.openxmlformats.org/officeDocument/2006/relationships/hyperlink" Target="https://hashtagbasketball.com/13862/player" TargetMode="External"/><Relationship Id="rId195" Type="http://schemas.openxmlformats.org/officeDocument/2006/relationships/hyperlink" Target="https://hashtagbasketball.com/10129/player" TargetMode="External"/><Relationship Id="rId209" Type="http://schemas.openxmlformats.org/officeDocument/2006/relationships/hyperlink" Target="https://hashtagbasketball.com/9102/player" TargetMode="External"/><Relationship Id="rId190" Type="http://schemas.openxmlformats.org/officeDocument/2006/relationships/hyperlink" Target="https://hashtagbasketball.com/27691/player" TargetMode="External"/><Relationship Id="rId204" Type="http://schemas.openxmlformats.org/officeDocument/2006/relationships/hyperlink" Target="https://hashtagbasketball.com/120217/player" TargetMode="External"/><Relationship Id="rId15" Type="http://schemas.openxmlformats.org/officeDocument/2006/relationships/hyperlink" Target="javascript:__doPostBack('ctl00$ContentPlaceHolder1$GridView1','Sort$totalz')" TargetMode="External"/><Relationship Id="rId36" Type="http://schemas.openxmlformats.org/officeDocument/2006/relationships/hyperlink" Target="https://hashtagbasketball.com/35041/player" TargetMode="External"/><Relationship Id="rId57" Type="http://schemas.openxmlformats.org/officeDocument/2006/relationships/hyperlink" Target="https://hashtagbasketball.com/31032/player" TargetMode="External"/><Relationship Id="rId106" Type="http://schemas.openxmlformats.org/officeDocument/2006/relationships/hyperlink" Target="https://hashtagbasketball.com/27718/player" TargetMode="External"/><Relationship Id="rId127" Type="http://schemas.openxmlformats.org/officeDocument/2006/relationships/hyperlink" Target="https://hashtagbasketball.com/15281/player" TargetMode="External"/><Relationship Id="rId10" Type="http://schemas.openxmlformats.org/officeDocument/2006/relationships/hyperlink" Target="javascript:__doPostBack('ctl00$ContentPlaceHolder1$GridView1','Sort$reb')" TargetMode="External"/><Relationship Id="rId31" Type="http://schemas.openxmlformats.org/officeDocument/2006/relationships/hyperlink" Target="https://hashtagbasketball.com/31033/player" TargetMode="External"/><Relationship Id="rId52" Type="http://schemas.openxmlformats.org/officeDocument/2006/relationships/hyperlink" Target="https://hashtagbasketball.com/27649/player" TargetMode="External"/><Relationship Id="rId73" Type="http://schemas.openxmlformats.org/officeDocument/2006/relationships/hyperlink" Target="https://hashtagbasketball.com/120000/player" TargetMode="External"/><Relationship Id="rId78" Type="http://schemas.openxmlformats.org/officeDocument/2006/relationships/hyperlink" Target="https://hashtagbasketball.com/15207/player" TargetMode="External"/><Relationship Id="rId94" Type="http://schemas.openxmlformats.org/officeDocument/2006/relationships/hyperlink" Target="https://hashtagbasketball.com/13749/player" TargetMode="External"/><Relationship Id="rId99" Type="http://schemas.openxmlformats.org/officeDocument/2006/relationships/hyperlink" Target="https://hashtagbasketball.com/120020/player" TargetMode="External"/><Relationship Id="rId101" Type="http://schemas.openxmlformats.org/officeDocument/2006/relationships/hyperlink" Target="https://hashtagbasketball.com/9355/player" TargetMode="External"/><Relationship Id="rId122" Type="http://schemas.openxmlformats.org/officeDocument/2006/relationships/hyperlink" Target="https://hashtagbasketball.com/27593/player" TargetMode="External"/><Relationship Id="rId143" Type="http://schemas.openxmlformats.org/officeDocument/2006/relationships/hyperlink" Target="https://hashtagbasketball.com/15224/player" TargetMode="External"/><Relationship Id="rId148" Type="http://schemas.openxmlformats.org/officeDocument/2006/relationships/hyperlink" Target="https://hashtagbasketball.com/111206/player" TargetMode="External"/><Relationship Id="rId164" Type="http://schemas.openxmlformats.org/officeDocument/2006/relationships/hyperlink" Target="https://hashtagbasketball.com/38955/player" TargetMode="External"/><Relationship Id="rId169" Type="http://schemas.openxmlformats.org/officeDocument/2006/relationships/hyperlink" Target="https://hashtagbasketball.com/120023/player" TargetMode="External"/><Relationship Id="rId185" Type="http://schemas.openxmlformats.org/officeDocument/2006/relationships/hyperlink" Target="https://hashtagbasketball.com/31038/player" TargetMode="External"/><Relationship Id="rId4" Type="http://schemas.openxmlformats.org/officeDocument/2006/relationships/hyperlink" Target="javascript:__doPostBack('ctl00$ContentPlaceHolder1$GridView1','Sort$GP')" TargetMode="External"/><Relationship Id="rId9" Type="http://schemas.openxmlformats.org/officeDocument/2006/relationships/hyperlink" Target="javascript:__doPostBack('ctl00$ContentPlaceHolder1$GridView1','Sort$pts')" TargetMode="External"/><Relationship Id="rId180" Type="http://schemas.openxmlformats.org/officeDocument/2006/relationships/hyperlink" Target="https://hashtagbasketball.com/31043/player" TargetMode="External"/><Relationship Id="rId210" Type="http://schemas.openxmlformats.org/officeDocument/2006/relationships/hyperlink" Target="https://hashtagbasketball.com/27883/player" TargetMode="External"/><Relationship Id="rId26" Type="http://schemas.openxmlformats.org/officeDocument/2006/relationships/hyperlink" Target="https://hashtagbasketball.com/38790/player" TargetMode="External"/><Relationship Id="rId47" Type="http://schemas.openxmlformats.org/officeDocument/2006/relationships/hyperlink" Target="https://hashtagbasketball.com/9434/player" TargetMode="External"/><Relationship Id="rId68" Type="http://schemas.openxmlformats.org/officeDocument/2006/relationships/hyperlink" Target="https://hashtagbasketball.com/27342/player" TargetMode="External"/><Relationship Id="rId89" Type="http://schemas.openxmlformats.org/officeDocument/2006/relationships/hyperlink" Target="https://hashtagbasketball.com/9500/player" TargetMode="External"/><Relationship Id="rId112" Type="http://schemas.openxmlformats.org/officeDocument/2006/relationships/hyperlink" Target="https://hashtagbasketball.com/17285/player" TargetMode="External"/><Relationship Id="rId133" Type="http://schemas.openxmlformats.org/officeDocument/2006/relationships/hyperlink" Target="https://hashtagbasketball.com/13737/player" TargetMode="External"/><Relationship Id="rId154" Type="http://schemas.openxmlformats.org/officeDocument/2006/relationships/hyperlink" Target="https://hashtagbasketball.com/13786/player" TargetMode="External"/><Relationship Id="rId175" Type="http://schemas.openxmlformats.org/officeDocument/2006/relationships/hyperlink" Target="https://hashtagbasketball.com/17181/player" TargetMode="External"/><Relationship Id="rId196" Type="http://schemas.openxmlformats.org/officeDocument/2006/relationships/hyperlink" Target="https://hashtagbasketball.com/120211/player" TargetMode="External"/><Relationship Id="rId200" Type="http://schemas.openxmlformats.org/officeDocument/2006/relationships/hyperlink" Target="https://hashtagbasketball.com/111203/player" TargetMode="External"/><Relationship Id="rId16" Type="http://schemas.openxmlformats.org/officeDocument/2006/relationships/hyperlink" Target="https://hashtagbasketball.com/9196/player" TargetMode="External"/><Relationship Id="rId37" Type="http://schemas.openxmlformats.org/officeDocument/2006/relationships/hyperlink" Target="https://hashtagbasketball.com/31046/player" TargetMode="External"/><Relationship Id="rId58" Type="http://schemas.openxmlformats.org/officeDocument/2006/relationships/hyperlink" Target="https://hashtagbasketball.com/9158/player" TargetMode="External"/><Relationship Id="rId79" Type="http://schemas.openxmlformats.org/officeDocument/2006/relationships/hyperlink" Target="https://hashtagbasketball.com/120214/player" TargetMode="External"/><Relationship Id="rId102" Type="http://schemas.openxmlformats.org/officeDocument/2006/relationships/hyperlink" Target="https://hashtagbasketball.com/120030/player" TargetMode="External"/><Relationship Id="rId123" Type="http://schemas.openxmlformats.org/officeDocument/2006/relationships/hyperlink" Target="https://hashtagbasketball.com/15198/player" TargetMode="External"/><Relationship Id="rId144" Type="http://schemas.openxmlformats.org/officeDocument/2006/relationships/hyperlink" Target="https://hashtagbasketball.com/120328/player" TargetMode="External"/><Relationship Id="rId90" Type="http://schemas.openxmlformats.org/officeDocument/2006/relationships/hyperlink" Target="https://hashtagbasketball.com/9412/player" TargetMode="External"/><Relationship Id="rId165" Type="http://schemas.openxmlformats.org/officeDocument/2006/relationships/hyperlink" Target="https://hashtagbasketball.com/120316/player" TargetMode="External"/><Relationship Id="rId186" Type="http://schemas.openxmlformats.org/officeDocument/2006/relationships/hyperlink" Target="https://hashtagbasketball.com/15316/player" TargetMode="External"/><Relationship Id="rId211" Type="http://schemas.openxmlformats.org/officeDocument/2006/relationships/hyperlink" Target="https://hashtagbasketball.com/120208/player" TargetMode="External"/><Relationship Id="rId27" Type="http://schemas.openxmlformats.org/officeDocument/2006/relationships/hyperlink" Target="https://hashtagbasketball.com/9232/player" TargetMode="External"/><Relationship Id="rId48" Type="http://schemas.openxmlformats.org/officeDocument/2006/relationships/hyperlink" Target="https://hashtagbasketball.com/10090/player" TargetMode="External"/><Relationship Id="rId69" Type="http://schemas.openxmlformats.org/officeDocument/2006/relationships/hyperlink" Target="https://hashtagbasketball.com/31034/player" TargetMode="External"/><Relationship Id="rId113" Type="http://schemas.openxmlformats.org/officeDocument/2006/relationships/hyperlink" Target="https://hashtagbasketball.com/10123/player" TargetMode="External"/><Relationship Id="rId134" Type="http://schemas.openxmlformats.org/officeDocument/2006/relationships/hyperlink" Target="https://hashtagbasketball.com/15214/player" TargetMode="External"/><Relationship Id="rId80" Type="http://schemas.openxmlformats.org/officeDocument/2006/relationships/hyperlink" Target="https://hashtagbasketball.com/120011/player" TargetMode="External"/><Relationship Id="rId155" Type="http://schemas.openxmlformats.org/officeDocument/2006/relationships/hyperlink" Target="https://hashtagbasketball.com/109469/player" TargetMode="External"/><Relationship Id="rId176" Type="http://schemas.openxmlformats.org/officeDocument/2006/relationships/hyperlink" Target="https://hashtagbasketball.com/27850/player" TargetMode="External"/><Relationship Id="rId197" Type="http://schemas.openxmlformats.org/officeDocument/2006/relationships/hyperlink" Target="https://hashtagbasketball.com/38950/player" TargetMode="External"/><Relationship Id="rId201" Type="http://schemas.openxmlformats.org/officeDocument/2006/relationships/hyperlink" Target="https://hashtagbasketball.com/9423/player" TargetMode="External"/><Relationship Id="rId17" Type="http://schemas.openxmlformats.org/officeDocument/2006/relationships/hyperlink" Target="https://hashtagbasketball.com/110399/player" TargetMode="External"/><Relationship Id="rId38" Type="http://schemas.openxmlformats.org/officeDocument/2006/relationships/hyperlink" Target="https://hashtagbasketball.com/9346/player" TargetMode="External"/><Relationship Id="rId59" Type="http://schemas.openxmlformats.org/officeDocument/2006/relationships/hyperlink" Target="https://hashtagbasketball.com/15280/player" TargetMode="External"/><Relationship Id="rId103" Type="http://schemas.openxmlformats.org/officeDocument/2006/relationships/hyperlink" Target="https://hashtagbasketball.com/15218/player" TargetMode="External"/><Relationship Id="rId124" Type="http://schemas.openxmlformats.org/officeDocument/2006/relationships/hyperlink" Target="https://hashtagbasketball.com/9252/player" TargetMode="External"/><Relationship Id="rId70" Type="http://schemas.openxmlformats.org/officeDocument/2006/relationships/hyperlink" Target="https://hashtagbasketball.com/13742/player" TargetMode="External"/><Relationship Id="rId91" Type="http://schemas.openxmlformats.org/officeDocument/2006/relationships/hyperlink" Target="https://hashtagbasketball.com/9373/player" TargetMode="External"/><Relationship Id="rId145" Type="http://schemas.openxmlformats.org/officeDocument/2006/relationships/hyperlink" Target="https://hashtagbasketball.com/9387/player" TargetMode="External"/><Relationship Id="rId166" Type="http://schemas.openxmlformats.org/officeDocument/2006/relationships/hyperlink" Target="https://hashtagbasketball.com/13792/player" TargetMode="External"/><Relationship Id="rId187" Type="http://schemas.openxmlformats.org/officeDocument/2006/relationships/hyperlink" Target="https://hashtagbasketball.com/9151/player" TargetMode="External"/><Relationship Id="rId1" Type="http://schemas.openxmlformats.org/officeDocument/2006/relationships/hyperlink" Target="javascript:__doPostBack('ctl00$ContentPlaceHolder1$GridView1','Sort$NAME')" TargetMode="External"/><Relationship Id="rId212" Type="http://schemas.openxmlformats.org/officeDocument/2006/relationships/hyperlink" Target="https://hashtagbasketball.com/31058/player" TargetMode="External"/><Relationship Id="rId28" Type="http://schemas.openxmlformats.org/officeDocument/2006/relationships/hyperlink" Target="https://hashtagbasketball.com/31030/player" TargetMode="External"/><Relationship Id="rId49" Type="http://schemas.openxmlformats.org/officeDocument/2006/relationships/hyperlink" Target="https://hashtagbasketball.com/111204/player" TargetMode="External"/><Relationship Id="rId114" Type="http://schemas.openxmlformats.org/officeDocument/2006/relationships/hyperlink" Target="https://hashtagbasketball.com/10169/player" TargetMode="External"/><Relationship Id="rId60" Type="http://schemas.openxmlformats.org/officeDocument/2006/relationships/hyperlink" Target="https://hashtagbasketball.com/31035/player" TargetMode="External"/><Relationship Id="rId81" Type="http://schemas.openxmlformats.org/officeDocument/2006/relationships/hyperlink" Target="https://hashtagbasketball.com/17191/player" TargetMode="External"/><Relationship Id="rId135" Type="http://schemas.openxmlformats.org/officeDocument/2006/relationships/hyperlink" Target="https://hashtagbasketball.com/9419/player" TargetMode="External"/><Relationship Id="rId156" Type="http://schemas.openxmlformats.org/officeDocument/2006/relationships/hyperlink" Target="https://hashtagbasketball.com/111214/player" TargetMode="External"/><Relationship Id="rId177" Type="http://schemas.openxmlformats.org/officeDocument/2006/relationships/hyperlink" Target="https://hashtagbasketball.com/9228/player" TargetMode="External"/><Relationship Id="rId198" Type="http://schemas.openxmlformats.org/officeDocument/2006/relationships/hyperlink" Target="https://hashtagbasketball.com/120340/player" TargetMode="External"/><Relationship Id="rId202" Type="http://schemas.openxmlformats.org/officeDocument/2006/relationships/hyperlink" Target="https://hashtagbasketball.com/31064/player" TargetMode="External"/><Relationship Id="rId18" Type="http://schemas.openxmlformats.org/officeDocument/2006/relationships/hyperlink" Target="https://hashtagbasketball.com/15208/player" TargetMode="External"/><Relationship Id="rId39" Type="http://schemas.openxmlformats.org/officeDocument/2006/relationships/hyperlink" Target="https://hashtagbasketball.com/111212/player" TargetMode="External"/><Relationship Id="rId50" Type="http://schemas.openxmlformats.org/officeDocument/2006/relationships/hyperlink" Target="https://hashtagbasketball.com/27454/player" TargetMode="External"/><Relationship Id="rId104" Type="http://schemas.openxmlformats.org/officeDocument/2006/relationships/hyperlink" Target="https://hashtagbasketball.com/10113/player" TargetMode="External"/><Relationship Id="rId125" Type="http://schemas.openxmlformats.org/officeDocument/2006/relationships/hyperlink" Target="https://hashtagbasketball.com/38944/player" TargetMode="External"/><Relationship Id="rId146" Type="http://schemas.openxmlformats.org/officeDocument/2006/relationships/hyperlink" Target="https://hashtagbasketball.com/15205/player" TargetMode="External"/><Relationship Id="rId167" Type="http://schemas.openxmlformats.org/officeDocument/2006/relationships/hyperlink" Target="https://hashtagbasketball.com/31054/player" TargetMode="External"/><Relationship Id="rId188" Type="http://schemas.openxmlformats.org/officeDocument/2006/relationships/hyperlink" Target="https://hashtagbasketball.com/27683/player" TargetMode="External"/><Relationship Id="rId71" Type="http://schemas.openxmlformats.org/officeDocument/2006/relationships/hyperlink" Target="https://hashtagbasketball.com/120003/player" TargetMode="External"/><Relationship Id="rId92" Type="http://schemas.openxmlformats.org/officeDocument/2006/relationships/hyperlink" Target="https://hashtagbasketball.com/38840/player" TargetMode="External"/><Relationship Id="rId213" Type="http://schemas.openxmlformats.org/officeDocument/2006/relationships/hyperlink" Target="https://hashtagbasketball.com/120363/player" TargetMode="External"/><Relationship Id="rId2" Type="http://schemas.openxmlformats.org/officeDocument/2006/relationships/hyperlink" Target="javascript:__doPostBack('ctl00$ContentPlaceHolder1$GridView1','Sort$posm')" TargetMode="External"/><Relationship Id="rId29" Type="http://schemas.openxmlformats.org/officeDocument/2006/relationships/hyperlink" Target="https://hashtagbasketball.com/9418/player" TargetMode="External"/><Relationship Id="rId40" Type="http://schemas.openxmlformats.org/officeDocument/2006/relationships/hyperlink" Target="https://hashtagbasketball.com/38617/player" TargetMode="External"/><Relationship Id="rId115" Type="http://schemas.openxmlformats.org/officeDocument/2006/relationships/hyperlink" Target="https://hashtagbasketball.com/38797/player" TargetMode="External"/><Relationship Id="rId136" Type="http://schemas.openxmlformats.org/officeDocument/2006/relationships/hyperlink" Target="https://hashtagbasketball.com/111205/player" TargetMode="External"/><Relationship Id="rId157" Type="http://schemas.openxmlformats.org/officeDocument/2006/relationships/hyperlink" Target="https://hashtagbasketball.com/120234/player" TargetMode="External"/><Relationship Id="rId178" Type="http://schemas.openxmlformats.org/officeDocument/2006/relationships/hyperlink" Target="https://hashtagbasketball.com/31083/player" TargetMode="External"/><Relationship Id="rId61" Type="http://schemas.openxmlformats.org/officeDocument/2006/relationships/hyperlink" Target="https://hashtagbasketball.com/10165/player" TargetMode="External"/><Relationship Id="rId82" Type="http://schemas.openxmlformats.org/officeDocument/2006/relationships/hyperlink" Target="https://hashtagbasketball.com/27700/player" TargetMode="External"/><Relationship Id="rId199" Type="http://schemas.openxmlformats.org/officeDocument/2006/relationships/hyperlink" Target="https://hashtagbasketball.com/120209/player" TargetMode="External"/><Relationship Id="rId203" Type="http://schemas.openxmlformats.org/officeDocument/2006/relationships/hyperlink" Target="https://hashtagbasketball.com/17275/playe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ctl00$ContentPlaceHolder1$GridView1','Sort$stl')" TargetMode="External"/><Relationship Id="rId3" Type="http://schemas.openxmlformats.org/officeDocument/2006/relationships/hyperlink" Target="javascript:__doPostBack('ctl00$ContentPlaceHolder1$GridView1','Sort$ftp')" TargetMode="External"/><Relationship Id="rId7" Type="http://schemas.openxmlformats.org/officeDocument/2006/relationships/hyperlink" Target="javascript:__doPostBack('ctl00$ContentPlaceHolder1$GridView1','Sort$ast')" TargetMode="External"/><Relationship Id="rId2" Type="http://schemas.openxmlformats.org/officeDocument/2006/relationships/hyperlink" Target="javascript:__doPostBack('ctl00$ContentPlaceHolder1$GridView1','Sort$fgp')" TargetMode="External"/><Relationship Id="rId1" Type="http://schemas.openxmlformats.org/officeDocument/2006/relationships/hyperlink" Target="https://hashtagbasketball.com/120004/player" TargetMode="External"/><Relationship Id="rId6" Type="http://schemas.openxmlformats.org/officeDocument/2006/relationships/hyperlink" Target="javascript:__doPostBack('ctl00$ContentPlaceHolder1$GridView1','Sort$reb')" TargetMode="External"/><Relationship Id="rId5" Type="http://schemas.openxmlformats.org/officeDocument/2006/relationships/hyperlink" Target="javascript:__doPostBack('ctl00$ContentPlaceHolder1$GridView1','Sort$pts')" TargetMode="External"/><Relationship Id="rId10" Type="http://schemas.openxmlformats.org/officeDocument/2006/relationships/hyperlink" Target="javascript:__doPostBack('ctl00$ContentPlaceHolder1$GridView1','Sort$tur')" TargetMode="External"/><Relationship Id="rId4" Type="http://schemas.openxmlformats.org/officeDocument/2006/relationships/hyperlink" Target="javascript:__doPostBack('ctl00$ContentPlaceHolder1$GridView1','Sort$tgm')" TargetMode="External"/><Relationship Id="rId9" Type="http://schemas.openxmlformats.org/officeDocument/2006/relationships/hyperlink" Target="javascript:__doPostBack('ctl00$ContentPlaceHolder1$GridView1','Sort$blk')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hashtagbasketball.com/120013/player" TargetMode="External"/><Relationship Id="rId21" Type="http://schemas.openxmlformats.org/officeDocument/2006/relationships/hyperlink" Target="https://hashtagbasketball.com/13739/player" TargetMode="External"/><Relationship Id="rId42" Type="http://schemas.openxmlformats.org/officeDocument/2006/relationships/hyperlink" Target="https://www.espn.com/nba/player/_/id/2528588/doug-mcdermott" TargetMode="External"/><Relationship Id="rId47" Type="http://schemas.openxmlformats.org/officeDocument/2006/relationships/hyperlink" Target="https://www.espn.com/nba/player/_/id/4593049/orlando-robinson" TargetMode="External"/><Relationship Id="rId63" Type="http://schemas.openxmlformats.org/officeDocument/2006/relationships/hyperlink" Target="https://www.espn.com/nba/team/stats/_/name/sac/table/game/sort/freeThrowPct/dir/desc" TargetMode="External"/><Relationship Id="rId68" Type="http://schemas.openxmlformats.org/officeDocument/2006/relationships/hyperlink" Target="https://www.espn.com/nba/team/stats/_/name/sac/table/game/sort/shootingEfficiency/dir/desc" TargetMode="External"/><Relationship Id="rId84" Type="http://schemas.openxmlformats.org/officeDocument/2006/relationships/hyperlink" Target="javascript:__doPostBack('ctl00$ContentPlaceHolder1$GridView1','Sort$GP')" TargetMode="External"/><Relationship Id="rId16" Type="http://schemas.openxmlformats.org/officeDocument/2006/relationships/hyperlink" Target="https://hashtagbasketball.com/10113/player" TargetMode="External"/><Relationship Id="rId11" Type="http://schemas.openxmlformats.org/officeDocument/2006/relationships/hyperlink" Target="javascript:__doPostBack('ctl00$ContentPlaceHolder1$GridView1','Sort$ast')" TargetMode="External"/><Relationship Id="rId32" Type="http://schemas.openxmlformats.org/officeDocument/2006/relationships/hyperlink" Target="https://www.espn.com/nba/player/_/id/3978/demar-derozan" TargetMode="External"/><Relationship Id="rId37" Type="http://schemas.openxmlformats.org/officeDocument/2006/relationships/hyperlink" Target="https://www.espn.com/nba/player/_/id/4702177/keon-ellis" TargetMode="External"/><Relationship Id="rId53" Type="http://schemas.openxmlformats.org/officeDocument/2006/relationships/hyperlink" Target="https://www.espn.com/nba/player/_/id/3919454/terence-davis" TargetMode="External"/><Relationship Id="rId58" Type="http://schemas.openxmlformats.org/officeDocument/2006/relationships/hyperlink" Target="https://www.espn.com/nba/team/stats/_/name/sac/table/game/sort/avgThreePointFieldGoalsMade/dir/desc" TargetMode="External"/><Relationship Id="rId74" Type="http://schemas.openxmlformats.org/officeDocument/2006/relationships/hyperlink" Target="https://hashtagbasketball.com/38942/player" TargetMode="External"/><Relationship Id="rId79" Type="http://schemas.openxmlformats.org/officeDocument/2006/relationships/hyperlink" Target="https://hashtagbasketball.com/120244/player" TargetMode="External"/><Relationship Id="rId5" Type="http://schemas.openxmlformats.org/officeDocument/2006/relationships/hyperlink" Target="javascript:__doPostBack('ctl00$ContentPlaceHolder1$GridView1','Sort$MPG')" TargetMode="External"/><Relationship Id="rId19" Type="http://schemas.openxmlformats.org/officeDocument/2006/relationships/hyperlink" Target="https://hashtagbasketball.com/53595/player" TargetMode="External"/><Relationship Id="rId14" Type="http://schemas.openxmlformats.org/officeDocument/2006/relationships/hyperlink" Target="javascript:__doPostBack('ctl00$ContentPlaceHolder1$GridView1','Sort$tur')" TargetMode="External"/><Relationship Id="rId22" Type="http://schemas.openxmlformats.org/officeDocument/2006/relationships/hyperlink" Target="https://hashtagbasketball.com/9084/player" TargetMode="External"/><Relationship Id="rId27" Type="http://schemas.openxmlformats.org/officeDocument/2006/relationships/hyperlink" Target="https://hashtagbasketball.com/10115/player" TargetMode="External"/><Relationship Id="rId30" Type="http://schemas.openxmlformats.org/officeDocument/2006/relationships/hyperlink" Target="https://www.espn.com/nba/player/_/id/4066259/deaaron-fox" TargetMode="External"/><Relationship Id="rId35" Type="http://schemas.openxmlformats.org/officeDocument/2006/relationships/hyperlink" Target="https://www.espn.com/nba/player/_/id/4594327/keegan-murray" TargetMode="External"/><Relationship Id="rId43" Type="http://schemas.openxmlformats.org/officeDocument/2006/relationships/hyperlink" Target="https://www.espn.com/nba/player/_/id/5107818/isaac-jones" TargetMode="External"/><Relationship Id="rId48" Type="http://schemas.openxmlformats.org/officeDocument/2006/relationships/hyperlink" Target="https://www.espn.com/nba/player/_/id/3134916/jordan-mclaughlin" TargetMode="External"/><Relationship Id="rId56" Type="http://schemas.openxmlformats.org/officeDocument/2006/relationships/hyperlink" Target="https://www.espn.com/nba/team/stats/_/name/sac/table/game/sort/avgFieldGoalsAttempted/dir/desc" TargetMode="External"/><Relationship Id="rId64" Type="http://schemas.openxmlformats.org/officeDocument/2006/relationships/hyperlink" Target="https://www.espn.com/nba/team/stats/_/name/sac/table/game/sort/avgTwoPointFieldGoalsMade/dir/desc" TargetMode="External"/><Relationship Id="rId69" Type="http://schemas.openxmlformats.org/officeDocument/2006/relationships/hyperlink" Target="javascript:__doPostBack('ctl00$ContentPlaceHolder1$GridView1','Sort$NAME')" TargetMode="External"/><Relationship Id="rId77" Type="http://schemas.openxmlformats.org/officeDocument/2006/relationships/hyperlink" Target="https://hashtagbasketball.com/15323/player" TargetMode="External"/><Relationship Id="rId8" Type="http://schemas.openxmlformats.org/officeDocument/2006/relationships/hyperlink" Target="javascript:__doPostBack('ctl00$ContentPlaceHolder1$GridView1','Sort$tgm')" TargetMode="External"/><Relationship Id="rId51" Type="http://schemas.openxmlformats.org/officeDocument/2006/relationships/hyperlink" Target="https://www.espn.com/nba/player/_/id/4433378/colby-jones" TargetMode="External"/><Relationship Id="rId72" Type="http://schemas.openxmlformats.org/officeDocument/2006/relationships/hyperlink" Target="https://hashtagbasketball.com/9489/player" TargetMode="External"/><Relationship Id="rId80" Type="http://schemas.openxmlformats.org/officeDocument/2006/relationships/hyperlink" Target="https://hashtagbasketball.com/120013/player" TargetMode="External"/><Relationship Id="rId85" Type="http://schemas.openxmlformats.org/officeDocument/2006/relationships/hyperlink" Target="javascript:__doPostBack('ctl00$ContentPlaceHolder1$GridView1','Sort$MPG')" TargetMode="External"/><Relationship Id="rId3" Type="http://schemas.openxmlformats.org/officeDocument/2006/relationships/hyperlink" Target="javascript:__doPostBack('ctl00$ContentPlaceHolder1$GridView1','Sort$tsum')" TargetMode="External"/><Relationship Id="rId12" Type="http://schemas.openxmlformats.org/officeDocument/2006/relationships/hyperlink" Target="javascript:__doPostBack('ctl00$ContentPlaceHolder1$GridView1','Sort$stl')" TargetMode="External"/><Relationship Id="rId17" Type="http://schemas.openxmlformats.org/officeDocument/2006/relationships/hyperlink" Target="https://hashtagbasketball.com/9343/player" TargetMode="External"/><Relationship Id="rId25" Type="http://schemas.openxmlformats.org/officeDocument/2006/relationships/hyperlink" Target="https://hashtagbasketball.com/120244/player" TargetMode="External"/><Relationship Id="rId33" Type="http://schemas.openxmlformats.org/officeDocument/2006/relationships/hyperlink" Target="https://www.espn.com/nba/player/_/id/3155942/domantas-sabonis" TargetMode="External"/><Relationship Id="rId38" Type="http://schemas.openxmlformats.org/officeDocument/2006/relationships/hyperlink" Target="https://www.espn.com/nba/player/_/id/4066372/kevin-huerter" TargetMode="External"/><Relationship Id="rId46" Type="http://schemas.openxmlformats.org/officeDocument/2006/relationships/hyperlink" Target="https://www.espn.com/nba/player/_/id/4395704/mason-jones" TargetMode="External"/><Relationship Id="rId59" Type="http://schemas.openxmlformats.org/officeDocument/2006/relationships/hyperlink" Target="https://www.espn.com/nba/team/stats/_/name/sac/table/game/sort/avgThreePointFieldGoalsAttempted/dir/desc" TargetMode="External"/><Relationship Id="rId67" Type="http://schemas.openxmlformats.org/officeDocument/2006/relationships/hyperlink" Target="https://www.espn.com/nba/team/stats/_/name/sac/table/game/sort/scoringEfficiency/dir/desc" TargetMode="External"/><Relationship Id="rId20" Type="http://schemas.openxmlformats.org/officeDocument/2006/relationships/hyperlink" Target="https://hashtagbasketball.com/38942/player" TargetMode="External"/><Relationship Id="rId41" Type="http://schemas.openxmlformats.org/officeDocument/2006/relationships/hyperlink" Target="https://www.espn.com/nba/player/_/id/4433188/devin-carter" TargetMode="External"/><Relationship Id="rId54" Type="http://schemas.openxmlformats.org/officeDocument/2006/relationships/hyperlink" Target="https://www.espn.com/nba/player/_/id/4279815/terry-taylor" TargetMode="External"/><Relationship Id="rId62" Type="http://schemas.openxmlformats.org/officeDocument/2006/relationships/hyperlink" Target="https://www.espn.com/nba/team/stats/_/name/sac/table/game/sort/avgFreeThrowsAttempted/dir/desc" TargetMode="External"/><Relationship Id="rId70" Type="http://schemas.openxmlformats.org/officeDocument/2006/relationships/hyperlink" Target="https://hashtagbasketball.com/10113/player" TargetMode="External"/><Relationship Id="rId75" Type="http://schemas.openxmlformats.org/officeDocument/2006/relationships/hyperlink" Target="https://hashtagbasketball.com/13739/player" TargetMode="External"/><Relationship Id="rId83" Type="http://schemas.openxmlformats.org/officeDocument/2006/relationships/hyperlink" Target="https://hashtagbasketball.com/120082/player" TargetMode="External"/><Relationship Id="rId1" Type="http://schemas.openxmlformats.org/officeDocument/2006/relationships/hyperlink" Target="javascript:__doPostBack('ctl00$ContentPlaceHolder1$GridView1','Sort$NAME')" TargetMode="External"/><Relationship Id="rId6" Type="http://schemas.openxmlformats.org/officeDocument/2006/relationships/hyperlink" Target="javascript:__doPostBack('ctl00$ContentPlaceHolder1$GridView1','Sort$fgp')" TargetMode="External"/><Relationship Id="rId15" Type="http://schemas.openxmlformats.org/officeDocument/2006/relationships/hyperlink" Target="javascript:__doPostBack('ctl00$ContentPlaceHolder1$GridView1','Sort$totalz')" TargetMode="External"/><Relationship Id="rId23" Type="http://schemas.openxmlformats.org/officeDocument/2006/relationships/hyperlink" Target="https://hashtagbasketball.com/15323/player" TargetMode="External"/><Relationship Id="rId28" Type="http://schemas.openxmlformats.org/officeDocument/2006/relationships/hyperlink" Target="https://hashtagbasketball.com/9148/player" TargetMode="External"/><Relationship Id="rId36" Type="http://schemas.openxmlformats.org/officeDocument/2006/relationships/hyperlink" Target="https://www.espn.com/nba/player/_/id/6477/jonas-valanciunas" TargetMode="External"/><Relationship Id="rId49" Type="http://schemas.openxmlformats.org/officeDocument/2006/relationships/hyperlink" Target="https://www.espn.com/nba/player/_/id/2596107/alex-len" TargetMode="External"/><Relationship Id="rId57" Type="http://schemas.openxmlformats.org/officeDocument/2006/relationships/hyperlink" Target="https://www.espn.com/nba/team/stats/_/name/sac/table/game/sort/fieldGoalPct/dir/desc" TargetMode="External"/><Relationship Id="rId10" Type="http://schemas.openxmlformats.org/officeDocument/2006/relationships/hyperlink" Target="javascript:__doPostBack('ctl00$ContentPlaceHolder1$GridView1','Sort$reb')" TargetMode="External"/><Relationship Id="rId31" Type="http://schemas.openxmlformats.org/officeDocument/2006/relationships/hyperlink" Target="https://www.espn.com/nba/player/_/id/3064440/zach-lavine" TargetMode="External"/><Relationship Id="rId44" Type="http://schemas.openxmlformats.org/officeDocument/2006/relationships/hyperlink" Target="https://www.espn.com/nba/player/_/id/4066636/markelle-fultz" TargetMode="External"/><Relationship Id="rId52" Type="http://schemas.openxmlformats.org/officeDocument/2006/relationships/hyperlink" Target="https://www.espn.com/nba/player/_/id/4592857/isaiah-crawford" TargetMode="External"/><Relationship Id="rId60" Type="http://schemas.openxmlformats.org/officeDocument/2006/relationships/hyperlink" Target="https://www.espn.com/nba/team/stats/_/name/sac/table/game/sort/threePointPct/dir/desc" TargetMode="External"/><Relationship Id="rId65" Type="http://schemas.openxmlformats.org/officeDocument/2006/relationships/hyperlink" Target="https://www.espn.com/nba/team/stats/_/name/sac/table/game/sort/avgTwoPointFieldGoalsAttempted/dir/desc" TargetMode="External"/><Relationship Id="rId73" Type="http://schemas.openxmlformats.org/officeDocument/2006/relationships/hyperlink" Target="https://hashtagbasketball.com/53595/player" TargetMode="External"/><Relationship Id="rId78" Type="http://schemas.openxmlformats.org/officeDocument/2006/relationships/hyperlink" Target="https://hashtagbasketball.com/120226/player" TargetMode="External"/><Relationship Id="rId81" Type="http://schemas.openxmlformats.org/officeDocument/2006/relationships/hyperlink" Target="https://hashtagbasketball.com/10115/player" TargetMode="External"/><Relationship Id="rId86" Type="http://schemas.openxmlformats.org/officeDocument/2006/relationships/hyperlink" Target="javascript:__doPostBack('ctl00$ContentPlaceHolder1$GridView1','Sort$pts')" TargetMode="External"/><Relationship Id="rId4" Type="http://schemas.openxmlformats.org/officeDocument/2006/relationships/hyperlink" Target="javascript:__doPostBack('ctl00$ContentPlaceHolder1$GridView1','Sort$GP')" TargetMode="External"/><Relationship Id="rId9" Type="http://schemas.openxmlformats.org/officeDocument/2006/relationships/hyperlink" Target="javascript:__doPostBack('ctl00$ContentPlaceHolder1$GridView1','Sort$pts')" TargetMode="External"/><Relationship Id="rId13" Type="http://schemas.openxmlformats.org/officeDocument/2006/relationships/hyperlink" Target="javascript:__doPostBack('ctl00$ContentPlaceHolder1$GridView1','Sort$blk')" TargetMode="External"/><Relationship Id="rId18" Type="http://schemas.openxmlformats.org/officeDocument/2006/relationships/hyperlink" Target="https://hashtagbasketball.com/9489/player" TargetMode="External"/><Relationship Id="rId39" Type="http://schemas.openxmlformats.org/officeDocument/2006/relationships/hyperlink" Target="https://www.espn.com/nba/player/_/id/3136196/trey-lyles" TargetMode="External"/><Relationship Id="rId34" Type="http://schemas.openxmlformats.org/officeDocument/2006/relationships/hyperlink" Target="https://www.espn.com/nba/player/_/id/4066262/malik-monk" TargetMode="External"/><Relationship Id="rId50" Type="http://schemas.openxmlformats.org/officeDocument/2006/relationships/hyperlink" Target="https://www.espn.com/nba/player/_/id/3936296/skal-labissiere" TargetMode="External"/><Relationship Id="rId55" Type="http://schemas.openxmlformats.org/officeDocument/2006/relationships/hyperlink" Target="https://www.espn.com/nba/team/stats/_/name/sac/table/game/sort/avgFieldGoalsMade/dir/desc" TargetMode="External"/><Relationship Id="rId76" Type="http://schemas.openxmlformats.org/officeDocument/2006/relationships/hyperlink" Target="https://hashtagbasketball.com/9084/player" TargetMode="External"/><Relationship Id="rId7" Type="http://schemas.openxmlformats.org/officeDocument/2006/relationships/hyperlink" Target="javascript:__doPostBack('ctl00$ContentPlaceHolder1$GridView1','Sort$ftp')" TargetMode="External"/><Relationship Id="rId71" Type="http://schemas.openxmlformats.org/officeDocument/2006/relationships/hyperlink" Target="https://hashtagbasketball.com/9343/player" TargetMode="External"/><Relationship Id="rId2" Type="http://schemas.openxmlformats.org/officeDocument/2006/relationships/hyperlink" Target="javascript:__doPostBack('ctl00$ContentPlaceHolder1$GridView1','Sort$posm')" TargetMode="External"/><Relationship Id="rId29" Type="http://schemas.openxmlformats.org/officeDocument/2006/relationships/hyperlink" Target="https://hashtagbasketball.com/120082/player" TargetMode="External"/><Relationship Id="rId24" Type="http://schemas.openxmlformats.org/officeDocument/2006/relationships/hyperlink" Target="https://hashtagbasketball.com/120226/player" TargetMode="External"/><Relationship Id="rId40" Type="http://schemas.openxmlformats.org/officeDocument/2006/relationships/hyperlink" Target="https://www.espn.com/nba/player/_/id/4592691/jake-laravia" TargetMode="External"/><Relationship Id="rId45" Type="http://schemas.openxmlformats.org/officeDocument/2006/relationships/hyperlink" Target="https://www.espn.com/nba/player/_/id/6581/jae-crowder" TargetMode="External"/><Relationship Id="rId66" Type="http://schemas.openxmlformats.org/officeDocument/2006/relationships/hyperlink" Target="https://www.espn.com/nba/team/stats/_/name/sac/table/game/sort/twoPointFieldGoalPct/dir/desc" TargetMode="External"/><Relationship Id="rId61" Type="http://schemas.openxmlformats.org/officeDocument/2006/relationships/hyperlink" Target="https://www.espn.com/nba/team/stats/_/name/sac/table/game/sort/avgFreeThrowsMade/dir/desc" TargetMode="External"/><Relationship Id="rId82" Type="http://schemas.openxmlformats.org/officeDocument/2006/relationships/hyperlink" Target="https://hashtagbasketball.com/9148/player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agbasketball.com/9447/player" TargetMode="External"/><Relationship Id="rId299" Type="http://schemas.openxmlformats.org/officeDocument/2006/relationships/hyperlink" Target="https://hashtagbasketball.com/39834/player" TargetMode="External"/><Relationship Id="rId21" Type="http://schemas.openxmlformats.org/officeDocument/2006/relationships/hyperlink" Target="https://hashtagbasketball.com/31035/player" TargetMode="External"/><Relationship Id="rId63" Type="http://schemas.openxmlformats.org/officeDocument/2006/relationships/hyperlink" Target="https://hashtagbasketball.com/120011/player" TargetMode="External"/><Relationship Id="rId159" Type="http://schemas.openxmlformats.org/officeDocument/2006/relationships/hyperlink" Target="https://hashtagbasketball.com/38940/player" TargetMode="External"/><Relationship Id="rId324" Type="http://schemas.openxmlformats.org/officeDocument/2006/relationships/hyperlink" Target="https://hashtagbasketball.com/120388/player" TargetMode="External"/><Relationship Id="rId366" Type="http://schemas.openxmlformats.org/officeDocument/2006/relationships/hyperlink" Target="https://hashtagbasketball.com/31051/player" TargetMode="External"/><Relationship Id="rId170" Type="http://schemas.openxmlformats.org/officeDocument/2006/relationships/hyperlink" Target="https://hashtagbasketball.com/120041/player" TargetMode="External"/><Relationship Id="rId226" Type="http://schemas.openxmlformats.org/officeDocument/2006/relationships/hyperlink" Target="https://hashtagbasketball.com/120199/player" TargetMode="External"/><Relationship Id="rId268" Type="http://schemas.openxmlformats.org/officeDocument/2006/relationships/hyperlink" Target="https://hashtagbasketball.com/120006/player" TargetMode="External"/><Relationship Id="rId32" Type="http://schemas.openxmlformats.org/officeDocument/2006/relationships/hyperlink" Target="https://hashtagbasketball.com/9476/player" TargetMode="External"/><Relationship Id="rId74" Type="http://schemas.openxmlformats.org/officeDocument/2006/relationships/hyperlink" Target="https://hashtagbasketball.com/38954/player" TargetMode="External"/><Relationship Id="rId128" Type="http://schemas.openxmlformats.org/officeDocument/2006/relationships/hyperlink" Target="https://hashtagbasketball.com/9406/player" TargetMode="External"/><Relationship Id="rId335" Type="http://schemas.openxmlformats.org/officeDocument/2006/relationships/hyperlink" Target="https://hashtagbasketball.com/9283/player" TargetMode="External"/><Relationship Id="rId377" Type="http://schemas.openxmlformats.org/officeDocument/2006/relationships/hyperlink" Target="https://hashtagbasketball.com/15224/player" TargetMode="External"/><Relationship Id="rId5" Type="http://schemas.openxmlformats.org/officeDocument/2006/relationships/hyperlink" Target="https://hashtagbasketball.com/31030/player" TargetMode="External"/><Relationship Id="rId181" Type="http://schemas.openxmlformats.org/officeDocument/2006/relationships/hyperlink" Target="https://hashtagbasketball.com/27593/player" TargetMode="External"/><Relationship Id="rId237" Type="http://schemas.openxmlformats.org/officeDocument/2006/relationships/hyperlink" Target="https://hashtagbasketball.com/120251/player" TargetMode="External"/><Relationship Id="rId402" Type="http://schemas.openxmlformats.org/officeDocument/2006/relationships/hyperlink" Target="https://hashtagbasketball.com/9423/player" TargetMode="External"/><Relationship Id="rId279" Type="http://schemas.openxmlformats.org/officeDocument/2006/relationships/hyperlink" Target="https://hashtagbasketball.com/111235/player" TargetMode="External"/><Relationship Id="rId43" Type="http://schemas.openxmlformats.org/officeDocument/2006/relationships/hyperlink" Target="https://hashtagbasketball.com/120003/player" TargetMode="External"/><Relationship Id="rId139" Type="http://schemas.openxmlformats.org/officeDocument/2006/relationships/hyperlink" Target="https://hashtagbasketball.com/9412/player" TargetMode="External"/><Relationship Id="rId290" Type="http://schemas.openxmlformats.org/officeDocument/2006/relationships/hyperlink" Target="https://hashtagbasketball.com/10087/player" TargetMode="External"/><Relationship Id="rId304" Type="http://schemas.openxmlformats.org/officeDocument/2006/relationships/hyperlink" Target="https://hashtagbasketball.com/111207/player" TargetMode="External"/><Relationship Id="rId346" Type="http://schemas.openxmlformats.org/officeDocument/2006/relationships/hyperlink" Target="https://hashtagbasketball.com/13726/player" TargetMode="External"/><Relationship Id="rId388" Type="http://schemas.openxmlformats.org/officeDocument/2006/relationships/hyperlink" Target="https://hashtagbasketball.com/38948/player" TargetMode="External"/><Relationship Id="rId85" Type="http://schemas.openxmlformats.org/officeDocument/2006/relationships/hyperlink" Target="https://hashtagbasketball.com/27718/player" TargetMode="External"/><Relationship Id="rId150" Type="http://schemas.openxmlformats.org/officeDocument/2006/relationships/hyperlink" Target="https://hashtagbasketball.com/31036/player" TargetMode="External"/><Relationship Id="rId192" Type="http://schemas.openxmlformats.org/officeDocument/2006/relationships/hyperlink" Target="https://hashtagbasketball.com/53821/player" TargetMode="External"/><Relationship Id="rId206" Type="http://schemas.openxmlformats.org/officeDocument/2006/relationships/hyperlink" Target="https://hashtagbasketball.com/120339/player" TargetMode="External"/><Relationship Id="rId413" Type="http://schemas.openxmlformats.org/officeDocument/2006/relationships/hyperlink" Target="https://hashtagbasketball.com/120227/player" TargetMode="External"/><Relationship Id="rId248" Type="http://schemas.openxmlformats.org/officeDocument/2006/relationships/hyperlink" Target="https://hashtagbasketball.com/15293/player" TargetMode="External"/><Relationship Id="rId12" Type="http://schemas.openxmlformats.org/officeDocument/2006/relationships/hyperlink" Target="https://hashtagbasketball.com/27619/player" TargetMode="External"/><Relationship Id="rId108" Type="http://schemas.openxmlformats.org/officeDocument/2006/relationships/hyperlink" Target="https://hashtagbasketball.com/120060/player" TargetMode="External"/><Relationship Id="rId315" Type="http://schemas.openxmlformats.org/officeDocument/2006/relationships/hyperlink" Target="https://hashtagbasketball.com/111229/player" TargetMode="External"/><Relationship Id="rId357" Type="http://schemas.openxmlformats.org/officeDocument/2006/relationships/hyperlink" Target="https://hashtagbasketball.com/35208/player" TargetMode="External"/><Relationship Id="rId54" Type="http://schemas.openxmlformats.org/officeDocument/2006/relationships/hyperlink" Target="https://hashtagbasketball.com/120002/player" TargetMode="External"/><Relationship Id="rId96" Type="http://schemas.openxmlformats.org/officeDocument/2006/relationships/hyperlink" Target="https://hashtagbasketball.com/27724/player" TargetMode="External"/><Relationship Id="rId161" Type="http://schemas.openxmlformats.org/officeDocument/2006/relationships/hyperlink" Target="https://hashtagbasketball.com/15205/player" TargetMode="External"/><Relationship Id="rId217" Type="http://schemas.openxmlformats.org/officeDocument/2006/relationships/hyperlink" Target="https://hashtagbasketball.com/120013/player" TargetMode="External"/><Relationship Id="rId399" Type="http://schemas.openxmlformats.org/officeDocument/2006/relationships/hyperlink" Target="https://hashtagbasketball.com/10129/player" TargetMode="External"/><Relationship Id="rId259" Type="http://schemas.openxmlformats.org/officeDocument/2006/relationships/hyperlink" Target="https://hashtagbasketball.com/111240/player" TargetMode="External"/><Relationship Id="rId23" Type="http://schemas.openxmlformats.org/officeDocument/2006/relationships/hyperlink" Target="https://hashtagbasketball.com/35041/player" TargetMode="External"/><Relationship Id="rId119" Type="http://schemas.openxmlformats.org/officeDocument/2006/relationships/hyperlink" Target="https://hashtagbasketball.com/39849/player" TargetMode="External"/><Relationship Id="rId270" Type="http://schemas.openxmlformats.org/officeDocument/2006/relationships/hyperlink" Target="https://hashtagbasketball.com/31044/player" TargetMode="External"/><Relationship Id="rId326" Type="http://schemas.openxmlformats.org/officeDocument/2006/relationships/hyperlink" Target="https://hashtagbasketball.com/35173/player" TargetMode="External"/><Relationship Id="rId65" Type="http://schemas.openxmlformats.org/officeDocument/2006/relationships/hyperlink" Target="https://hashtagbasketball.com/16958/player" TargetMode="External"/><Relationship Id="rId130" Type="http://schemas.openxmlformats.org/officeDocument/2006/relationships/hyperlink" Target="https://hashtagbasketball.com/120009/player" TargetMode="External"/><Relationship Id="rId368" Type="http://schemas.openxmlformats.org/officeDocument/2006/relationships/hyperlink" Target="https://hashtagbasketball.com/120065/player" TargetMode="External"/><Relationship Id="rId172" Type="http://schemas.openxmlformats.org/officeDocument/2006/relationships/hyperlink" Target="https://hashtagbasketball.com/31038/player" TargetMode="External"/><Relationship Id="rId228" Type="http://schemas.openxmlformats.org/officeDocument/2006/relationships/hyperlink" Target="https://hashtagbasketball.com/120056/player" TargetMode="External"/><Relationship Id="rId281" Type="http://schemas.openxmlformats.org/officeDocument/2006/relationships/hyperlink" Target="https://hashtagbasketball.com/17270/player" TargetMode="External"/><Relationship Id="rId337" Type="http://schemas.openxmlformats.org/officeDocument/2006/relationships/hyperlink" Target="https://hashtagbasketball.com/15353/player" TargetMode="External"/><Relationship Id="rId34" Type="http://schemas.openxmlformats.org/officeDocument/2006/relationships/hyperlink" Target="https://hashtagbasketball.com/38848/player" TargetMode="External"/><Relationship Id="rId76" Type="http://schemas.openxmlformats.org/officeDocument/2006/relationships/hyperlink" Target="https://hashtagbasketball.com/120018/player" TargetMode="External"/><Relationship Id="rId141" Type="http://schemas.openxmlformats.org/officeDocument/2006/relationships/hyperlink" Target="https://hashtagbasketball.com/9192/player" TargetMode="External"/><Relationship Id="rId379" Type="http://schemas.openxmlformats.org/officeDocument/2006/relationships/hyperlink" Target="https://hashtagbasketball.com/120005/player" TargetMode="External"/><Relationship Id="rId7" Type="http://schemas.openxmlformats.org/officeDocument/2006/relationships/hyperlink" Target="https://hashtagbasketball.com/27638/player" TargetMode="External"/><Relationship Id="rId183" Type="http://schemas.openxmlformats.org/officeDocument/2006/relationships/hyperlink" Target="https://hashtagbasketball.com/31054/player" TargetMode="External"/><Relationship Id="rId239" Type="http://schemas.openxmlformats.org/officeDocument/2006/relationships/hyperlink" Target="https://hashtagbasketball.com/120243/player" TargetMode="External"/><Relationship Id="rId390" Type="http://schemas.openxmlformats.org/officeDocument/2006/relationships/hyperlink" Target="https://hashtagbasketball.com/27691/player" TargetMode="External"/><Relationship Id="rId404" Type="http://schemas.openxmlformats.org/officeDocument/2006/relationships/hyperlink" Target="https://hashtagbasketball.com/27591/player" TargetMode="External"/><Relationship Id="rId250" Type="http://schemas.openxmlformats.org/officeDocument/2006/relationships/hyperlink" Target="https://hashtagbasketball.com/15341/player" TargetMode="External"/><Relationship Id="rId292" Type="http://schemas.openxmlformats.org/officeDocument/2006/relationships/hyperlink" Target="https://hashtagbasketball.com/111217/player" TargetMode="External"/><Relationship Id="rId306" Type="http://schemas.openxmlformats.org/officeDocument/2006/relationships/hyperlink" Target="https://hashtagbasketball.com/35219/player" TargetMode="External"/><Relationship Id="rId45" Type="http://schemas.openxmlformats.org/officeDocument/2006/relationships/hyperlink" Target="https://hashtagbasketball.com/13755/player" TargetMode="External"/><Relationship Id="rId87" Type="http://schemas.openxmlformats.org/officeDocument/2006/relationships/hyperlink" Target="https://hashtagbasketball.com/120234/player" TargetMode="External"/><Relationship Id="rId110" Type="http://schemas.openxmlformats.org/officeDocument/2006/relationships/hyperlink" Target="https://hashtagbasketball.com/13860/player" TargetMode="External"/><Relationship Id="rId348" Type="http://schemas.openxmlformats.org/officeDocument/2006/relationships/hyperlink" Target="https://hashtagbasketball.com/9334/player" TargetMode="External"/><Relationship Id="rId152" Type="http://schemas.openxmlformats.org/officeDocument/2006/relationships/hyperlink" Target="https://hashtagbasketball.com/38614/player" TargetMode="External"/><Relationship Id="rId194" Type="http://schemas.openxmlformats.org/officeDocument/2006/relationships/hyperlink" Target="https://hashtagbasketball.com/27596/player" TargetMode="External"/><Relationship Id="rId208" Type="http://schemas.openxmlformats.org/officeDocument/2006/relationships/hyperlink" Target="https://hashtagbasketball.com/120383/player" TargetMode="External"/><Relationship Id="rId415" Type="http://schemas.openxmlformats.org/officeDocument/2006/relationships/hyperlink" Target="https://hashtagbasketball.com/120016/player" TargetMode="External"/><Relationship Id="rId261" Type="http://schemas.openxmlformats.org/officeDocument/2006/relationships/hyperlink" Target="https://hashtagbasketball.com/38958/player" TargetMode="External"/><Relationship Id="rId14" Type="http://schemas.openxmlformats.org/officeDocument/2006/relationships/hyperlink" Target="https://hashtagbasketball.com/31033/player" TargetMode="External"/><Relationship Id="rId56" Type="http://schemas.openxmlformats.org/officeDocument/2006/relationships/hyperlink" Target="https://hashtagbasketball.com/120369/player" TargetMode="External"/><Relationship Id="rId317" Type="http://schemas.openxmlformats.org/officeDocument/2006/relationships/hyperlink" Target="https://hashtagbasketball.com/111209/player" TargetMode="External"/><Relationship Id="rId359" Type="http://schemas.openxmlformats.org/officeDocument/2006/relationships/hyperlink" Target="https://hashtagbasketball.com/9203/player" TargetMode="External"/><Relationship Id="rId98" Type="http://schemas.openxmlformats.org/officeDocument/2006/relationships/hyperlink" Target="https://hashtagbasketball.com/15209/player" TargetMode="External"/><Relationship Id="rId121" Type="http://schemas.openxmlformats.org/officeDocument/2006/relationships/hyperlink" Target="https://hashtagbasketball.com/17304/player" TargetMode="External"/><Relationship Id="rId163" Type="http://schemas.openxmlformats.org/officeDocument/2006/relationships/hyperlink" Target="https://hashtagbasketball.com/9419/player" TargetMode="External"/><Relationship Id="rId219" Type="http://schemas.openxmlformats.org/officeDocument/2006/relationships/hyperlink" Target="https://hashtagbasketball.com/120096/player" TargetMode="External"/><Relationship Id="rId370" Type="http://schemas.openxmlformats.org/officeDocument/2006/relationships/hyperlink" Target="https://hashtagbasketball.com/27850/player" TargetMode="External"/><Relationship Id="rId230" Type="http://schemas.openxmlformats.org/officeDocument/2006/relationships/hyperlink" Target="https://hashtagbasketball.com/120228/player" TargetMode="External"/><Relationship Id="rId25" Type="http://schemas.openxmlformats.org/officeDocument/2006/relationships/hyperlink" Target="https://hashtagbasketball.com/9434/player" TargetMode="External"/><Relationship Id="rId67" Type="http://schemas.openxmlformats.org/officeDocument/2006/relationships/hyperlink" Target="https://hashtagbasketball.com/9282/player" TargetMode="External"/><Relationship Id="rId272" Type="http://schemas.openxmlformats.org/officeDocument/2006/relationships/hyperlink" Target="https://hashtagbasketball.com/53608/player" TargetMode="External"/><Relationship Id="rId328" Type="http://schemas.openxmlformats.org/officeDocument/2006/relationships/hyperlink" Target="https://hashtagbasketball.com/120287/player" TargetMode="External"/><Relationship Id="rId132" Type="http://schemas.openxmlformats.org/officeDocument/2006/relationships/hyperlink" Target="https://hashtagbasketball.com/9212/player" TargetMode="External"/><Relationship Id="rId174" Type="http://schemas.openxmlformats.org/officeDocument/2006/relationships/hyperlink" Target="https://hashtagbasketball.com/109469/player" TargetMode="External"/><Relationship Id="rId381" Type="http://schemas.openxmlformats.org/officeDocument/2006/relationships/hyperlink" Target="https://hashtagbasketball.com/17190/player" TargetMode="External"/><Relationship Id="rId241" Type="http://schemas.openxmlformats.org/officeDocument/2006/relationships/hyperlink" Target="https://hashtagbasketball.com/111221/player" TargetMode="External"/><Relationship Id="rId36" Type="http://schemas.openxmlformats.org/officeDocument/2006/relationships/hyperlink" Target="https://hashtagbasketball.com/31046/player" TargetMode="External"/><Relationship Id="rId283" Type="http://schemas.openxmlformats.org/officeDocument/2006/relationships/hyperlink" Target="https://hashtagbasketball.com/9237/player" TargetMode="External"/><Relationship Id="rId339" Type="http://schemas.openxmlformats.org/officeDocument/2006/relationships/hyperlink" Target="https://hashtagbasketball.com/111258/player" TargetMode="External"/><Relationship Id="rId78" Type="http://schemas.openxmlformats.org/officeDocument/2006/relationships/hyperlink" Target="https://hashtagbasketball.com/120367/player" TargetMode="External"/><Relationship Id="rId101" Type="http://schemas.openxmlformats.org/officeDocument/2006/relationships/hyperlink" Target="https://hashtagbasketball.com/9252/player" TargetMode="External"/><Relationship Id="rId143" Type="http://schemas.openxmlformats.org/officeDocument/2006/relationships/hyperlink" Target="https://hashtagbasketball.com/120029/player" TargetMode="External"/><Relationship Id="rId185" Type="http://schemas.openxmlformats.org/officeDocument/2006/relationships/hyperlink" Target="https://hashtagbasketball.com/10122/player" TargetMode="External"/><Relationship Id="rId350" Type="http://schemas.openxmlformats.org/officeDocument/2006/relationships/hyperlink" Target="https://hashtagbasketball.com/27637/player" TargetMode="External"/><Relationship Id="rId406" Type="http://schemas.openxmlformats.org/officeDocument/2006/relationships/hyperlink" Target="https://hashtagbasketball.com/120039/player" TargetMode="External"/><Relationship Id="rId9" Type="http://schemas.openxmlformats.org/officeDocument/2006/relationships/hyperlink" Target="https://hashtagbasketball.com/27450/player" TargetMode="External"/><Relationship Id="rId210" Type="http://schemas.openxmlformats.org/officeDocument/2006/relationships/hyperlink" Target="https://hashtagbasketball.com/120386/player" TargetMode="External"/><Relationship Id="rId392" Type="http://schemas.openxmlformats.org/officeDocument/2006/relationships/hyperlink" Target="https://hashtagbasketball.com/9523/player" TargetMode="External"/><Relationship Id="rId252" Type="http://schemas.openxmlformats.org/officeDocument/2006/relationships/hyperlink" Target="https://hashtagbasketball.com/13856/player" TargetMode="External"/><Relationship Id="rId294" Type="http://schemas.openxmlformats.org/officeDocument/2006/relationships/hyperlink" Target="https://hashtagbasketball.com/120118/player" TargetMode="External"/><Relationship Id="rId308" Type="http://schemas.openxmlformats.org/officeDocument/2006/relationships/hyperlink" Target="https://hashtagbasketball.com/109468/player" TargetMode="External"/><Relationship Id="rId47" Type="http://schemas.openxmlformats.org/officeDocument/2006/relationships/hyperlink" Target="https://hashtagbasketball.com/120214/player" TargetMode="External"/><Relationship Id="rId89" Type="http://schemas.openxmlformats.org/officeDocument/2006/relationships/hyperlink" Target="https://hashtagbasketball.com/17193/player" TargetMode="External"/><Relationship Id="rId112" Type="http://schemas.openxmlformats.org/officeDocument/2006/relationships/hyperlink" Target="https://hashtagbasketball.com/9118/player" TargetMode="External"/><Relationship Id="rId154" Type="http://schemas.openxmlformats.org/officeDocument/2006/relationships/hyperlink" Target="https://hashtagbasketball.com/38944/player" TargetMode="External"/><Relationship Id="rId361" Type="http://schemas.openxmlformats.org/officeDocument/2006/relationships/hyperlink" Target="https://hashtagbasketball.com/111220/player" TargetMode="External"/><Relationship Id="rId196" Type="http://schemas.openxmlformats.org/officeDocument/2006/relationships/hyperlink" Target="https://hashtagbasketball.com/120392/player" TargetMode="External"/><Relationship Id="rId417" Type="http://schemas.openxmlformats.org/officeDocument/2006/relationships/hyperlink" Target="https://hashtagbasketball.com/13740/player" TargetMode="External"/><Relationship Id="rId16" Type="http://schemas.openxmlformats.org/officeDocument/2006/relationships/hyperlink" Target="https://hashtagbasketball.com/9386/player" TargetMode="External"/><Relationship Id="rId221" Type="http://schemas.openxmlformats.org/officeDocument/2006/relationships/hyperlink" Target="https://hashtagbasketball.com/120100/player" TargetMode="External"/><Relationship Id="rId263" Type="http://schemas.openxmlformats.org/officeDocument/2006/relationships/hyperlink" Target="https://hashtagbasketball.com/31055/player" TargetMode="External"/><Relationship Id="rId319" Type="http://schemas.openxmlformats.org/officeDocument/2006/relationships/hyperlink" Target="https://hashtagbasketball.com/120222/player" TargetMode="External"/><Relationship Id="rId58" Type="http://schemas.openxmlformats.org/officeDocument/2006/relationships/hyperlink" Target="https://hashtagbasketball.com/17208/player" TargetMode="External"/><Relationship Id="rId123" Type="http://schemas.openxmlformats.org/officeDocument/2006/relationships/hyperlink" Target="https://hashtagbasketball.com/27883/player" TargetMode="External"/><Relationship Id="rId330" Type="http://schemas.openxmlformats.org/officeDocument/2006/relationships/hyperlink" Target="https://hashtagbasketball.com/120068/player" TargetMode="External"/><Relationship Id="rId165" Type="http://schemas.openxmlformats.org/officeDocument/2006/relationships/hyperlink" Target="https://hashtagbasketball.com/13753/player" TargetMode="External"/><Relationship Id="rId372" Type="http://schemas.openxmlformats.org/officeDocument/2006/relationships/hyperlink" Target="https://hashtagbasketball.com/31059/player" TargetMode="External"/><Relationship Id="rId232" Type="http://schemas.openxmlformats.org/officeDocument/2006/relationships/hyperlink" Target="https://hashtagbasketball.com/31087/player" TargetMode="External"/><Relationship Id="rId274" Type="http://schemas.openxmlformats.org/officeDocument/2006/relationships/hyperlink" Target="https://hashtagbasketball.com/10136/player" TargetMode="External"/><Relationship Id="rId27" Type="http://schemas.openxmlformats.org/officeDocument/2006/relationships/hyperlink" Target="https://hashtagbasketball.com/13742/player" TargetMode="External"/><Relationship Id="rId69" Type="http://schemas.openxmlformats.org/officeDocument/2006/relationships/hyperlink" Target="https://hashtagbasketball.com/120000/player" TargetMode="External"/><Relationship Id="rId134" Type="http://schemas.openxmlformats.org/officeDocument/2006/relationships/hyperlink" Target="https://hashtagbasketball.com/17181/player" TargetMode="External"/><Relationship Id="rId80" Type="http://schemas.openxmlformats.org/officeDocument/2006/relationships/hyperlink" Target="https://hashtagbasketball.com/13732/player" TargetMode="External"/><Relationship Id="rId176" Type="http://schemas.openxmlformats.org/officeDocument/2006/relationships/hyperlink" Target="https://hashtagbasketball.com/17286/player" TargetMode="External"/><Relationship Id="rId341" Type="http://schemas.openxmlformats.org/officeDocument/2006/relationships/hyperlink" Target="https://hashtagbasketball.com/13784/player" TargetMode="External"/><Relationship Id="rId383" Type="http://schemas.openxmlformats.org/officeDocument/2006/relationships/hyperlink" Target="https://hashtagbasketball.com/120015/player" TargetMode="External"/><Relationship Id="rId201" Type="http://schemas.openxmlformats.org/officeDocument/2006/relationships/hyperlink" Target="https://hashtagbasketball.com/120411/player" TargetMode="External"/><Relationship Id="rId243" Type="http://schemas.openxmlformats.org/officeDocument/2006/relationships/hyperlink" Target="https://hashtagbasketball.com/111249/player" TargetMode="External"/><Relationship Id="rId285" Type="http://schemas.openxmlformats.org/officeDocument/2006/relationships/hyperlink" Target="https://hashtagbasketball.com/120230/player" TargetMode="External"/><Relationship Id="rId17" Type="http://schemas.openxmlformats.org/officeDocument/2006/relationships/hyperlink" Target="https://hashtagbasketball.com/31045/player" TargetMode="External"/><Relationship Id="rId38" Type="http://schemas.openxmlformats.org/officeDocument/2006/relationships/hyperlink" Target="https://hashtagbasketball.com/9158/player" TargetMode="External"/><Relationship Id="rId59" Type="http://schemas.openxmlformats.org/officeDocument/2006/relationships/hyperlink" Target="https://hashtagbasketball.com/10169/player" TargetMode="External"/><Relationship Id="rId103" Type="http://schemas.openxmlformats.org/officeDocument/2006/relationships/hyperlink" Target="https://hashtagbasketball.com/9373/player" TargetMode="External"/><Relationship Id="rId124" Type="http://schemas.openxmlformats.org/officeDocument/2006/relationships/hyperlink" Target="https://hashtagbasketball.com/9151/player" TargetMode="External"/><Relationship Id="rId310" Type="http://schemas.openxmlformats.org/officeDocument/2006/relationships/hyperlink" Target="https://hashtagbasketball.com/120380/player" TargetMode="External"/><Relationship Id="rId70" Type="http://schemas.openxmlformats.org/officeDocument/2006/relationships/hyperlink" Target="https://hashtagbasketball.com/9445/player" TargetMode="External"/><Relationship Id="rId91" Type="http://schemas.openxmlformats.org/officeDocument/2006/relationships/hyperlink" Target="https://hashtagbasketball.com/38797/player" TargetMode="External"/><Relationship Id="rId145" Type="http://schemas.openxmlformats.org/officeDocument/2006/relationships/hyperlink" Target="https://hashtagbasketball.com/15218/player" TargetMode="External"/><Relationship Id="rId166" Type="http://schemas.openxmlformats.org/officeDocument/2006/relationships/hyperlink" Target="https://hashtagbasketball.com/120209/player" TargetMode="External"/><Relationship Id="rId187" Type="http://schemas.openxmlformats.org/officeDocument/2006/relationships/hyperlink" Target="https://hashtagbasketball.com/39847/player" TargetMode="External"/><Relationship Id="rId331" Type="http://schemas.openxmlformats.org/officeDocument/2006/relationships/hyperlink" Target="https://hashtagbasketball.com/120146/player" TargetMode="External"/><Relationship Id="rId352" Type="http://schemas.openxmlformats.org/officeDocument/2006/relationships/hyperlink" Target="https://hashtagbasketball.com/15288/player" TargetMode="External"/><Relationship Id="rId373" Type="http://schemas.openxmlformats.org/officeDocument/2006/relationships/hyperlink" Target="https://hashtagbasketball.com/120379/player" TargetMode="External"/><Relationship Id="rId394" Type="http://schemas.openxmlformats.org/officeDocument/2006/relationships/hyperlink" Target="https://hashtagbasketball.com/120373/player" TargetMode="External"/><Relationship Id="rId408" Type="http://schemas.openxmlformats.org/officeDocument/2006/relationships/hyperlink" Target="https://hashtagbasketball.com/17255/player" TargetMode="External"/><Relationship Id="rId1" Type="http://schemas.openxmlformats.org/officeDocument/2006/relationships/hyperlink" Target="https://hashtagbasketball.com/9196/player" TargetMode="External"/><Relationship Id="rId212" Type="http://schemas.openxmlformats.org/officeDocument/2006/relationships/hyperlink" Target="https://hashtagbasketball.com/120021/player" TargetMode="External"/><Relationship Id="rId233" Type="http://schemas.openxmlformats.org/officeDocument/2006/relationships/hyperlink" Target="https://hashtagbasketball.com/120233/player" TargetMode="External"/><Relationship Id="rId254" Type="http://schemas.openxmlformats.org/officeDocument/2006/relationships/hyperlink" Target="https://hashtagbasketball.com/111232/player" TargetMode="External"/><Relationship Id="rId28" Type="http://schemas.openxmlformats.org/officeDocument/2006/relationships/hyperlink" Target="https://hashtagbasketball.com/10113/player" TargetMode="External"/><Relationship Id="rId49" Type="http://schemas.openxmlformats.org/officeDocument/2006/relationships/hyperlink" Target="https://hashtagbasketball.com/10123/player" TargetMode="External"/><Relationship Id="rId114" Type="http://schemas.openxmlformats.org/officeDocument/2006/relationships/hyperlink" Target="https://hashtagbasketball.com/120372/player" TargetMode="External"/><Relationship Id="rId275" Type="http://schemas.openxmlformats.org/officeDocument/2006/relationships/hyperlink" Target="https://hashtagbasketball.com/27627/player" TargetMode="External"/><Relationship Id="rId296" Type="http://schemas.openxmlformats.org/officeDocument/2006/relationships/hyperlink" Target="https://hashtagbasketball.com/120236/player" TargetMode="External"/><Relationship Id="rId300" Type="http://schemas.openxmlformats.org/officeDocument/2006/relationships/hyperlink" Target="https://hashtagbasketball.com/120043/player" TargetMode="External"/><Relationship Id="rId60" Type="http://schemas.openxmlformats.org/officeDocument/2006/relationships/hyperlink" Target="https://hashtagbasketball.com/15211/player" TargetMode="External"/><Relationship Id="rId81" Type="http://schemas.openxmlformats.org/officeDocument/2006/relationships/hyperlink" Target="https://hashtagbasketball.com/111205/player" TargetMode="External"/><Relationship Id="rId135" Type="http://schemas.openxmlformats.org/officeDocument/2006/relationships/hyperlink" Target="https://hashtagbasketball.com/111214/player" TargetMode="External"/><Relationship Id="rId156" Type="http://schemas.openxmlformats.org/officeDocument/2006/relationships/hyperlink" Target="https://hashtagbasketball.com/9152/player" TargetMode="External"/><Relationship Id="rId177" Type="http://schemas.openxmlformats.org/officeDocument/2006/relationships/hyperlink" Target="https://hashtagbasketball.com/111206/player" TargetMode="External"/><Relationship Id="rId198" Type="http://schemas.openxmlformats.org/officeDocument/2006/relationships/hyperlink" Target="https://hashtagbasketball.com/120394/player" TargetMode="External"/><Relationship Id="rId321" Type="http://schemas.openxmlformats.org/officeDocument/2006/relationships/hyperlink" Target="https://hashtagbasketball.com/15223/player" TargetMode="External"/><Relationship Id="rId342" Type="http://schemas.openxmlformats.org/officeDocument/2006/relationships/hyperlink" Target="https://hashtagbasketball.com/15222/player" TargetMode="External"/><Relationship Id="rId363" Type="http://schemas.openxmlformats.org/officeDocument/2006/relationships/hyperlink" Target="https://hashtagbasketball.com/120389/player" TargetMode="External"/><Relationship Id="rId384" Type="http://schemas.openxmlformats.org/officeDocument/2006/relationships/hyperlink" Target="https://hashtagbasketball.com/15300/player" TargetMode="External"/><Relationship Id="rId419" Type="http://schemas.openxmlformats.org/officeDocument/2006/relationships/hyperlink" Target="https://hashtagbasketball.com/15199/player" TargetMode="External"/><Relationship Id="rId202" Type="http://schemas.openxmlformats.org/officeDocument/2006/relationships/hyperlink" Target="https://hashtagbasketball.com/120412/player" TargetMode="External"/><Relationship Id="rId223" Type="http://schemas.openxmlformats.org/officeDocument/2006/relationships/hyperlink" Target="https://hashtagbasketball.com/120119/player" TargetMode="External"/><Relationship Id="rId244" Type="http://schemas.openxmlformats.org/officeDocument/2006/relationships/hyperlink" Target="https://hashtagbasketball.com/36073/player" TargetMode="External"/><Relationship Id="rId18" Type="http://schemas.openxmlformats.org/officeDocument/2006/relationships/hyperlink" Target="https://hashtagbasketball.com/10134/player" TargetMode="External"/><Relationship Id="rId39" Type="http://schemas.openxmlformats.org/officeDocument/2006/relationships/hyperlink" Target="https://hashtagbasketball.com/27454/player" TargetMode="External"/><Relationship Id="rId265" Type="http://schemas.openxmlformats.org/officeDocument/2006/relationships/hyperlink" Target="https://hashtagbasketball.com/9512/player" TargetMode="External"/><Relationship Id="rId286" Type="http://schemas.openxmlformats.org/officeDocument/2006/relationships/hyperlink" Target="https://hashtagbasketball.com/27679/player" TargetMode="External"/><Relationship Id="rId50" Type="http://schemas.openxmlformats.org/officeDocument/2006/relationships/hyperlink" Target="https://hashtagbasketball.com/9418/player" TargetMode="External"/><Relationship Id="rId104" Type="http://schemas.openxmlformats.org/officeDocument/2006/relationships/hyperlink" Target="https://hashtagbasketball.com/15281/player" TargetMode="External"/><Relationship Id="rId125" Type="http://schemas.openxmlformats.org/officeDocument/2006/relationships/hyperlink" Target="https://hashtagbasketball.com/15198/player" TargetMode="External"/><Relationship Id="rId146" Type="http://schemas.openxmlformats.org/officeDocument/2006/relationships/hyperlink" Target="https://hashtagbasketball.com/120377/player" TargetMode="External"/><Relationship Id="rId167" Type="http://schemas.openxmlformats.org/officeDocument/2006/relationships/hyperlink" Target="https://hashtagbasketball.com/120375/player" TargetMode="External"/><Relationship Id="rId188" Type="http://schemas.openxmlformats.org/officeDocument/2006/relationships/hyperlink" Target="https://hashtagbasketball.com/120031/player" TargetMode="External"/><Relationship Id="rId311" Type="http://schemas.openxmlformats.org/officeDocument/2006/relationships/hyperlink" Target="https://hashtagbasketball.com/120063/player" TargetMode="External"/><Relationship Id="rId332" Type="http://schemas.openxmlformats.org/officeDocument/2006/relationships/hyperlink" Target="https://hashtagbasketball.com/120382/player" TargetMode="External"/><Relationship Id="rId353" Type="http://schemas.openxmlformats.org/officeDocument/2006/relationships/hyperlink" Target="https://hashtagbasketball.com/17194/player" TargetMode="External"/><Relationship Id="rId374" Type="http://schemas.openxmlformats.org/officeDocument/2006/relationships/hyperlink" Target="https://hashtagbasketball.com/120376/player" TargetMode="External"/><Relationship Id="rId395" Type="http://schemas.openxmlformats.org/officeDocument/2006/relationships/hyperlink" Target="https://hashtagbasketball.com/9102/player" TargetMode="External"/><Relationship Id="rId409" Type="http://schemas.openxmlformats.org/officeDocument/2006/relationships/hyperlink" Target="https://hashtagbasketball.com/120046/player" TargetMode="External"/><Relationship Id="rId71" Type="http://schemas.openxmlformats.org/officeDocument/2006/relationships/hyperlink" Target="https://hashtagbasketball.com/13749/player" TargetMode="External"/><Relationship Id="rId92" Type="http://schemas.openxmlformats.org/officeDocument/2006/relationships/hyperlink" Target="https://hashtagbasketball.com/9500/player" TargetMode="External"/><Relationship Id="rId213" Type="http://schemas.openxmlformats.org/officeDocument/2006/relationships/hyperlink" Target="https://hashtagbasketball.com/120022/player" TargetMode="External"/><Relationship Id="rId234" Type="http://schemas.openxmlformats.org/officeDocument/2006/relationships/hyperlink" Target="https://hashtagbasketball.com/120245/player" TargetMode="External"/><Relationship Id="rId420" Type="http://schemas.openxmlformats.org/officeDocument/2006/relationships/hyperlink" Target="https://hashtagbasketball.com/9220/player" TargetMode="External"/><Relationship Id="rId2" Type="http://schemas.openxmlformats.org/officeDocument/2006/relationships/hyperlink" Target="https://hashtagbasketball.com/110399/player" TargetMode="External"/><Relationship Id="rId29" Type="http://schemas.openxmlformats.org/officeDocument/2006/relationships/hyperlink" Target="https://hashtagbasketball.com/31032/player" TargetMode="External"/><Relationship Id="rId255" Type="http://schemas.openxmlformats.org/officeDocument/2006/relationships/hyperlink" Target="https://hashtagbasketball.com/111244/player" TargetMode="External"/><Relationship Id="rId276" Type="http://schemas.openxmlformats.org/officeDocument/2006/relationships/hyperlink" Target="https://hashtagbasketball.com/111253/player" TargetMode="External"/><Relationship Id="rId297" Type="http://schemas.openxmlformats.org/officeDocument/2006/relationships/hyperlink" Target="https://hashtagbasketball.com/120232/player" TargetMode="External"/><Relationship Id="rId40" Type="http://schemas.openxmlformats.org/officeDocument/2006/relationships/hyperlink" Target="https://hashtagbasketball.com/38949/player" TargetMode="External"/><Relationship Id="rId115" Type="http://schemas.openxmlformats.org/officeDocument/2006/relationships/hyperlink" Target="https://hashtagbasketball.com/120378/player" TargetMode="External"/><Relationship Id="rId136" Type="http://schemas.openxmlformats.org/officeDocument/2006/relationships/hyperlink" Target="https://hashtagbasketball.com/111248/player" TargetMode="External"/><Relationship Id="rId157" Type="http://schemas.openxmlformats.org/officeDocument/2006/relationships/hyperlink" Target="https://hashtagbasketball.com/111215/player" TargetMode="External"/><Relationship Id="rId178" Type="http://schemas.openxmlformats.org/officeDocument/2006/relationships/hyperlink" Target="https://hashtagbasketball.com/120211/player" TargetMode="External"/><Relationship Id="rId301" Type="http://schemas.openxmlformats.org/officeDocument/2006/relationships/hyperlink" Target="https://hashtagbasketball.com/120396/player" TargetMode="External"/><Relationship Id="rId322" Type="http://schemas.openxmlformats.org/officeDocument/2006/relationships/hyperlink" Target="https://hashtagbasketball.com/120385/player" TargetMode="External"/><Relationship Id="rId343" Type="http://schemas.openxmlformats.org/officeDocument/2006/relationships/hyperlink" Target="https://hashtagbasketball.com/120235/player" TargetMode="External"/><Relationship Id="rId364" Type="http://schemas.openxmlformats.org/officeDocument/2006/relationships/hyperlink" Target="https://hashtagbasketball.com/109467/player" TargetMode="External"/><Relationship Id="rId61" Type="http://schemas.openxmlformats.org/officeDocument/2006/relationships/hyperlink" Target="https://hashtagbasketball.com/17285/player" TargetMode="External"/><Relationship Id="rId82" Type="http://schemas.openxmlformats.org/officeDocument/2006/relationships/hyperlink" Target="https://hashtagbasketball.com/9250/player" TargetMode="External"/><Relationship Id="rId199" Type="http://schemas.openxmlformats.org/officeDocument/2006/relationships/hyperlink" Target="https://hashtagbasketball.com/120408/player" TargetMode="External"/><Relationship Id="rId203" Type="http://schemas.openxmlformats.org/officeDocument/2006/relationships/hyperlink" Target="https://hashtagbasketball.com/120413/player" TargetMode="External"/><Relationship Id="rId385" Type="http://schemas.openxmlformats.org/officeDocument/2006/relationships/hyperlink" Target="https://hashtagbasketball.com/120079/player" TargetMode="External"/><Relationship Id="rId19" Type="http://schemas.openxmlformats.org/officeDocument/2006/relationships/hyperlink" Target="https://hashtagbasketball.com/15280/player" TargetMode="External"/><Relationship Id="rId224" Type="http://schemas.openxmlformats.org/officeDocument/2006/relationships/hyperlink" Target="https://hashtagbasketball.com/120130/player" TargetMode="External"/><Relationship Id="rId245" Type="http://schemas.openxmlformats.org/officeDocument/2006/relationships/hyperlink" Target="https://hashtagbasketball.com/17308/player" TargetMode="External"/><Relationship Id="rId266" Type="http://schemas.openxmlformats.org/officeDocument/2006/relationships/hyperlink" Target="https://hashtagbasketball.com/9227/player" TargetMode="External"/><Relationship Id="rId287" Type="http://schemas.openxmlformats.org/officeDocument/2006/relationships/hyperlink" Target="https://hashtagbasketball.com/38941/player" TargetMode="External"/><Relationship Id="rId410" Type="http://schemas.openxmlformats.org/officeDocument/2006/relationships/hyperlink" Target="https://hashtagbasketball.com/111224/player" TargetMode="External"/><Relationship Id="rId30" Type="http://schemas.openxmlformats.org/officeDocument/2006/relationships/hyperlink" Target="https://hashtagbasketball.com/10090/player" TargetMode="External"/><Relationship Id="rId105" Type="http://schemas.openxmlformats.org/officeDocument/2006/relationships/hyperlink" Target="https://hashtagbasketball.com/31034/player" TargetMode="External"/><Relationship Id="rId126" Type="http://schemas.openxmlformats.org/officeDocument/2006/relationships/hyperlink" Target="https://hashtagbasketball.com/17329/player" TargetMode="External"/><Relationship Id="rId147" Type="http://schemas.openxmlformats.org/officeDocument/2006/relationships/hyperlink" Target="https://hashtagbasketball.com/38955/player" TargetMode="External"/><Relationship Id="rId168" Type="http://schemas.openxmlformats.org/officeDocument/2006/relationships/hyperlink" Target="https://hashtagbasketball.com/10124/player" TargetMode="External"/><Relationship Id="rId312" Type="http://schemas.openxmlformats.org/officeDocument/2006/relationships/hyperlink" Target="https://hashtagbasketball.com/120387/player" TargetMode="External"/><Relationship Id="rId333" Type="http://schemas.openxmlformats.org/officeDocument/2006/relationships/hyperlink" Target="https://hashtagbasketball.com/120099/player" TargetMode="External"/><Relationship Id="rId354" Type="http://schemas.openxmlformats.org/officeDocument/2006/relationships/hyperlink" Target="https://hashtagbasketball.com/38847/player" TargetMode="External"/><Relationship Id="rId51" Type="http://schemas.openxmlformats.org/officeDocument/2006/relationships/hyperlink" Target="https://hashtagbasketball.com/31037/player" TargetMode="External"/><Relationship Id="rId72" Type="http://schemas.openxmlformats.org/officeDocument/2006/relationships/hyperlink" Target="https://hashtagbasketball.com/10149/player" TargetMode="External"/><Relationship Id="rId93" Type="http://schemas.openxmlformats.org/officeDocument/2006/relationships/hyperlink" Target="https://hashtagbasketball.com/31058/player" TargetMode="External"/><Relationship Id="rId189" Type="http://schemas.openxmlformats.org/officeDocument/2006/relationships/hyperlink" Target="https://hashtagbasketball.com/120032/player" TargetMode="External"/><Relationship Id="rId375" Type="http://schemas.openxmlformats.org/officeDocument/2006/relationships/hyperlink" Target="https://hashtagbasketball.com/53595/player" TargetMode="External"/><Relationship Id="rId396" Type="http://schemas.openxmlformats.org/officeDocument/2006/relationships/hyperlink" Target="https://hashtagbasketball.com/31084/player" TargetMode="External"/><Relationship Id="rId3" Type="http://schemas.openxmlformats.org/officeDocument/2006/relationships/hyperlink" Target="https://hashtagbasketball.com/15200/player" TargetMode="External"/><Relationship Id="rId214" Type="http://schemas.openxmlformats.org/officeDocument/2006/relationships/hyperlink" Target="https://hashtagbasketball.com/120263/player" TargetMode="External"/><Relationship Id="rId235" Type="http://schemas.openxmlformats.org/officeDocument/2006/relationships/hyperlink" Target="https://hashtagbasketball.com/120246/player" TargetMode="External"/><Relationship Id="rId256" Type="http://schemas.openxmlformats.org/officeDocument/2006/relationships/hyperlink" Target="https://hashtagbasketball.com/39850/player" TargetMode="External"/><Relationship Id="rId277" Type="http://schemas.openxmlformats.org/officeDocument/2006/relationships/hyperlink" Target="https://hashtagbasketball.com/111222/player" TargetMode="External"/><Relationship Id="rId298" Type="http://schemas.openxmlformats.org/officeDocument/2006/relationships/hyperlink" Target="https://hashtagbasketball.com/31082/player" TargetMode="External"/><Relationship Id="rId400" Type="http://schemas.openxmlformats.org/officeDocument/2006/relationships/hyperlink" Target="https://hashtagbasketball.com/17275/player" TargetMode="External"/><Relationship Id="rId421" Type="http://schemas.openxmlformats.org/officeDocument/2006/relationships/hyperlink" Target="https://hashtagbasketball.com/111234/player" TargetMode="External"/><Relationship Id="rId116" Type="http://schemas.openxmlformats.org/officeDocument/2006/relationships/hyperlink" Target="https://hashtagbasketball.com/9221/player" TargetMode="External"/><Relationship Id="rId137" Type="http://schemas.openxmlformats.org/officeDocument/2006/relationships/hyperlink" Target="https://hashtagbasketball.com/31067/player" TargetMode="External"/><Relationship Id="rId158" Type="http://schemas.openxmlformats.org/officeDocument/2006/relationships/hyperlink" Target="https://hashtagbasketball.com/31068/player" TargetMode="External"/><Relationship Id="rId302" Type="http://schemas.openxmlformats.org/officeDocument/2006/relationships/hyperlink" Target="https://hashtagbasketball.com/120282/player" TargetMode="External"/><Relationship Id="rId323" Type="http://schemas.openxmlformats.org/officeDocument/2006/relationships/hyperlink" Target="https://hashtagbasketball.com/120256/player" TargetMode="External"/><Relationship Id="rId344" Type="http://schemas.openxmlformats.org/officeDocument/2006/relationships/hyperlink" Target="https://hashtagbasketball.com/31081/player" TargetMode="External"/><Relationship Id="rId20" Type="http://schemas.openxmlformats.org/officeDocument/2006/relationships/hyperlink" Target="https://hashtagbasketball.com/111204/player" TargetMode="External"/><Relationship Id="rId41" Type="http://schemas.openxmlformats.org/officeDocument/2006/relationships/hyperlink" Target="https://hashtagbasketball.com/38790/player" TargetMode="External"/><Relationship Id="rId62" Type="http://schemas.openxmlformats.org/officeDocument/2006/relationships/hyperlink" Target="https://hashtagbasketball.com/39833/player" TargetMode="External"/><Relationship Id="rId83" Type="http://schemas.openxmlformats.org/officeDocument/2006/relationships/hyperlink" Target="https://hashtagbasketball.com/120208/player" TargetMode="External"/><Relationship Id="rId179" Type="http://schemas.openxmlformats.org/officeDocument/2006/relationships/hyperlink" Target="https://hashtagbasketball.com/38570/player" TargetMode="External"/><Relationship Id="rId365" Type="http://schemas.openxmlformats.org/officeDocument/2006/relationships/hyperlink" Target="https://hashtagbasketball.com/109470/player" TargetMode="External"/><Relationship Id="rId386" Type="http://schemas.openxmlformats.org/officeDocument/2006/relationships/hyperlink" Target="https://hashtagbasketball.com/120239/player" TargetMode="External"/><Relationship Id="rId190" Type="http://schemas.openxmlformats.org/officeDocument/2006/relationships/hyperlink" Target="https://hashtagbasketball.com/120266/player" TargetMode="External"/><Relationship Id="rId204" Type="http://schemas.openxmlformats.org/officeDocument/2006/relationships/hyperlink" Target="https://hashtagbasketball.com/120420/player" TargetMode="External"/><Relationship Id="rId225" Type="http://schemas.openxmlformats.org/officeDocument/2006/relationships/hyperlink" Target="https://hashtagbasketball.com/120163/player" TargetMode="External"/><Relationship Id="rId246" Type="http://schemas.openxmlformats.org/officeDocument/2006/relationships/hyperlink" Target="https://hashtagbasketball.com/17312/player" TargetMode="External"/><Relationship Id="rId267" Type="http://schemas.openxmlformats.org/officeDocument/2006/relationships/hyperlink" Target="https://hashtagbasketball.com/9286/player" TargetMode="External"/><Relationship Id="rId288" Type="http://schemas.openxmlformats.org/officeDocument/2006/relationships/hyperlink" Target="https://hashtagbasketball.com/120051/player" TargetMode="External"/><Relationship Id="rId411" Type="http://schemas.openxmlformats.org/officeDocument/2006/relationships/hyperlink" Target="https://hashtagbasketball.com/36104/player" TargetMode="External"/><Relationship Id="rId106" Type="http://schemas.openxmlformats.org/officeDocument/2006/relationships/hyperlink" Target="https://hashtagbasketball.com/9228/player" TargetMode="External"/><Relationship Id="rId127" Type="http://schemas.openxmlformats.org/officeDocument/2006/relationships/hyperlink" Target="https://hashtagbasketball.com/9526/player" TargetMode="External"/><Relationship Id="rId313" Type="http://schemas.openxmlformats.org/officeDocument/2006/relationships/hyperlink" Target="https://hashtagbasketball.com/120220/player" TargetMode="External"/><Relationship Id="rId10" Type="http://schemas.openxmlformats.org/officeDocument/2006/relationships/hyperlink" Target="https://hashtagbasketball.com/120207/player" TargetMode="External"/><Relationship Id="rId31" Type="http://schemas.openxmlformats.org/officeDocument/2006/relationships/hyperlink" Target="https://hashtagbasketball.com/38617/player" TargetMode="External"/><Relationship Id="rId52" Type="http://schemas.openxmlformats.org/officeDocument/2006/relationships/hyperlink" Target="https://hashtagbasketball.com/27649/player" TargetMode="External"/><Relationship Id="rId73" Type="http://schemas.openxmlformats.org/officeDocument/2006/relationships/hyperlink" Target="https://hashtagbasketball.com/9503/player" TargetMode="External"/><Relationship Id="rId94" Type="http://schemas.openxmlformats.org/officeDocument/2006/relationships/hyperlink" Target="https://hashtagbasketball.com/17252/player" TargetMode="External"/><Relationship Id="rId148" Type="http://schemas.openxmlformats.org/officeDocument/2006/relationships/hyperlink" Target="https://hashtagbasketball.com/120014/player" TargetMode="External"/><Relationship Id="rId169" Type="http://schemas.openxmlformats.org/officeDocument/2006/relationships/hyperlink" Target="https://hashtagbasketball.com/120244/player" TargetMode="External"/><Relationship Id="rId334" Type="http://schemas.openxmlformats.org/officeDocument/2006/relationships/hyperlink" Target="https://hashtagbasketball.com/120026/player" TargetMode="External"/><Relationship Id="rId355" Type="http://schemas.openxmlformats.org/officeDocument/2006/relationships/hyperlink" Target="https://hashtagbasketball.com/31159/player" TargetMode="External"/><Relationship Id="rId376" Type="http://schemas.openxmlformats.org/officeDocument/2006/relationships/hyperlink" Target="https://hashtagbasketball.com/120023/player" TargetMode="External"/><Relationship Id="rId397" Type="http://schemas.openxmlformats.org/officeDocument/2006/relationships/hyperlink" Target="https://hashtagbasketball.com/9084/player" TargetMode="External"/><Relationship Id="rId4" Type="http://schemas.openxmlformats.org/officeDocument/2006/relationships/hyperlink" Target="https://hashtagbasketball.com/15208/player" TargetMode="External"/><Relationship Id="rId180" Type="http://schemas.openxmlformats.org/officeDocument/2006/relationships/hyperlink" Target="https://hashtagbasketball.com/120020/player" TargetMode="External"/><Relationship Id="rId215" Type="http://schemas.openxmlformats.org/officeDocument/2006/relationships/hyperlink" Target="https://hashtagbasketball.com/120035/player" TargetMode="External"/><Relationship Id="rId236" Type="http://schemas.openxmlformats.org/officeDocument/2006/relationships/hyperlink" Target="https://hashtagbasketball.com/120248/player" TargetMode="External"/><Relationship Id="rId257" Type="http://schemas.openxmlformats.org/officeDocument/2006/relationships/hyperlink" Target="https://hashtagbasketball.com/39838/player" TargetMode="External"/><Relationship Id="rId278" Type="http://schemas.openxmlformats.org/officeDocument/2006/relationships/hyperlink" Target="https://hashtagbasketball.com/111225/player" TargetMode="External"/><Relationship Id="rId401" Type="http://schemas.openxmlformats.org/officeDocument/2006/relationships/hyperlink" Target="https://hashtagbasketball.com/10146/player" TargetMode="External"/><Relationship Id="rId422" Type="http://schemas.openxmlformats.org/officeDocument/2006/relationships/hyperlink" Target="https://hashtagbasketball.com/120231/player" TargetMode="External"/><Relationship Id="rId303" Type="http://schemas.openxmlformats.org/officeDocument/2006/relationships/hyperlink" Target="https://hashtagbasketball.com/9390/player" TargetMode="External"/><Relationship Id="rId42" Type="http://schemas.openxmlformats.org/officeDocument/2006/relationships/hyperlink" Target="https://hashtagbasketball.com/9354/player" TargetMode="External"/><Relationship Id="rId84" Type="http://schemas.openxmlformats.org/officeDocument/2006/relationships/hyperlink" Target="https://hashtagbasketball.com/15207/player" TargetMode="External"/><Relationship Id="rId138" Type="http://schemas.openxmlformats.org/officeDocument/2006/relationships/hyperlink" Target="https://hashtagbasketball.com/27622/player" TargetMode="External"/><Relationship Id="rId345" Type="http://schemas.openxmlformats.org/officeDocument/2006/relationships/hyperlink" Target="https://hashtagbasketball.com/120407/player" TargetMode="External"/><Relationship Id="rId387" Type="http://schemas.openxmlformats.org/officeDocument/2006/relationships/hyperlink" Target="https://hashtagbasketball.com/27881/player" TargetMode="External"/><Relationship Id="rId191" Type="http://schemas.openxmlformats.org/officeDocument/2006/relationships/hyperlink" Target="https://hashtagbasketball.com/120390/player" TargetMode="External"/><Relationship Id="rId205" Type="http://schemas.openxmlformats.org/officeDocument/2006/relationships/hyperlink" Target="https://hashtagbasketball.com/120280/player" TargetMode="External"/><Relationship Id="rId247" Type="http://schemas.openxmlformats.org/officeDocument/2006/relationships/hyperlink" Target="https://hashtagbasketball.com/27652/player" TargetMode="External"/><Relationship Id="rId412" Type="http://schemas.openxmlformats.org/officeDocument/2006/relationships/hyperlink" Target="https://hashtagbasketball.com/13792/player" TargetMode="External"/><Relationship Id="rId107" Type="http://schemas.openxmlformats.org/officeDocument/2006/relationships/hyperlink" Target="https://hashtagbasketball.com/9082/player" TargetMode="External"/><Relationship Id="rId289" Type="http://schemas.openxmlformats.org/officeDocument/2006/relationships/hyperlink" Target="https://hashtagbasketball.com/39844/player" TargetMode="External"/><Relationship Id="rId11" Type="http://schemas.openxmlformats.org/officeDocument/2006/relationships/hyperlink" Target="https://hashtagbasketball.com/31049/player" TargetMode="External"/><Relationship Id="rId53" Type="http://schemas.openxmlformats.org/officeDocument/2006/relationships/hyperlink" Target="https://hashtagbasketball.com/111212/player" TargetMode="External"/><Relationship Id="rId149" Type="http://schemas.openxmlformats.org/officeDocument/2006/relationships/hyperlink" Target="https://hashtagbasketball.com/53593/player" TargetMode="External"/><Relationship Id="rId314" Type="http://schemas.openxmlformats.org/officeDocument/2006/relationships/hyperlink" Target="https://hashtagbasketball.com/120374/player" TargetMode="External"/><Relationship Id="rId356" Type="http://schemas.openxmlformats.org/officeDocument/2006/relationships/hyperlink" Target="https://hashtagbasketball.com/120237/player" TargetMode="External"/><Relationship Id="rId398" Type="http://schemas.openxmlformats.org/officeDocument/2006/relationships/hyperlink" Target="https://hashtagbasketball.com/120010/player" TargetMode="External"/><Relationship Id="rId95" Type="http://schemas.openxmlformats.org/officeDocument/2006/relationships/hyperlink" Target="https://hashtagbasketball.com/13756/player" TargetMode="External"/><Relationship Id="rId160" Type="http://schemas.openxmlformats.org/officeDocument/2006/relationships/hyperlink" Target="https://hashtagbasketball.com/38942/player" TargetMode="External"/><Relationship Id="rId216" Type="http://schemas.openxmlformats.org/officeDocument/2006/relationships/hyperlink" Target="https://hashtagbasketball.com/120027/player" TargetMode="External"/><Relationship Id="rId258" Type="http://schemas.openxmlformats.org/officeDocument/2006/relationships/hyperlink" Target="https://hashtagbasketball.com/111239/player" TargetMode="External"/><Relationship Id="rId22" Type="http://schemas.openxmlformats.org/officeDocument/2006/relationships/hyperlink" Target="https://hashtagbasketball.com/9218/player" TargetMode="External"/><Relationship Id="rId64" Type="http://schemas.openxmlformats.org/officeDocument/2006/relationships/hyperlink" Target="https://hashtagbasketball.com/13750/player" TargetMode="External"/><Relationship Id="rId118" Type="http://schemas.openxmlformats.org/officeDocument/2006/relationships/hyperlink" Target="https://hashtagbasketball.com/38835/player" TargetMode="External"/><Relationship Id="rId325" Type="http://schemas.openxmlformats.org/officeDocument/2006/relationships/hyperlink" Target="https://hashtagbasketball.com/9296/player" TargetMode="External"/><Relationship Id="rId367" Type="http://schemas.openxmlformats.org/officeDocument/2006/relationships/hyperlink" Target="https://hashtagbasketball.com/111203/player" TargetMode="External"/><Relationship Id="rId171" Type="http://schemas.openxmlformats.org/officeDocument/2006/relationships/hyperlink" Target="https://hashtagbasketball.com/120218/player" TargetMode="External"/><Relationship Id="rId227" Type="http://schemas.openxmlformats.org/officeDocument/2006/relationships/hyperlink" Target="https://hashtagbasketball.com/120238/player" TargetMode="External"/><Relationship Id="rId269" Type="http://schemas.openxmlformats.org/officeDocument/2006/relationships/hyperlink" Target="https://hashtagbasketball.com/120007/player" TargetMode="External"/><Relationship Id="rId33" Type="http://schemas.openxmlformats.org/officeDocument/2006/relationships/hyperlink" Target="https://hashtagbasketball.com/9232/player" TargetMode="External"/><Relationship Id="rId129" Type="http://schemas.openxmlformats.org/officeDocument/2006/relationships/hyperlink" Target="https://hashtagbasketball.com/13737/player" TargetMode="External"/><Relationship Id="rId280" Type="http://schemas.openxmlformats.org/officeDocument/2006/relationships/hyperlink" Target="https://hashtagbasketball.com/111238/player" TargetMode="External"/><Relationship Id="rId336" Type="http://schemas.openxmlformats.org/officeDocument/2006/relationships/hyperlink" Target="https://hashtagbasketball.com/17274/player" TargetMode="External"/><Relationship Id="rId75" Type="http://schemas.openxmlformats.org/officeDocument/2006/relationships/hyperlink" Target="https://hashtagbasketball.com/120210/player" TargetMode="External"/><Relationship Id="rId140" Type="http://schemas.openxmlformats.org/officeDocument/2006/relationships/hyperlink" Target="https://hashtagbasketball.com/17197/player" TargetMode="External"/><Relationship Id="rId182" Type="http://schemas.openxmlformats.org/officeDocument/2006/relationships/hyperlink" Target="https://hashtagbasketball.com/15204/player" TargetMode="External"/><Relationship Id="rId378" Type="http://schemas.openxmlformats.org/officeDocument/2006/relationships/hyperlink" Target="https://hashtagbasketball.com/38582/player" TargetMode="External"/><Relationship Id="rId403" Type="http://schemas.openxmlformats.org/officeDocument/2006/relationships/hyperlink" Target="https://hashtagbasketball.com/111241/player" TargetMode="External"/><Relationship Id="rId6" Type="http://schemas.openxmlformats.org/officeDocument/2006/relationships/hyperlink" Target="https://hashtagbasketball.com/9325/player" TargetMode="External"/><Relationship Id="rId238" Type="http://schemas.openxmlformats.org/officeDocument/2006/relationships/hyperlink" Target="https://hashtagbasketball.com/120242/player" TargetMode="External"/><Relationship Id="rId291" Type="http://schemas.openxmlformats.org/officeDocument/2006/relationships/hyperlink" Target="https://hashtagbasketball.com/35209/player" TargetMode="External"/><Relationship Id="rId305" Type="http://schemas.openxmlformats.org/officeDocument/2006/relationships/hyperlink" Target="https://hashtagbasketball.com/38695/player" TargetMode="External"/><Relationship Id="rId347" Type="http://schemas.openxmlformats.org/officeDocument/2006/relationships/hyperlink" Target="https://hashtagbasketball.com/17241/player" TargetMode="External"/><Relationship Id="rId44" Type="http://schemas.openxmlformats.org/officeDocument/2006/relationships/hyperlink" Target="https://hashtagbasketball.com/110400/player" TargetMode="External"/><Relationship Id="rId86" Type="http://schemas.openxmlformats.org/officeDocument/2006/relationships/hyperlink" Target="https://hashtagbasketball.com/120216/player" TargetMode="External"/><Relationship Id="rId151" Type="http://schemas.openxmlformats.org/officeDocument/2006/relationships/hyperlink" Target="https://hashtagbasketball.com/9355/player" TargetMode="External"/><Relationship Id="rId389" Type="http://schemas.openxmlformats.org/officeDocument/2006/relationships/hyperlink" Target="https://hashtagbasketball.com/9087/player" TargetMode="External"/><Relationship Id="rId193" Type="http://schemas.openxmlformats.org/officeDocument/2006/relationships/hyperlink" Target="https://hashtagbasketball.com/120229/player" TargetMode="External"/><Relationship Id="rId207" Type="http://schemas.openxmlformats.org/officeDocument/2006/relationships/hyperlink" Target="https://hashtagbasketball.com/120381/player" TargetMode="External"/><Relationship Id="rId249" Type="http://schemas.openxmlformats.org/officeDocument/2006/relationships/hyperlink" Target="https://hashtagbasketball.com/15309/player" TargetMode="External"/><Relationship Id="rId414" Type="http://schemas.openxmlformats.org/officeDocument/2006/relationships/hyperlink" Target="https://hashtagbasketball.com/120052/player" TargetMode="External"/><Relationship Id="rId13" Type="http://schemas.openxmlformats.org/officeDocument/2006/relationships/hyperlink" Target="https://hashtagbasketball.com/13741/player" TargetMode="External"/><Relationship Id="rId109" Type="http://schemas.openxmlformats.org/officeDocument/2006/relationships/hyperlink" Target="https://hashtagbasketball.com/9202/player" TargetMode="External"/><Relationship Id="rId260" Type="http://schemas.openxmlformats.org/officeDocument/2006/relationships/hyperlink" Target="https://hashtagbasketball.com/38956/player" TargetMode="External"/><Relationship Id="rId316" Type="http://schemas.openxmlformats.org/officeDocument/2006/relationships/hyperlink" Target="https://hashtagbasketball.com/11882/player" TargetMode="External"/><Relationship Id="rId55" Type="http://schemas.openxmlformats.org/officeDocument/2006/relationships/hyperlink" Target="https://hashtagbasketball.com/27342/player" TargetMode="External"/><Relationship Id="rId97" Type="http://schemas.openxmlformats.org/officeDocument/2006/relationships/hyperlink" Target="https://hashtagbasketball.com/9342/player" TargetMode="External"/><Relationship Id="rId120" Type="http://schemas.openxmlformats.org/officeDocument/2006/relationships/hyperlink" Target="https://hashtagbasketball.com/15221/player" TargetMode="External"/><Relationship Id="rId358" Type="http://schemas.openxmlformats.org/officeDocument/2006/relationships/hyperlink" Target="https://hashtagbasketball.com/31043/player" TargetMode="External"/><Relationship Id="rId162" Type="http://schemas.openxmlformats.org/officeDocument/2006/relationships/hyperlink" Target="https://hashtagbasketball.com/17273/player" TargetMode="External"/><Relationship Id="rId218" Type="http://schemas.openxmlformats.org/officeDocument/2006/relationships/hyperlink" Target="https://hashtagbasketball.com/10117/player" TargetMode="External"/><Relationship Id="rId271" Type="http://schemas.openxmlformats.org/officeDocument/2006/relationships/hyperlink" Target="https://hashtagbasketball.com/31047/player" TargetMode="External"/><Relationship Id="rId24" Type="http://schemas.openxmlformats.org/officeDocument/2006/relationships/hyperlink" Target="https://hashtagbasketball.com/15202/player" TargetMode="External"/><Relationship Id="rId66" Type="http://schemas.openxmlformats.org/officeDocument/2006/relationships/hyperlink" Target="https://hashtagbasketball.com/10165/player" TargetMode="External"/><Relationship Id="rId131" Type="http://schemas.openxmlformats.org/officeDocument/2006/relationships/hyperlink" Target="https://hashtagbasketball.com/120217/player" TargetMode="External"/><Relationship Id="rId327" Type="http://schemas.openxmlformats.org/officeDocument/2006/relationships/hyperlink" Target="https://hashtagbasketball.com/120257/player" TargetMode="External"/><Relationship Id="rId369" Type="http://schemas.openxmlformats.org/officeDocument/2006/relationships/hyperlink" Target="https://hashtagbasketball.com/15316/player" TargetMode="External"/><Relationship Id="rId173" Type="http://schemas.openxmlformats.org/officeDocument/2006/relationships/hyperlink" Target="https://hashtagbasketball.com/120213/player" TargetMode="External"/><Relationship Id="rId229" Type="http://schemas.openxmlformats.org/officeDocument/2006/relationships/hyperlink" Target="https://hashtagbasketball.com/53703/player" TargetMode="External"/><Relationship Id="rId380" Type="http://schemas.openxmlformats.org/officeDocument/2006/relationships/hyperlink" Target="https://hashtagbasketball.com/27683/player" TargetMode="External"/><Relationship Id="rId240" Type="http://schemas.openxmlformats.org/officeDocument/2006/relationships/hyperlink" Target="https://hashtagbasketball.com/111216/player" TargetMode="External"/><Relationship Id="rId35" Type="http://schemas.openxmlformats.org/officeDocument/2006/relationships/hyperlink" Target="https://hashtagbasketball.com/38840/player" TargetMode="External"/><Relationship Id="rId77" Type="http://schemas.openxmlformats.org/officeDocument/2006/relationships/hyperlink" Target="https://hashtagbasketball.com/120030/player" TargetMode="External"/><Relationship Id="rId100" Type="http://schemas.openxmlformats.org/officeDocument/2006/relationships/hyperlink" Target="https://hashtagbasketball.com/31031/player" TargetMode="External"/><Relationship Id="rId282" Type="http://schemas.openxmlformats.org/officeDocument/2006/relationships/hyperlink" Target="https://hashtagbasketball.com/120223/player" TargetMode="External"/><Relationship Id="rId338" Type="http://schemas.openxmlformats.org/officeDocument/2006/relationships/hyperlink" Target="https://hashtagbasketball.com/33899/player" TargetMode="External"/><Relationship Id="rId8" Type="http://schemas.openxmlformats.org/officeDocument/2006/relationships/hyperlink" Target="https://hashtagbasketball.com/13730/player" TargetMode="External"/><Relationship Id="rId142" Type="http://schemas.openxmlformats.org/officeDocument/2006/relationships/hyperlink" Target="https://hashtagbasketball.com/13786/player" TargetMode="External"/><Relationship Id="rId184" Type="http://schemas.openxmlformats.org/officeDocument/2006/relationships/hyperlink" Target="https://hashtagbasketball.com/120004/player" TargetMode="External"/><Relationship Id="rId391" Type="http://schemas.openxmlformats.org/officeDocument/2006/relationships/hyperlink" Target="https://hashtagbasketball.com/120012/player" TargetMode="External"/><Relationship Id="rId405" Type="http://schemas.openxmlformats.org/officeDocument/2006/relationships/hyperlink" Target="https://hashtagbasketball.com/120212/player" TargetMode="External"/><Relationship Id="rId251" Type="http://schemas.openxmlformats.org/officeDocument/2006/relationships/hyperlink" Target="https://hashtagbasketball.com/15217/player" TargetMode="External"/><Relationship Id="rId46" Type="http://schemas.openxmlformats.org/officeDocument/2006/relationships/hyperlink" Target="https://hashtagbasketball.com/15201/player" TargetMode="External"/><Relationship Id="rId293" Type="http://schemas.openxmlformats.org/officeDocument/2006/relationships/hyperlink" Target="https://hashtagbasketball.com/17305/player" TargetMode="External"/><Relationship Id="rId307" Type="http://schemas.openxmlformats.org/officeDocument/2006/relationships/hyperlink" Target="https://hashtagbasketball.com/13862/player" TargetMode="External"/><Relationship Id="rId349" Type="http://schemas.openxmlformats.org/officeDocument/2006/relationships/hyperlink" Target="https://hashtagbasketball.com/9475/player" TargetMode="External"/><Relationship Id="rId88" Type="http://schemas.openxmlformats.org/officeDocument/2006/relationships/hyperlink" Target="https://hashtagbasketball.com/17189/player" TargetMode="External"/><Relationship Id="rId111" Type="http://schemas.openxmlformats.org/officeDocument/2006/relationships/hyperlink" Target="https://hashtagbasketball.com/9489/player" TargetMode="External"/><Relationship Id="rId153" Type="http://schemas.openxmlformats.org/officeDocument/2006/relationships/hyperlink" Target="https://hashtagbasketball.com/120371/player" TargetMode="External"/><Relationship Id="rId195" Type="http://schemas.openxmlformats.org/officeDocument/2006/relationships/hyperlink" Target="https://hashtagbasketball.com/120219/player" TargetMode="External"/><Relationship Id="rId209" Type="http://schemas.openxmlformats.org/officeDocument/2006/relationships/hyperlink" Target="https://hashtagbasketball.com/120384/player" TargetMode="External"/><Relationship Id="rId360" Type="http://schemas.openxmlformats.org/officeDocument/2006/relationships/hyperlink" Target="https://hashtagbasketball.com/9347/player" TargetMode="External"/><Relationship Id="rId416" Type="http://schemas.openxmlformats.org/officeDocument/2006/relationships/hyperlink" Target="https://hashtagbasketball.com/120215/player" TargetMode="External"/><Relationship Id="rId220" Type="http://schemas.openxmlformats.org/officeDocument/2006/relationships/hyperlink" Target="https://hashtagbasketball.com/120098/player" TargetMode="External"/><Relationship Id="rId15" Type="http://schemas.openxmlformats.org/officeDocument/2006/relationships/hyperlink" Target="https://hashtagbasketball.com/9346/player" TargetMode="External"/><Relationship Id="rId57" Type="http://schemas.openxmlformats.org/officeDocument/2006/relationships/hyperlink" Target="https://hashtagbasketball.com/17191/player" TargetMode="External"/><Relationship Id="rId262" Type="http://schemas.openxmlformats.org/officeDocument/2006/relationships/hyperlink" Target="https://hashtagbasketball.com/38959/player" TargetMode="External"/><Relationship Id="rId318" Type="http://schemas.openxmlformats.org/officeDocument/2006/relationships/hyperlink" Target="https://hashtagbasketball.com/39836/player" TargetMode="External"/><Relationship Id="rId99" Type="http://schemas.openxmlformats.org/officeDocument/2006/relationships/hyperlink" Target="https://hashtagbasketball.com/9343/player" TargetMode="External"/><Relationship Id="rId122" Type="http://schemas.openxmlformats.org/officeDocument/2006/relationships/hyperlink" Target="https://hashtagbasketball.com/53823/player" TargetMode="External"/><Relationship Id="rId164" Type="http://schemas.openxmlformats.org/officeDocument/2006/relationships/hyperlink" Target="https://hashtagbasketball.com/17195/player" TargetMode="External"/><Relationship Id="rId371" Type="http://schemas.openxmlformats.org/officeDocument/2006/relationships/hyperlink" Target="https://hashtagbasketball.com/120226/player" TargetMode="External"/><Relationship Id="rId26" Type="http://schemas.openxmlformats.org/officeDocument/2006/relationships/hyperlink" Target="https://hashtagbasketball.com/27469/player" TargetMode="External"/><Relationship Id="rId231" Type="http://schemas.openxmlformats.org/officeDocument/2006/relationships/hyperlink" Target="https://hashtagbasketball.com/27706/player" TargetMode="External"/><Relationship Id="rId273" Type="http://schemas.openxmlformats.org/officeDocument/2006/relationships/hyperlink" Target="https://hashtagbasketball.com/43375/player" TargetMode="External"/><Relationship Id="rId329" Type="http://schemas.openxmlformats.org/officeDocument/2006/relationships/hyperlink" Target="https://hashtagbasketball.com/120395/player" TargetMode="External"/><Relationship Id="rId68" Type="http://schemas.openxmlformats.org/officeDocument/2006/relationships/hyperlink" Target="https://hashtagbasketball.com/17295/player" TargetMode="External"/><Relationship Id="rId133" Type="http://schemas.openxmlformats.org/officeDocument/2006/relationships/hyperlink" Target="https://hashtagbasketball.com/27884/player" TargetMode="External"/><Relationship Id="rId175" Type="http://schemas.openxmlformats.org/officeDocument/2006/relationships/hyperlink" Target="https://hashtagbasketball.com/31083/player" TargetMode="External"/><Relationship Id="rId340" Type="http://schemas.openxmlformats.org/officeDocument/2006/relationships/hyperlink" Target="https://hashtagbasketball.com/120008/player" TargetMode="External"/><Relationship Id="rId200" Type="http://schemas.openxmlformats.org/officeDocument/2006/relationships/hyperlink" Target="https://hashtagbasketball.com/120409/player" TargetMode="External"/><Relationship Id="rId382" Type="http://schemas.openxmlformats.org/officeDocument/2006/relationships/hyperlink" Target="https://hashtagbasketball.com/17276/player" TargetMode="External"/><Relationship Id="rId242" Type="http://schemas.openxmlformats.org/officeDocument/2006/relationships/hyperlink" Target="https://hashtagbasketball.com/111210/player" TargetMode="External"/><Relationship Id="rId284" Type="http://schemas.openxmlformats.org/officeDocument/2006/relationships/hyperlink" Target="https://hashtagbasketball.com/120067/player" TargetMode="External"/><Relationship Id="rId37" Type="http://schemas.openxmlformats.org/officeDocument/2006/relationships/hyperlink" Target="https://hashtagbasketball.com/13734/player" TargetMode="External"/><Relationship Id="rId79" Type="http://schemas.openxmlformats.org/officeDocument/2006/relationships/hyperlink" Target="https://hashtagbasketball.com/120370/player" TargetMode="External"/><Relationship Id="rId102" Type="http://schemas.openxmlformats.org/officeDocument/2006/relationships/hyperlink" Target="https://hashtagbasketball.com/120368/player" TargetMode="External"/><Relationship Id="rId144" Type="http://schemas.openxmlformats.org/officeDocument/2006/relationships/hyperlink" Target="https://hashtagbasketball.com/27644/player" TargetMode="External"/><Relationship Id="rId90" Type="http://schemas.openxmlformats.org/officeDocument/2006/relationships/hyperlink" Target="https://hashtagbasketball.com/27700/player" TargetMode="External"/><Relationship Id="rId186" Type="http://schemas.openxmlformats.org/officeDocument/2006/relationships/hyperlink" Target="https://hashtagbasketball.com/17259/player" TargetMode="External"/><Relationship Id="rId351" Type="http://schemas.openxmlformats.org/officeDocument/2006/relationships/hyperlink" Target="https://hashtagbasketball.com/15355/player" TargetMode="External"/><Relationship Id="rId393" Type="http://schemas.openxmlformats.org/officeDocument/2006/relationships/hyperlink" Target="https://hashtagbasketball.com/27843/player" TargetMode="External"/><Relationship Id="rId407" Type="http://schemas.openxmlformats.org/officeDocument/2006/relationships/hyperlink" Target="https://hashtagbasketball.com/120221/player" TargetMode="External"/><Relationship Id="rId211" Type="http://schemas.openxmlformats.org/officeDocument/2006/relationships/hyperlink" Target="https://hashtagbasketball.com/9268/player" TargetMode="External"/><Relationship Id="rId253" Type="http://schemas.openxmlformats.org/officeDocument/2006/relationships/hyperlink" Target="https://hashtagbasketball.com/10155/player" TargetMode="External"/><Relationship Id="rId295" Type="http://schemas.openxmlformats.org/officeDocument/2006/relationships/hyperlink" Target="https://hashtagbasketball.com/13739/player" TargetMode="External"/><Relationship Id="rId309" Type="http://schemas.openxmlformats.org/officeDocument/2006/relationships/hyperlink" Target="https://hashtagbasketball.com/31065/player" TargetMode="External"/><Relationship Id="rId48" Type="http://schemas.openxmlformats.org/officeDocument/2006/relationships/hyperlink" Target="https://hashtagbasketball.com/9157/player" TargetMode="External"/><Relationship Id="rId113" Type="http://schemas.openxmlformats.org/officeDocument/2006/relationships/hyperlink" Target="https://hashtagbasketball.com/15282/player" TargetMode="External"/><Relationship Id="rId320" Type="http://schemas.openxmlformats.org/officeDocument/2006/relationships/hyperlink" Target="https://hashtagbasketball.com/120258/player" TargetMode="External"/><Relationship Id="rId155" Type="http://schemas.openxmlformats.org/officeDocument/2006/relationships/hyperlink" Target="https://hashtagbasketball.com/38950/player" TargetMode="External"/><Relationship Id="rId197" Type="http://schemas.openxmlformats.org/officeDocument/2006/relationships/hyperlink" Target="https://hashtagbasketball.com/120393/player" TargetMode="External"/><Relationship Id="rId362" Type="http://schemas.openxmlformats.org/officeDocument/2006/relationships/hyperlink" Target="https://hashtagbasketball.com/31064/player" TargetMode="External"/><Relationship Id="rId418" Type="http://schemas.openxmlformats.org/officeDocument/2006/relationships/hyperlink" Target="https://hashtagbasketball.com/31039/player" TargetMode="External"/><Relationship Id="rId222" Type="http://schemas.openxmlformats.org/officeDocument/2006/relationships/hyperlink" Target="https://hashtagbasketball.com/120108/player" TargetMode="External"/><Relationship Id="rId264" Type="http://schemas.openxmlformats.org/officeDocument/2006/relationships/hyperlink" Target="https://hashtagbasketball.com/120001/player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ctl00$ContentPlaceHolder1$GridView1','Sort$blk')" TargetMode="External"/><Relationship Id="rId3" Type="http://schemas.openxmlformats.org/officeDocument/2006/relationships/hyperlink" Target="javascript:__doPostBack('ctl00$ContentPlaceHolder1$GridView1','Sort$tgm')" TargetMode="External"/><Relationship Id="rId7" Type="http://schemas.openxmlformats.org/officeDocument/2006/relationships/hyperlink" Target="javascript:__doPostBack('ctl00$ContentPlaceHolder1$GridView1','Sort$stl')" TargetMode="External"/><Relationship Id="rId2" Type="http://schemas.openxmlformats.org/officeDocument/2006/relationships/hyperlink" Target="javascript:__doPostBack('ctl00$ContentPlaceHolder1$GridView1','Sort$ftp')" TargetMode="External"/><Relationship Id="rId1" Type="http://schemas.openxmlformats.org/officeDocument/2006/relationships/hyperlink" Target="javascript:__doPostBack('ctl00$ContentPlaceHolder1$GridView1','Sort$fgp')" TargetMode="External"/><Relationship Id="rId6" Type="http://schemas.openxmlformats.org/officeDocument/2006/relationships/hyperlink" Target="javascript:__doPostBack('ctl00$ContentPlaceHolder1$GridView1','Sort$ast')" TargetMode="External"/><Relationship Id="rId5" Type="http://schemas.openxmlformats.org/officeDocument/2006/relationships/hyperlink" Target="javascript:__doPostBack('ctl00$ContentPlaceHolder1$GridView1','Sort$reb')" TargetMode="External"/><Relationship Id="rId4" Type="http://schemas.openxmlformats.org/officeDocument/2006/relationships/hyperlink" Target="javascript:__doPostBack('ctl00$ContentPlaceHolder1$GridView1','Sort$pts')" TargetMode="External"/><Relationship Id="rId9" Type="http://schemas.openxmlformats.org/officeDocument/2006/relationships/hyperlink" Target="javascript:__doPostBack('ctl00$ContentPlaceHolder1$GridView1','Sort$tur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47F9-D3F8-A044-8D3E-603B786C3657}">
  <dimension ref="A1:AK109"/>
  <sheetViews>
    <sheetView tabSelected="1" zoomScale="91" zoomScaleNormal="91" workbookViewId="0">
      <selection activeCell="A12" sqref="A12"/>
    </sheetView>
  </sheetViews>
  <sheetFormatPr baseColWidth="10" defaultRowHeight="16"/>
  <cols>
    <col min="1" max="1" width="19.6640625" customWidth="1"/>
    <col min="2" max="9" width="5.83203125" customWidth="1"/>
    <col min="10" max="10" width="9" customWidth="1"/>
    <col min="11" max="11" width="3" customWidth="1"/>
    <col min="12" max="12" width="17.5" style="19" customWidth="1"/>
    <col min="13" max="14" width="6.1640625" customWidth="1"/>
    <col min="15" max="15" width="8.33203125" customWidth="1"/>
    <col min="16" max="16" width="8.1640625" customWidth="1"/>
    <col min="17" max="17" width="5.1640625" customWidth="1"/>
    <col min="18" max="18" width="6.5" customWidth="1"/>
    <col min="19" max="22" width="5.1640625" customWidth="1"/>
    <col min="23" max="23" width="8.1640625" customWidth="1"/>
  </cols>
  <sheetData>
    <row r="1" spans="1:37" ht="37" customHeight="1">
      <c r="A1" t="s">
        <v>247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L1" s="19" t="s">
        <v>398</v>
      </c>
      <c r="M1" s="18" t="s">
        <v>1446</v>
      </c>
      <c r="N1" s="18" t="s">
        <v>397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/>
      <c r="Y1" s="1"/>
      <c r="Z1" s="1"/>
    </row>
    <row r="2" spans="1:37">
      <c r="A2" s="17" t="s">
        <v>19</v>
      </c>
      <c r="B2" s="9">
        <f>VLOOKUP($A2,'2026-2027 projections'!$B:$AJ,23,FALSE)</f>
        <v>3.0692222329522236</v>
      </c>
      <c r="C2" s="9">
        <f>VLOOKUP($A2,'2026-2027 projections'!$B:$AJ,24,FALSE)</f>
        <v>0.67648883772667356</v>
      </c>
      <c r="D2" s="9">
        <f>VLOOKUP($A2,'2026-2027 projections'!$B:$AJ,25,FALSE)</f>
        <v>0.13976397766247983</v>
      </c>
      <c r="E2" s="9">
        <f>VLOOKUP($A2,'2026-2027 projections'!$B:$AJ,26,FALSE)</f>
        <v>2.3666914649630879</v>
      </c>
      <c r="F2" s="9">
        <f>VLOOKUP($A2,'2026-2027 projections'!$B:$AJ,27,FALSE)</f>
        <v>2.9186971068081418</v>
      </c>
      <c r="G2" s="9">
        <f>VLOOKUP($A2,'2026-2027 projections'!$B:$AJ,28,FALSE)</f>
        <v>3.4855536576889752</v>
      </c>
      <c r="H2" s="9">
        <f>VLOOKUP($A2,'2026-2027 projections'!$B:$AJ,29,FALSE)</f>
        <v>1.7128720793522085</v>
      </c>
      <c r="I2" s="9">
        <f>VLOOKUP($A2,'2026-2027 projections'!$B:$AJ,30,FALSE)</f>
        <v>4.3434608004692253E-2</v>
      </c>
      <c r="J2" s="9">
        <f>VLOOKUP($A2,'2026-2027 projections'!$B:$AJ,31,FALSE)</f>
        <v>-2</v>
      </c>
      <c r="L2" s="20" t="s">
        <v>19</v>
      </c>
      <c r="M2">
        <f>VLOOKUP(L2,'2026-2027 projections'!B:C,2,FALSE)</f>
        <v>1</v>
      </c>
      <c r="N2">
        <f>VLOOKUP(L2,'2026-2027 projections'!B:D,3,FALSE)</f>
        <v>1</v>
      </c>
      <c r="O2" s="7">
        <f>VLOOKUP($L2,'2026-2027 projections'!$B:$AJ,23,FALSE)</f>
        <v>3.0692222329522236</v>
      </c>
      <c r="P2" s="7">
        <f>VLOOKUP($L2,'2026-2027 projections'!$B:$AJ,24,FALSE)</f>
        <v>0.67648883772667356</v>
      </c>
      <c r="Q2" s="7">
        <f>VLOOKUP($L2,'2026-2027 projections'!$B:$AJ,25,FALSE)</f>
        <v>0.13976397766247983</v>
      </c>
      <c r="R2" s="7">
        <f>VLOOKUP($L2,'2026-2027 projections'!$B:$AJ,26,FALSE)</f>
        <v>2.3666914649630879</v>
      </c>
      <c r="S2" s="7">
        <f>VLOOKUP($L2,'2026-2027 projections'!$B:$AJ,27,FALSE)</f>
        <v>2.9186971068081418</v>
      </c>
      <c r="T2" s="7">
        <f>VLOOKUP($L2,'2026-2027 projections'!$B:$AJ,28,FALSE)</f>
        <v>3.4855536576889752</v>
      </c>
      <c r="U2" s="7">
        <f>VLOOKUP($L2,'2026-2027 projections'!$B:$AJ,29,FALSE)</f>
        <v>1.7128720793522085</v>
      </c>
      <c r="V2" s="7">
        <f>VLOOKUP($L2,'2026-2027 projections'!$B:$AJ,30,FALSE)</f>
        <v>4.3434608004692253E-2</v>
      </c>
      <c r="W2" s="7">
        <f>VLOOKUP($L2,'2026-2027 projections'!$B:$AJ,31,FALSE)</f>
        <v>-2</v>
      </c>
      <c r="AC2" s="32" t="s">
        <v>948</v>
      </c>
      <c r="AD2" s="32" t="s">
        <v>7</v>
      </c>
      <c r="AE2" s="32" t="s">
        <v>8</v>
      </c>
      <c r="AF2" s="32" t="s">
        <v>9</v>
      </c>
      <c r="AG2" s="32" t="s">
        <v>944</v>
      </c>
      <c r="AH2" s="32" t="s">
        <v>11</v>
      </c>
      <c r="AI2" s="32" t="s">
        <v>12</v>
      </c>
      <c r="AJ2" s="32" t="s">
        <v>13</v>
      </c>
      <c r="AK2" s="32" t="s">
        <v>14</v>
      </c>
    </row>
    <row r="3" spans="1:37">
      <c r="A3" t="s">
        <v>41</v>
      </c>
      <c r="B3" s="9">
        <f>VLOOKUP($A3,'2026-2027 projections'!$B:$AJ,23,FALSE)</f>
        <v>-0.32171307437553759</v>
      </c>
      <c r="C3" s="9">
        <f>VLOOKUP($A3,'2026-2027 projections'!$B:$AJ,24,FALSE)</f>
        <v>0.60575292420192195</v>
      </c>
      <c r="D3" s="9">
        <f>VLOOKUP($A3,'2026-2027 projections'!$B:$AJ,25,FALSE)</f>
        <v>1.1919197645598023</v>
      </c>
      <c r="E3" s="9">
        <f>VLOOKUP($A3,'2026-2027 projections'!$B:$AJ,26,FALSE)</f>
        <v>0.2655712041381536</v>
      </c>
      <c r="F3" s="9">
        <f>VLOOKUP($A3,'2026-2027 projections'!$B:$AJ,27,FALSE)</f>
        <v>-0.99291185446530361</v>
      </c>
      <c r="G3" s="9">
        <f>VLOOKUP($A3,'2026-2027 projections'!$B:$AJ,28,FALSE)</f>
        <v>3.0724966688494235</v>
      </c>
      <c r="H3" s="9">
        <f>VLOOKUP($A3,'2026-2027 projections'!$B:$AJ,29,FALSE)</f>
        <v>0.83234193114301547</v>
      </c>
      <c r="I3" s="9">
        <f>VLOOKUP($A3,'2026-2027 projections'!$B:$AJ,30,FALSE)</f>
        <v>-0.15959693173817482</v>
      </c>
      <c r="J3" s="9">
        <f>VLOOKUP($A3,'2026-2027 projections'!$B:$AJ,31,FALSE)</f>
        <v>0.19892374787253581</v>
      </c>
      <c r="L3" s="19" t="s">
        <v>41</v>
      </c>
      <c r="M3">
        <f>VLOOKUP(L3,'2026-2027 projections'!B:C,2,FALSE)</f>
        <v>8</v>
      </c>
      <c r="N3" t="e">
        <f>VLOOKUP(L3,'2026-2027 projections'!B:D,3,FALSE)</f>
        <v>#N/A</v>
      </c>
      <c r="O3" s="7">
        <f>VLOOKUP($L3,'2026-2027 projections'!$B:$AJ,23,FALSE)</f>
        <v>-0.32171307437553759</v>
      </c>
      <c r="P3" s="7">
        <f>VLOOKUP($L3,'2026-2027 projections'!$B:$AJ,24,FALSE)</f>
        <v>0.60575292420192195</v>
      </c>
      <c r="Q3" s="7">
        <f>VLOOKUP($L3,'2026-2027 projections'!$B:$AJ,25,FALSE)</f>
        <v>1.1919197645598023</v>
      </c>
      <c r="R3" s="7">
        <f>VLOOKUP($L3,'2026-2027 projections'!$B:$AJ,26,FALSE)</f>
        <v>0.2655712041381536</v>
      </c>
      <c r="S3" s="7">
        <f>VLOOKUP($L3,'2026-2027 projections'!$B:$AJ,27,FALSE)</f>
        <v>-0.99291185446530361</v>
      </c>
      <c r="T3" s="7">
        <f>VLOOKUP($L3,'2026-2027 projections'!$B:$AJ,28,FALSE)</f>
        <v>3.0724966688494235</v>
      </c>
      <c r="U3" s="7">
        <f>VLOOKUP($L3,'2026-2027 projections'!$B:$AJ,29,FALSE)</f>
        <v>0.83234193114301547</v>
      </c>
      <c r="V3" s="7">
        <f>VLOOKUP($L3,'2026-2027 projections'!$B:$AJ,30,FALSE)</f>
        <v>-0.15959693173817482</v>
      </c>
      <c r="W3" s="7">
        <f>VLOOKUP($L3,'2026-2027 projections'!$B:$AJ,31,FALSE)</f>
        <v>0.19892374787253581</v>
      </c>
      <c r="AA3" t="s">
        <v>947</v>
      </c>
      <c r="AC3" s="36" t="e">
        <f>SUM(#REF!)/SUM(#REF!)</f>
        <v>#REF!</v>
      </c>
      <c r="AD3" s="31" t="e">
        <f>SUM(#REF!)/SUM(#REF!)</f>
        <v>#REF!</v>
      </c>
      <c r="AE3" s="34" t="e">
        <f>AVERAGE(#REF!)</f>
        <v>#REF!</v>
      </c>
      <c r="AF3" s="34" t="e">
        <f>AVERAGE(#REF!)</f>
        <v>#REF!</v>
      </c>
      <c r="AG3" s="34" t="e">
        <f t="shared" ref="AG3:AK3" si="0">AVERAGE(#REF!)</f>
        <v>#REF!</v>
      </c>
      <c r="AH3" s="34" t="e">
        <f t="shared" ref="AH3:AK3" si="1">AVERAGE(#REF!)</f>
        <v>#REF!</v>
      </c>
      <c r="AI3" s="9" t="e">
        <f t="shared" ref="AI3:AK3" si="2">AVERAGE(#REF!)</f>
        <v>#REF!</v>
      </c>
      <c r="AJ3" s="34" t="e">
        <f t="shared" ref="AJ3:AK3" si="3">AVERAGE(#REF!)</f>
        <v>#REF!</v>
      </c>
      <c r="AK3" s="34" t="e">
        <f t="shared" ref="AK3" si="4">AVERAGE(#REF!)</f>
        <v>#REF!</v>
      </c>
    </row>
    <row r="4" spans="1:37">
      <c r="A4" s="1"/>
      <c r="B4" s="9" t="e">
        <f>VLOOKUP($A4,'2026-2027 projections'!$B:$AJ,23,FALSE)</f>
        <v>#N/A</v>
      </c>
      <c r="C4" s="9" t="e">
        <f>VLOOKUP($A4,'2026-2027 projections'!$B:$AJ,24,FALSE)</f>
        <v>#N/A</v>
      </c>
      <c r="D4" s="9" t="e">
        <f>VLOOKUP($A4,'2026-2027 projections'!$B:$AJ,25,FALSE)</f>
        <v>#N/A</v>
      </c>
      <c r="E4" s="9" t="e">
        <f>VLOOKUP($A4,'2026-2027 projections'!$B:$AJ,26,FALSE)</f>
        <v>#N/A</v>
      </c>
      <c r="F4" s="9" t="e">
        <f>VLOOKUP($A4,'2026-2027 projections'!$B:$AJ,27,FALSE)</f>
        <v>#N/A</v>
      </c>
      <c r="G4" s="9" t="e">
        <f>VLOOKUP($A4,'2026-2027 projections'!$B:$AJ,28,FALSE)</f>
        <v>#N/A</v>
      </c>
      <c r="H4" s="9" t="e">
        <f>VLOOKUP($A4,'2026-2027 projections'!$B:$AJ,29,FALSE)</f>
        <v>#N/A</v>
      </c>
      <c r="I4" s="9" t="e">
        <f>VLOOKUP($A4,'2026-2027 projections'!$B:$AJ,30,FALSE)</f>
        <v>#N/A</v>
      </c>
      <c r="J4" s="9" t="e">
        <f>VLOOKUP($A4,'2026-2027 projections'!$B:$AJ,31,FALSE)</f>
        <v>#N/A</v>
      </c>
      <c r="L4" s="20" t="s">
        <v>46</v>
      </c>
      <c r="M4">
        <f>VLOOKUP(L4,'2026-2027 projections'!B:C,2,FALSE)</f>
        <v>7</v>
      </c>
      <c r="N4">
        <f>VLOOKUP(L4,'2026-2027 projections'!B:D,3,FALSE)</f>
        <v>30</v>
      </c>
      <c r="O4" s="7">
        <f>VLOOKUP($L4,'2026-2027 projections'!$B:$AJ,23,FALSE)</f>
        <v>-0.66986601096911658</v>
      </c>
      <c r="P4" s="7">
        <f>VLOOKUP($L4,'2026-2027 projections'!$B:$AJ,24,FALSE)</f>
        <v>0.65880485934548605</v>
      </c>
      <c r="Q4" s="7">
        <f>VLOOKUP($L4,'2026-2027 projections'!$B:$AJ,25,FALSE)</f>
        <v>1.7179976580084637</v>
      </c>
      <c r="R4" s="7">
        <f>VLOOKUP($L4,'2026-2027 projections'!$B:$AJ,26,FALSE)</f>
        <v>1.9313242037110747</v>
      </c>
      <c r="S4" s="7">
        <f>VLOOKUP($L4,'2026-2027 projections'!$B:$AJ,27,FALSE)</f>
        <v>1.2957955164925639</v>
      </c>
      <c r="T4" s="7">
        <f>VLOOKUP($L4,'2026-2027 projections'!$B:$AJ,28,FALSE)</f>
        <v>1.2653723426763865</v>
      </c>
      <c r="U4" s="7">
        <f>VLOOKUP($L4,'2026-2027 projections'!$B:$AJ,29,FALSE)</f>
        <v>0.53883188173995089</v>
      </c>
      <c r="V4" s="7">
        <f>VLOOKUP($L4,'2026-2027 projections'!$B:$AJ,30,FALSE)</f>
        <v>-0.36262847148104194</v>
      </c>
      <c r="W4" s="7">
        <f>VLOOKUP($L4,'2026-2027 projections'!$B:$AJ,31,FALSE)</f>
        <v>-1.3021697898277191</v>
      </c>
      <c r="AA4" t="s">
        <v>949</v>
      </c>
      <c r="AC4" s="35">
        <v>0.48</v>
      </c>
      <c r="AD4" s="35">
        <v>0.79500000000000004</v>
      </c>
      <c r="AE4" s="33">
        <v>1.71</v>
      </c>
      <c r="AF4" s="33">
        <v>16</v>
      </c>
      <c r="AG4" s="33">
        <v>5.6</v>
      </c>
      <c r="AH4" s="33">
        <v>3.5</v>
      </c>
      <c r="AI4" s="33">
        <v>1</v>
      </c>
      <c r="AJ4" s="9" t="e">
        <f>#REF!</f>
        <v>#REF!</v>
      </c>
      <c r="AK4" s="33" t="e">
        <f>#REF!</f>
        <v>#REF!</v>
      </c>
    </row>
    <row r="5" spans="1:37">
      <c r="B5" s="9" t="e">
        <f>VLOOKUP($A5,'2026-2027 projections'!$B:$AJ,23,FALSE)</f>
        <v>#N/A</v>
      </c>
      <c r="C5" s="9" t="e">
        <f>VLOOKUP($A5,'2026-2027 projections'!$B:$AJ,24,FALSE)</f>
        <v>#N/A</v>
      </c>
      <c r="D5" s="9" t="e">
        <f>VLOOKUP($A5,'2026-2027 projections'!$B:$AJ,25,FALSE)</f>
        <v>#N/A</v>
      </c>
      <c r="E5" s="9" t="e">
        <f>VLOOKUP($A5,'2026-2027 projections'!$B:$AJ,26,FALSE)</f>
        <v>#N/A</v>
      </c>
      <c r="F5" s="9" t="e">
        <f>VLOOKUP($A5,'2026-2027 projections'!$B:$AJ,27,FALSE)</f>
        <v>#N/A</v>
      </c>
      <c r="G5" s="9" t="e">
        <f>VLOOKUP($A5,'2026-2027 projections'!$B:$AJ,28,FALSE)</f>
        <v>#N/A</v>
      </c>
      <c r="H5" s="9" t="e">
        <f>VLOOKUP($A5,'2026-2027 projections'!$B:$AJ,29,FALSE)</f>
        <v>#N/A</v>
      </c>
      <c r="I5" s="9" t="e">
        <f>VLOOKUP($A5,'2026-2027 projections'!$B:$AJ,30,FALSE)</f>
        <v>#N/A</v>
      </c>
      <c r="J5" s="9" t="e">
        <f>VLOOKUP($A5,'2026-2027 projections'!$B:$AJ,31,FALSE)</f>
        <v>#N/A</v>
      </c>
      <c r="L5" s="20" t="s">
        <v>74</v>
      </c>
      <c r="M5">
        <f>VLOOKUP(L5,'2026-2027 projections'!B:C,2,FALSE)</f>
        <v>13</v>
      </c>
      <c r="N5">
        <f>VLOOKUP(L5,'2026-2027 projections'!B:D,3,FALSE)</f>
        <v>15</v>
      </c>
      <c r="O5" s="7">
        <f>VLOOKUP($L5,'2026-2027 projections'!$B:$AJ,23,FALSE)</f>
        <v>8.5699773568270812E-2</v>
      </c>
      <c r="P5" s="7">
        <f>VLOOKUP($L5,'2026-2027 projections'!$B:$AJ,24,FALSE)</f>
        <v>0.53389259586678961</v>
      </c>
      <c r="Q5" s="7">
        <f>VLOOKUP($L5,'2026-2027 projections'!$B:$AJ,25,FALSE)</f>
        <v>2.1388599727673934</v>
      </c>
      <c r="R5" s="7">
        <f>VLOOKUP($L5,'2026-2027 projections'!$B:$AJ,26,FALSE)</f>
        <v>2.4234784990394376</v>
      </c>
      <c r="S5" s="7">
        <f>VLOOKUP($L5,'2026-2027 projections'!$B:$AJ,27,FALSE)</f>
        <v>-3.5816044792013849E-2</v>
      </c>
      <c r="T5" s="7">
        <f>VLOOKUP($L5,'2026-2027 projections'!$B:$AJ,28,FALSE)</f>
        <v>-7.7062871052154841E-2</v>
      </c>
      <c r="U5" s="7">
        <f>VLOOKUP($L5,'2026-2027 projections'!$B:$AJ,29,FALSE)</f>
        <v>0.53883188173995089</v>
      </c>
      <c r="V5" s="7">
        <f>VLOOKUP($L5,'2026-2027 projections'!$B:$AJ,30,FALSE)</f>
        <v>4.3434608004692253E-2</v>
      </c>
      <c r="W5" s="7">
        <f>VLOOKUP($L5,'2026-2027 projections'!$B:$AJ,31,FALSE)</f>
        <v>-1.5750958875914021</v>
      </c>
      <c r="AC5" s="12"/>
      <c r="AD5" s="12"/>
      <c r="AE5" s="12"/>
      <c r="AF5" s="12"/>
      <c r="AG5" s="12"/>
      <c r="AH5" s="12"/>
      <c r="AI5" s="12"/>
      <c r="AJ5" s="12"/>
      <c r="AK5" s="12"/>
    </row>
    <row r="6" spans="1:37">
      <c r="B6" s="9" t="e">
        <f>VLOOKUP($A6,'2026-2027 projections'!$B:$AJ,23,FALSE)</f>
        <v>#N/A</v>
      </c>
      <c r="C6" s="9" t="e">
        <f>VLOOKUP($A6,'2026-2027 projections'!$B:$AJ,24,FALSE)</f>
        <v>#N/A</v>
      </c>
      <c r="D6" s="9" t="e">
        <f>VLOOKUP($A6,'2026-2027 projections'!$B:$AJ,25,FALSE)</f>
        <v>#N/A</v>
      </c>
      <c r="E6" s="9" t="e">
        <f>VLOOKUP($A6,'2026-2027 projections'!$B:$AJ,26,FALSE)</f>
        <v>#N/A</v>
      </c>
      <c r="F6" s="9" t="e">
        <f>VLOOKUP($A6,'2026-2027 projections'!$B:$AJ,27,FALSE)</f>
        <v>#N/A</v>
      </c>
      <c r="G6" s="9" t="e">
        <f>VLOOKUP($A6,'2026-2027 projections'!$B:$AJ,28,FALSE)</f>
        <v>#N/A</v>
      </c>
      <c r="H6" s="9" t="e">
        <f>VLOOKUP($A6,'2026-2027 projections'!$B:$AJ,29,FALSE)</f>
        <v>#N/A</v>
      </c>
      <c r="I6" s="9" t="e">
        <f>VLOOKUP($A6,'2026-2027 projections'!$B:$AJ,30,FALSE)</f>
        <v>#N/A</v>
      </c>
      <c r="J6" s="9" t="e">
        <f>VLOOKUP($A6,'2026-2027 projections'!$B:$AJ,31,FALSE)</f>
        <v>#N/A</v>
      </c>
      <c r="L6" s="20" t="s">
        <v>35</v>
      </c>
      <c r="M6">
        <f>VLOOKUP(L6,'2026-2027 projections'!B:C,2,FALSE)</f>
        <v>11</v>
      </c>
      <c r="N6">
        <f>VLOOKUP(L6,'2026-2027 projections'!B:D,3,FALSE)</f>
        <v>7</v>
      </c>
      <c r="O6" s="7">
        <f>VLOOKUP($L6,'2026-2027 projections'!$B:$AJ,23,FALSE)</f>
        <v>-0.73958850974397927</v>
      </c>
      <c r="P6" s="7">
        <f>VLOOKUP($L6,'2026-2027 projections'!$B:$AJ,24,FALSE)</f>
        <v>1.0064534748046103</v>
      </c>
      <c r="Q6" s="7">
        <f>VLOOKUP($L6,'2026-2027 projections'!$B:$AJ,25,FALSE)</f>
        <v>1.7179976580084637</v>
      </c>
      <c r="R6" s="7">
        <f>VLOOKUP($L6,'2026-2027 projections'!$B:$AJ,26,FALSE)</f>
        <v>2.08275629458134</v>
      </c>
      <c r="S6" s="7">
        <f>VLOOKUP($L6,'2026-2027 projections'!$B:$AJ,27,FALSE)</f>
        <v>-0.41033179640330097</v>
      </c>
      <c r="T6" s="7">
        <f>VLOOKUP($L6,'2026-2027 projections'!$B:$AJ,28,FALSE)</f>
        <v>0.9039474774417795</v>
      </c>
      <c r="U6" s="7">
        <f>VLOOKUP($L6,'2026-2027 projections'!$B:$AJ,29,FALSE)</f>
        <v>1.4193620299491441</v>
      </c>
      <c r="V6" s="7">
        <f>VLOOKUP($L6,'2026-2027 projections'!$B:$AJ,30,FALSE)</f>
        <v>-0.76869155096677622</v>
      </c>
      <c r="W6" s="7">
        <f>VLOOKUP($L6,'2026-2027 projections'!$B:$AJ,31,FALSE)</f>
        <v>-1.0292436920640367</v>
      </c>
      <c r="AA6" t="s">
        <v>946</v>
      </c>
      <c r="AC6" s="9" t="e">
        <f>((SUM(#REF!)/SUM(#REF!))-#REF!)/#REF!*SQRT(SUM(#REF!)/(COUNT(#REF!)*#REF!))</f>
        <v>#REF!</v>
      </c>
      <c r="AD6" s="9" t="str">
        <f>IFERROR(((SUM(#REF!)/SUM(#REF!)-#REF!)/#REF!)*SQRT(SUM(#REF!)/(COUNT(#REF!)*#REF!)),"n/a")</f>
        <v>n/a</v>
      </c>
      <c r="AE6" s="9" t="e">
        <f t="shared" ref="AE6:AJ6" si="5">(AVERAGE(#REF!)-#REF!)/#REF!</f>
        <v>#REF!</v>
      </c>
      <c r="AF6" s="9" t="e">
        <f t="shared" ref="AF6:AK6" si="6">(AVERAGE(#REF!)-#REF!)/#REF!</f>
        <v>#REF!</v>
      </c>
      <c r="AG6" s="9" t="e">
        <f t="shared" ref="AG6:AK6" si="7">(AVERAGE(#REF!)-#REF!)/#REF!</f>
        <v>#REF!</v>
      </c>
      <c r="AH6" s="9" t="e">
        <f t="shared" ref="AH6:AK6" si="8">(AVERAGE(#REF!)-#REF!)/#REF!</f>
        <v>#REF!</v>
      </c>
      <c r="AI6" s="9" t="e">
        <f t="shared" ref="AI6:AK6" si="9">(AVERAGE(#REF!)-#REF!)/#REF!</f>
        <v>#REF!</v>
      </c>
      <c r="AJ6" s="9" t="e">
        <f t="shared" ref="AJ6:AK6" si="10">(AVERAGE(#REF!)-#REF!)/#REF!</f>
        <v>#REF!</v>
      </c>
      <c r="AK6" s="9" t="e">
        <f>(AVERAGE(#REF!)-#REF!)/#REF!*-1</f>
        <v>#REF!</v>
      </c>
    </row>
    <row r="7" spans="1:37">
      <c r="B7" s="9" t="e">
        <f>VLOOKUP($A7,'2026-2027 projections'!$B:$AJ,23,FALSE)</f>
        <v>#N/A</v>
      </c>
      <c r="C7" s="9" t="e">
        <f>VLOOKUP($A7,'2026-2027 projections'!$B:$AJ,24,FALSE)</f>
        <v>#N/A</v>
      </c>
      <c r="D7" s="9" t="e">
        <f>VLOOKUP($A7,'2026-2027 projections'!$B:$AJ,25,FALSE)</f>
        <v>#N/A</v>
      </c>
      <c r="E7" s="9" t="e">
        <f>VLOOKUP($A7,'2026-2027 projections'!$B:$AJ,26,FALSE)</f>
        <v>#N/A</v>
      </c>
      <c r="F7" s="9" t="e">
        <f>VLOOKUP($A7,'2026-2027 projections'!$B:$AJ,27,FALSE)</f>
        <v>#N/A</v>
      </c>
      <c r="G7" s="9" t="e">
        <f>VLOOKUP($A7,'2026-2027 projections'!$B:$AJ,28,FALSE)</f>
        <v>#N/A</v>
      </c>
      <c r="H7" s="9" t="e">
        <f>VLOOKUP($A7,'2026-2027 projections'!$B:$AJ,29,FALSE)</f>
        <v>#N/A</v>
      </c>
      <c r="I7" s="9" t="e">
        <f>VLOOKUP($A7,'2026-2027 projections'!$B:$AJ,30,FALSE)</f>
        <v>#N/A</v>
      </c>
      <c r="J7" s="9" t="e">
        <f>VLOOKUP($A7,'2026-2027 projections'!$B:$AJ,31,FALSE)</f>
        <v>#N/A</v>
      </c>
      <c r="L7" s="20"/>
      <c r="M7" t="e">
        <f>VLOOKUP(L7,'2026-2027 projections'!B:C,2,FALSE)</f>
        <v>#N/A</v>
      </c>
      <c r="N7" t="e">
        <f>VLOOKUP(L7,'2026-2027 projections'!B:D,3,FALSE)</f>
        <v>#N/A</v>
      </c>
      <c r="O7" s="7" t="e">
        <f>VLOOKUP($L7,'2026-2027 projections'!$B:$AJ,23,FALSE)</f>
        <v>#N/A</v>
      </c>
      <c r="P7" s="7" t="e">
        <f>VLOOKUP($L7,'2026-2027 projections'!$B:$AJ,24,FALSE)</f>
        <v>#N/A</v>
      </c>
      <c r="Q7" s="7" t="e">
        <f>VLOOKUP($L7,'2026-2027 projections'!$B:$AJ,25,FALSE)</f>
        <v>#N/A</v>
      </c>
      <c r="R7" s="7" t="e">
        <f>VLOOKUP($L7,'2026-2027 projections'!$B:$AJ,26,FALSE)</f>
        <v>#N/A</v>
      </c>
      <c r="S7" s="7" t="e">
        <f>VLOOKUP($L7,'2026-2027 projections'!$B:$AJ,27,FALSE)</f>
        <v>#N/A</v>
      </c>
      <c r="T7" s="7" t="e">
        <f>VLOOKUP($L7,'2026-2027 projections'!$B:$AJ,28,FALSE)</f>
        <v>#N/A</v>
      </c>
      <c r="U7" s="7" t="e">
        <f>VLOOKUP($L7,'2026-2027 projections'!$B:$AJ,29,FALSE)</f>
        <v>#N/A</v>
      </c>
      <c r="V7" s="7" t="e">
        <f>VLOOKUP($L7,'2026-2027 projections'!$B:$AJ,30,FALSE)</f>
        <v>#N/A</v>
      </c>
      <c r="W7" s="7" t="e">
        <f>VLOOKUP($L7,'2026-2027 projections'!$B:$AJ,31,FALSE)</f>
        <v>#N/A</v>
      </c>
      <c r="AC7" s="2"/>
      <c r="AK7" s="16"/>
    </row>
    <row r="8" spans="1:37">
      <c r="A8" s="1"/>
      <c r="B8" s="9" t="e">
        <f>VLOOKUP($A8,'2026-2027 projections'!$B:$AJ,23,FALSE)</f>
        <v>#N/A</v>
      </c>
      <c r="C8" s="9" t="e">
        <f>VLOOKUP($A8,'2026-2027 projections'!$B:$AJ,24,FALSE)</f>
        <v>#N/A</v>
      </c>
      <c r="D8" s="9" t="e">
        <f>VLOOKUP($A8,'2026-2027 projections'!$B:$AJ,25,FALSE)</f>
        <v>#N/A</v>
      </c>
      <c r="E8" s="9" t="e">
        <f>VLOOKUP($A8,'2026-2027 projections'!$B:$AJ,26,FALSE)</f>
        <v>#N/A</v>
      </c>
      <c r="F8" s="9" t="e">
        <f>VLOOKUP($A8,'2026-2027 projections'!$B:$AJ,27,FALSE)</f>
        <v>#N/A</v>
      </c>
      <c r="G8" s="9" t="e">
        <f>VLOOKUP($A8,'2026-2027 projections'!$B:$AJ,28,FALSE)</f>
        <v>#N/A</v>
      </c>
      <c r="H8" s="9" t="e">
        <f>VLOOKUP($A8,'2026-2027 projections'!$B:$AJ,29,FALSE)</f>
        <v>#N/A</v>
      </c>
      <c r="I8" s="9" t="e">
        <f>VLOOKUP($A8,'2026-2027 projections'!$B:$AJ,30,FALSE)</f>
        <v>#N/A</v>
      </c>
      <c r="J8" s="9" t="e">
        <f>VLOOKUP($A8,'2026-2027 projections'!$B:$AJ,31,FALSE)</f>
        <v>#N/A</v>
      </c>
      <c r="L8" s="20"/>
      <c r="M8" t="e">
        <f>VLOOKUP(L8,'2026-2027 projections'!B:C,2,FALSE)</f>
        <v>#N/A</v>
      </c>
      <c r="N8" t="e">
        <f>VLOOKUP(L8,'2026-2027 projections'!B:D,3,FALSE)</f>
        <v>#N/A</v>
      </c>
      <c r="O8" s="7" t="e">
        <f>VLOOKUP($L8,'2026-2027 projections'!$B:$AJ,23,FALSE)</f>
        <v>#N/A</v>
      </c>
      <c r="P8" s="7" t="e">
        <f>VLOOKUP($L8,'2026-2027 projections'!$B:$AJ,24,FALSE)</f>
        <v>#N/A</v>
      </c>
      <c r="Q8" s="7" t="e">
        <f>VLOOKUP($L8,'2026-2027 projections'!$B:$AJ,25,FALSE)</f>
        <v>#N/A</v>
      </c>
      <c r="R8" s="7" t="e">
        <f>VLOOKUP($L8,'2026-2027 projections'!$B:$AJ,26,FALSE)</f>
        <v>#N/A</v>
      </c>
      <c r="S8" s="7" t="e">
        <f>VLOOKUP($L8,'2026-2027 projections'!$B:$AJ,27,FALSE)</f>
        <v>#N/A</v>
      </c>
      <c r="T8" s="7" t="e">
        <f>VLOOKUP($L8,'2026-2027 projections'!$B:$AJ,28,FALSE)</f>
        <v>#N/A</v>
      </c>
      <c r="U8" s="7" t="e">
        <f>VLOOKUP($L8,'2026-2027 projections'!$B:$AJ,29,FALSE)</f>
        <v>#N/A</v>
      </c>
      <c r="V8" s="7" t="e">
        <f>VLOOKUP($L8,'2026-2027 projections'!$B:$AJ,30,FALSE)</f>
        <v>#N/A</v>
      </c>
      <c r="W8" s="7" t="e">
        <f>VLOOKUP($L8,'2026-2027 projections'!$B:$AJ,31,FALSE)</f>
        <v>#N/A</v>
      </c>
    </row>
    <row r="9" spans="1:37">
      <c r="B9" s="9" t="e">
        <f>VLOOKUP($A9,'2026-2027 projections'!$B:$AJ,23,FALSE)</f>
        <v>#N/A</v>
      </c>
      <c r="C9" s="9" t="e">
        <f>VLOOKUP($A9,'2026-2027 projections'!$B:$AJ,24,FALSE)</f>
        <v>#N/A</v>
      </c>
      <c r="D9" s="9" t="e">
        <f>VLOOKUP($A9,'2026-2027 projections'!$B:$AJ,25,FALSE)</f>
        <v>#N/A</v>
      </c>
      <c r="E9" s="9" t="e">
        <f>VLOOKUP($A9,'2026-2027 projections'!$B:$AJ,26,FALSE)</f>
        <v>#N/A</v>
      </c>
      <c r="F9" s="9" t="e">
        <f>VLOOKUP($A9,'2026-2027 projections'!$B:$AJ,27,FALSE)</f>
        <v>#N/A</v>
      </c>
      <c r="G9" s="9" t="e">
        <f>VLOOKUP($A9,'2026-2027 projections'!$B:$AJ,28,FALSE)</f>
        <v>#N/A</v>
      </c>
      <c r="H9" s="9" t="e">
        <f>VLOOKUP($A9,'2026-2027 projections'!$B:$AJ,29,FALSE)</f>
        <v>#N/A</v>
      </c>
      <c r="I9" s="9" t="e">
        <f>VLOOKUP($A9,'2026-2027 projections'!$B:$AJ,30,FALSE)</f>
        <v>#N/A</v>
      </c>
      <c r="J9" s="9" t="e">
        <f>VLOOKUP($A9,'2026-2027 projections'!$B:$AJ,31,FALSE)</f>
        <v>#N/A</v>
      </c>
      <c r="M9" t="e">
        <f>VLOOKUP(L9,#REF!,2,FALSE)</f>
        <v>#REF!</v>
      </c>
      <c r="N9" t="e">
        <f>VLOOKUP(L9,#REF!,3,FALSE)</f>
        <v>#REF!</v>
      </c>
      <c r="O9" s="7" t="e">
        <f>VLOOKUP($L9,'2026-2027 projections'!$B:$AJ,23,FALSE)</f>
        <v>#N/A</v>
      </c>
      <c r="P9" s="7" t="e">
        <f>VLOOKUP($L9,'2026-2027 projections'!$B:$AJ,24,FALSE)</f>
        <v>#N/A</v>
      </c>
      <c r="Q9" s="7" t="e">
        <f>VLOOKUP($L9,'2026-2027 projections'!$B:$AJ,25,FALSE)</f>
        <v>#N/A</v>
      </c>
      <c r="R9" s="7" t="e">
        <f>VLOOKUP($L9,'2026-2027 projections'!$B:$AJ,26,FALSE)</f>
        <v>#N/A</v>
      </c>
      <c r="S9" s="7" t="e">
        <f>VLOOKUP($L9,'2026-2027 projections'!$B:$AJ,27,FALSE)</f>
        <v>#N/A</v>
      </c>
      <c r="T9" s="7" t="e">
        <f>VLOOKUP($L9,'2026-2027 projections'!$B:$AJ,28,FALSE)</f>
        <v>#N/A</v>
      </c>
      <c r="U9" s="7" t="e">
        <f>VLOOKUP($L9,'2026-2027 projections'!$B:$AJ,29,FALSE)</f>
        <v>#N/A</v>
      </c>
      <c r="V9" s="7" t="e">
        <f>VLOOKUP($L9,'2026-2027 projections'!$B:$AJ,30,FALSE)</f>
        <v>#N/A</v>
      </c>
      <c r="W9" s="7" t="e">
        <f>VLOOKUP($L9,'2026-2027 projections'!$B:$AJ,31,FALSE)</f>
        <v>#N/A</v>
      </c>
      <c r="AB9" t="s">
        <v>952</v>
      </c>
    </row>
    <row r="10" spans="1:37">
      <c r="A10" s="17"/>
      <c r="B10" s="9" t="e">
        <f>VLOOKUP($A10,'2026-2027 projections'!$B:$AJ,23,FALSE)</f>
        <v>#N/A</v>
      </c>
      <c r="C10" s="9" t="e">
        <f>VLOOKUP($A10,'2026-2027 projections'!$B:$AJ,24,FALSE)</f>
        <v>#N/A</v>
      </c>
      <c r="D10" s="9" t="e">
        <f>VLOOKUP($A10,'2026-2027 projections'!$B:$AJ,25,FALSE)</f>
        <v>#N/A</v>
      </c>
      <c r="E10" s="9" t="e">
        <f>VLOOKUP($A10,'2026-2027 projections'!$B:$AJ,26,FALSE)</f>
        <v>#N/A</v>
      </c>
      <c r="F10" s="9" t="e">
        <f>VLOOKUP($A10,'2026-2027 projections'!$B:$AJ,27,FALSE)</f>
        <v>#N/A</v>
      </c>
      <c r="G10" s="9" t="e">
        <f>VLOOKUP($A10,'2026-2027 projections'!$B:$AJ,28,FALSE)</f>
        <v>#N/A</v>
      </c>
      <c r="H10" s="9" t="e">
        <f>VLOOKUP($A10,'2026-2027 projections'!$B:$AJ,29,FALSE)</f>
        <v>#N/A</v>
      </c>
      <c r="I10" s="9" t="e">
        <f>VLOOKUP($A10,'2026-2027 projections'!$B:$AJ,30,FALSE)</f>
        <v>#N/A</v>
      </c>
      <c r="J10" s="9" t="e">
        <f>VLOOKUP($A10,'2026-2027 projections'!$B:$AJ,31,FALSE)</f>
        <v>#N/A</v>
      </c>
      <c r="M10" t="e">
        <f>VLOOKUP(L10,#REF!,2,FALSE)</f>
        <v>#REF!</v>
      </c>
      <c r="N10" t="e">
        <f>VLOOKUP(L10,#REF!,3,FALSE)</f>
        <v>#REF!</v>
      </c>
      <c r="O10" s="7" t="e">
        <f>VLOOKUP($L10,'2026-2027 projections'!$B:$AJ,23,FALSE)</f>
        <v>#N/A</v>
      </c>
      <c r="P10" s="7" t="e">
        <f>VLOOKUP($L10,'2026-2027 projections'!$B:$AJ,24,FALSE)</f>
        <v>#N/A</v>
      </c>
      <c r="Q10" s="7" t="e">
        <f>VLOOKUP($L10,'2026-2027 projections'!$B:$AJ,25,FALSE)</f>
        <v>#N/A</v>
      </c>
      <c r="R10" s="7" t="e">
        <f>VLOOKUP($L10,'2026-2027 projections'!$B:$AJ,26,FALSE)</f>
        <v>#N/A</v>
      </c>
      <c r="S10" s="7" t="e">
        <f>VLOOKUP($L10,'2026-2027 projections'!$B:$AJ,27,FALSE)</f>
        <v>#N/A</v>
      </c>
      <c r="T10" s="7" t="e">
        <f>VLOOKUP($L10,'2026-2027 projections'!$B:$AJ,28,FALSE)</f>
        <v>#N/A</v>
      </c>
      <c r="U10" s="7" t="e">
        <f>VLOOKUP($L10,'2026-2027 projections'!$B:$AJ,29,FALSE)</f>
        <v>#N/A</v>
      </c>
      <c r="V10" s="7" t="e">
        <f>VLOOKUP($L10,'2026-2027 projections'!$B:$AJ,30,FALSE)</f>
        <v>#N/A</v>
      </c>
      <c r="W10" s="7" t="e">
        <f>VLOOKUP($L10,'2026-2027 projections'!$B:$AJ,31,FALSE)</f>
        <v>#N/A</v>
      </c>
      <c r="AC10" s="32"/>
      <c r="AD10" s="32"/>
      <c r="AE10" s="32"/>
      <c r="AF10" s="32"/>
      <c r="AG10" s="32"/>
      <c r="AH10" s="32"/>
      <c r="AI10" s="32"/>
      <c r="AJ10" s="32"/>
      <c r="AK10" s="32"/>
    </row>
    <row r="11" spans="1:37">
      <c r="B11" s="9" t="e">
        <f>VLOOKUP($A11,'2026-2027 projections'!$B:$AJ,23,FALSE)</f>
        <v>#N/A</v>
      </c>
      <c r="C11" s="9" t="e">
        <f>VLOOKUP($A11,'2026-2027 projections'!$B:$AJ,24,FALSE)</f>
        <v>#N/A</v>
      </c>
      <c r="D11" s="9" t="e">
        <f>VLOOKUP($A11,'2026-2027 projections'!$B:$AJ,25,FALSE)</f>
        <v>#N/A</v>
      </c>
      <c r="E11" s="9" t="e">
        <f>VLOOKUP($A11,'2026-2027 projections'!$B:$AJ,26,FALSE)</f>
        <v>#N/A</v>
      </c>
      <c r="F11" s="9" t="e">
        <f>VLOOKUP($A11,'2026-2027 projections'!$B:$AJ,27,FALSE)</f>
        <v>#N/A</v>
      </c>
      <c r="G11" s="9" t="e">
        <f>VLOOKUP($A11,'2026-2027 projections'!$B:$AJ,28,FALSE)</f>
        <v>#N/A</v>
      </c>
      <c r="H11" s="9" t="e">
        <f>VLOOKUP($A11,'2026-2027 projections'!$B:$AJ,29,FALSE)</f>
        <v>#N/A</v>
      </c>
      <c r="I11" s="9" t="e">
        <f>VLOOKUP($A11,'2026-2027 projections'!$B:$AJ,30,FALSE)</f>
        <v>#N/A</v>
      </c>
      <c r="J11" s="9" t="e">
        <f>VLOOKUP($A11,'2026-2027 projections'!$B:$AJ,31,FALSE)</f>
        <v>#N/A</v>
      </c>
      <c r="AA11" s="17" t="str">
        <f>IFERROR(VLOOKUP($A11,'2026-2027 projections'!$B:$AF,20,FALSE),"")</f>
        <v/>
      </c>
      <c r="AB11" s="17"/>
      <c r="AC11" s="1" t="s">
        <v>6</v>
      </c>
      <c r="AD11" s="1" t="s">
        <v>7</v>
      </c>
      <c r="AE11" s="1" t="s">
        <v>8</v>
      </c>
      <c r="AF11" s="1" t="s">
        <v>9</v>
      </c>
      <c r="AG11" s="1" t="s">
        <v>10</v>
      </c>
      <c r="AH11" s="1" t="s">
        <v>11</v>
      </c>
      <c r="AI11" s="1" t="s">
        <v>12</v>
      </c>
      <c r="AJ11" s="1" t="s">
        <v>13</v>
      </c>
      <c r="AK11" s="1" t="s">
        <v>14</v>
      </c>
    </row>
    <row r="12" spans="1:37">
      <c r="B12" s="9" t="e">
        <f>VLOOKUP($A12,'2026-2027 projections'!$B:$AJ,23,FALSE)</f>
        <v>#N/A</v>
      </c>
      <c r="C12" s="9" t="e">
        <f>VLOOKUP($A12,'2026-2027 projections'!$B:$AJ,24,FALSE)</f>
        <v>#N/A</v>
      </c>
      <c r="D12" s="9" t="e">
        <f>VLOOKUP($A12,'2026-2027 projections'!$B:$AJ,25,FALSE)</f>
        <v>#N/A</v>
      </c>
      <c r="E12" s="9" t="e">
        <f>VLOOKUP($A12,'2026-2027 projections'!$B:$AJ,26,FALSE)</f>
        <v>#N/A</v>
      </c>
      <c r="F12" s="9" t="e">
        <f>VLOOKUP($A12,'2026-2027 projections'!$B:$AJ,27,FALSE)</f>
        <v>#N/A</v>
      </c>
      <c r="G12" s="9" t="e">
        <f>VLOOKUP($A12,'2026-2027 projections'!$B:$AJ,28,FALSE)</f>
        <v>#N/A</v>
      </c>
      <c r="H12" s="9" t="e">
        <f>VLOOKUP($A12,'2026-2027 projections'!$B:$AJ,29,FALSE)</f>
        <v>#N/A</v>
      </c>
      <c r="I12" s="9" t="e">
        <f>VLOOKUP($A12,'2026-2027 projections'!$B:$AJ,30,FALSE)</f>
        <v>#N/A</v>
      </c>
      <c r="J12" s="9" t="e">
        <f>VLOOKUP($A12,'2026-2027 projections'!$B:$AJ,31,FALSE)</f>
        <v>#N/A</v>
      </c>
      <c r="Z12" t="s">
        <v>951</v>
      </c>
      <c r="AA12" s="17"/>
      <c r="AB12" s="17" t="s">
        <v>954</v>
      </c>
      <c r="AC12" s="7" t="e">
        <f>AVERAGEIF(#REF!, "&lt;&gt;#N/A")</f>
        <v>#REF!</v>
      </c>
      <c r="AD12" s="7" t="e">
        <f>AVERAGEIF(#REF!, "&lt;&gt;#N/A")</f>
        <v>#REF!</v>
      </c>
      <c r="AE12" s="7" t="e">
        <f t="shared" ref="AE12:AK12" si="11">AVERAGEIF(#REF!, "&lt;&gt;#N/A")</f>
        <v>#REF!</v>
      </c>
      <c r="AF12" s="7" t="e">
        <f t="shared" ref="AF12:AK12" si="12">AVERAGEIF(#REF!, "&lt;&gt;#N/A")</f>
        <v>#REF!</v>
      </c>
      <c r="AG12" s="7" t="e">
        <f t="shared" ref="AG12:AK12" si="13">AVERAGEIF(#REF!, "&lt;&gt;#N/A")</f>
        <v>#REF!</v>
      </c>
      <c r="AH12" s="7" t="e">
        <f t="shared" ref="AH12:AK12" si="14">AVERAGEIF(#REF!, "&lt;&gt;#N/A")</f>
        <v>#REF!</v>
      </c>
      <c r="AI12" s="7" t="e">
        <f t="shared" ref="AI12:AK12" si="15">AVERAGEIF(#REF!, "&lt;&gt;#N/A")</f>
        <v>#REF!</v>
      </c>
      <c r="AJ12" s="7" t="e">
        <f t="shared" ref="AJ12:AK12" si="16">AVERAGEIF(#REF!, "&lt;&gt;#N/A")</f>
        <v>#REF!</v>
      </c>
      <c r="AK12" s="7" t="e">
        <f t="shared" ref="AK12" si="17">AVERAGEIF(#REF!, "&lt;&gt;#N/A")</f>
        <v>#REF!</v>
      </c>
    </row>
    <row r="13" spans="1:37" ht="18">
      <c r="B13" s="9" t="e">
        <f>VLOOKUP($A13,'2026-2027 projections'!$B:$AJ,23,FALSE)</f>
        <v>#N/A</v>
      </c>
      <c r="C13" s="9" t="e">
        <f>VLOOKUP($A13,'2026-2027 projections'!$B:$AJ,24,FALSE)</f>
        <v>#N/A</v>
      </c>
      <c r="D13" s="9" t="e">
        <f>VLOOKUP($A13,'2026-2027 projections'!$B:$AJ,25,FALSE)</f>
        <v>#N/A</v>
      </c>
      <c r="E13" s="9" t="e">
        <f>VLOOKUP($A13,'2026-2027 projections'!$B:$AJ,26,FALSE)</f>
        <v>#N/A</v>
      </c>
      <c r="F13" s="9" t="e">
        <f>VLOOKUP($A13,'2026-2027 projections'!$B:$AJ,27,FALSE)</f>
        <v>#N/A</v>
      </c>
      <c r="G13" s="9" t="e">
        <f>VLOOKUP($A13,'2026-2027 projections'!$B:$AJ,28,FALSE)</f>
        <v>#N/A</v>
      </c>
      <c r="H13" s="9" t="e">
        <f>VLOOKUP($A13,'2026-2027 projections'!$B:$AJ,29,FALSE)</f>
        <v>#N/A</v>
      </c>
      <c r="I13" s="9" t="e">
        <f>VLOOKUP($A13,'2026-2027 projections'!$B:$AJ,30,FALSE)</f>
        <v>#N/A</v>
      </c>
      <c r="J13" s="9" t="e">
        <f>VLOOKUP($A13,'2026-2027 projections'!$B:$AJ,31,FALSE)</f>
        <v>#N/A</v>
      </c>
      <c r="L13" s="19" t="s">
        <v>399</v>
      </c>
      <c r="M13" t="s">
        <v>420</v>
      </c>
      <c r="N13" t="s">
        <v>397</v>
      </c>
      <c r="O13" s="1" t="s">
        <v>6</v>
      </c>
      <c r="P13" s="1" t="s">
        <v>7</v>
      </c>
      <c r="Q13" s="1" t="s">
        <v>8</v>
      </c>
      <c r="R13" s="1" t="s">
        <v>9</v>
      </c>
      <c r="S13" s="1" t="s">
        <v>10</v>
      </c>
      <c r="T13" s="1" t="s">
        <v>11</v>
      </c>
      <c r="U13" s="1" t="s">
        <v>12</v>
      </c>
      <c r="V13" s="1" t="s">
        <v>13</v>
      </c>
      <c r="W13" s="1" t="s">
        <v>14</v>
      </c>
      <c r="Z13" s="39" t="s">
        <v>64</v>
      </c>
      <c r="AA13" s="17"/>
      <c r="AB13" s="17" t="s">
        <v>953</v>
      </c>
      <c r="AC13" s="31" t="e">
        <f>SUM(#REF!,#REF!)/SUM(#REF!,#REF!)</f>
        <v>#REF!</v>
      </c>
      <c r="AD13" s="31" t="e">
        <f>SUM(#REF!,AA11)/SUM(#REF!,#REF!)</f>
        <v>#REF!</v>
      </c>
      <c r="AE13" s="9" t="e">
        <f t="shared" ref="AE13:AK13" si="18">AVERAGE(#REF!,AE11)</f>
        <v>#REF!</v>
      </c>
      <c r="AF13" s="9" t="e">
        <f t="shared" ref="AF13:AK13" si="19">AVERAGE(#REF!,AF11)</f>
        <v>#REF!</v>
      </c>
      <c r="AG13" s="9" t="e">
        <f t="shared" ref="AG13:AK13" si="20">AVERAGE(#REF!,AG11)</f>
        <v>#REF!</v>
      </c>
      <c r="AH13" s="9" t="e">
        <f t="shared" ref="AH13:AK13" si="21">AVERAGE(#REF!,AH11)</f>
        <v>#REF!</v>
      </c>
      <c r="AI13" s="9" t="e">
        <f t="shared" ref="AI13:AK13" si="22">AVERAGE(#REF!,AI11)</f>
        <v>#REF!</v>
      </c>
      <c r="AJ13" s="9" t="e">
        <f t="shared" ref="AJ13:AK13" si="23">AVERAGE(#REF!,AJ11)</f>
        <v>#REF!</v>
      </c>
      <c r="AK13" s="9" t="e">
        <f t="shared" ref="AK13" si="24">AVERAGE(#REF!,AK11)</f>
        <v>#REF!</v>
      </c>
    </row>
    <row r="14" spans="1:37" ht="18">
      <c r="B14" s="9" t="e">
        <f>VLOOKUP($A14,'2026-2027 projections'!$B:$AJ,23,FALSE)</f>
        <v>#N/A</v>
      </c>
      <c r="C14" s="9" t="e">
        <f>VLOOKUP($A14,'2026-2027 projections'!$B:$AJ,24,FALSE)</f>
        <v>#N/A</v>
      </c>
      <c r="D14" s="9" t="e">
        <f>VLOOKUP($A14,'2026-2027 projections'!$B:$AJ,25,FALSE)</f>
        <v>#N/A</v>
      </c>
      <c r="E14" s="9" t="e">
        <f>VLOOKUP($A14,'2026-2027 projections'!$B:$AJ,26,FALSE)</f>
        <v>#N/A</v>
      </c>
      <c r="F14" s="9" t="e">
        <f>VLOOKUP($A14,'2026-2027 projections'!$B:$AJ,27,FALSE)</f>
        <v>#N/A</v>
      </c>
      <c r="G14" s="9" t="e">
        <f>VLOOKUP($A14,'2026-2027 projections'!$B:$AJ,28,FALSE)</f>
        <v>#N/A</v>
      </c>
      <c r="H14" s="9" t="e">
        <f>VLOOKUP($A14,'2026-2027 projections'!$B:$AJ,29,FALSE)</f>
        <v>#N/A</v>
      </c>
      <c r="I14" s="9" t="e">
        <f>VLOOKUP($A14,'2026-2027 projections'!$B:$AJ,30,FALSE)</f>
        <v>#N/A</v>
      </c>
      <c r="J14" s="9" t="e">
        <f>VLOOKUP($A14,'2026-2027 projections'!$B:$AJ,31,FALSE)</f>
        <v>#N/A</v>
      </c>
      <c r="L14" s="19" t="s">
        <v>58</v>
      </c>
      <c r="M14">
        <f>VLOOKUP(L14,'2026-2027 projections'!B:C,2,FALSE)</f>
        <v>20</v>
      </c>
      <c r="N14">
        <f>VLOOKUP(L14,'2026-2027 projections'!B:D,3,FALSE)</f>
        <v>16</v>
      </c>
      <c r="O14" s="7">
        <f>VLOOKUP($L14,'2026-2027 projections'!$B:$AJ,23,FALSE)</f>
        <v>-0.14352739806021242</v>
      </c>
      <c r="P14" s="7">
        <f>VLOOKUP($L14,'2026-2027 projections'!$B:$AJ,24,FALSE)</f>
        <v>-6.3018339144539318E-2</v>
      </c>
      <c r="Q14" s="7">
        <f>VLOOKUP($L14,'2026-2027 projections'!$B:$AJ,25,FALSE)</f>
        <v>-0.70196065185537848</v>
      </c>
      <c r="R14" s="7">
        <f>VLOOKUP($L14,'2026-2027 projections'!$B:$AJ,26,FALSE)</f>
        <v>0.66308044267260025</v>
      </c>
      <c r="S14" s="7">
        <f>VLOOKUP($L14,'2026-2027 projections'!$B:$AJ,27,FALSE)</f>
        <v>0.92127976488127628</v>
      </c>
      <c r="T14" s="7">
        <f>VLOOKUP($L14,'2026-2027 projections'!$B:$AJ,28,FALSE)</f>
        <v>1.2653723426763865</v>
      </c>
      <c r="U14" s="7">
        <f>VLOOKUP($L14,'2026-2027 projections'!$B:$AJ,29,FALSE)</f>
        <v>1.4193620299491441</v>
      </c>
      <c r="V14" s="7">
        <f>VLOOKUP($L14,'2026-2027 projections'!$B:$AJ,30,FALSE)</f>
        <v>1.2616238464618952</v>
      </c>
      <c r="W14" s="7">
        <f>VLOOKUP($L14,'2026-2027 projections'!$B:$AJ,31,FALSE)</f>
        <v>-1.3021697898277191</v>
      </c>
      <c r="Z14" s="13"/>
      <c r="AA14" s="17"/>
      <c r="AB14" s="17" t="s">
        <v>249</v>
      </c>
      <c r="AC14" s="38" t="e">
        <f t="shared" ref="AC14:AK14" si="25">AC13-AC12</f>
        <v>#REF!</v>
      </c>
      <c r="AD14" s="38" t="e">
        <f t="shared" si="25"/>
        <v>#REF!</v>
      </c>
      <c r="AE14" s="9" t="e">
        <f t="shared" si="25"/>
        <v>#REF!</v>
      </c>
      <c r="AF14" s="9" t="e">
        <f t="shared" si="25"/>
        <v>#REF!</v>
      </c>
      <c r="AG14" s="9" t="e">
        <f t="shared" si="25"/>
        <v>#REF!</v>
      </c>
      <c r="AH14" s="9" t="e">
        <f t="shared" si="25"/>
        <v>#REF!</v>
      </c>
      <c r="AI14" s="9" t="e">
        <f t="shared" si="25"/>
        <v>#REF!</v>
      </c>
      <c r="AJ14" s="9" t="e">
        <f t="shared" si="25"/>
        <v>#REF!</v>
      </c>
      <c r="AK14" s="9" t="e">
        <f t="shared" si="25"/>
        <v>#REF!</v>
      </c>
    </row>
    <row r="15" spans="1:37">
      <c r="B15" s="9" t="e">
        <f>VLOOKUP($A15,'2026-2027 projections'!$B:$AJ,23,FALSE)</f>
        <v>#N/A</v>
      </c>
      <c r="C15" s="9" t="e">
        <f>VLOOKUP($A15,'2026-2027 projections'!$B:$AJ,24,FALSE)</f>
        <v>#N/A</v>
      </c>
      <c r="D15" s="9" t="e">
        <f>VLOOKUP($A15,'2026-2027 projections'!$B:$AJ,25,FALSE)</f>
        <v>#N/A</v>
      </c>
      <c r="E15" s="9" t="e">
        <f>VLOOKUP($A15,'2026-2027 projections'!$B:$AJ,26,FALSE)</f>
        <v>#N/A</v>
      </c>
      <c r="F15" s="9" t="e">
        <f>VLOOKUP($A15,'2026-2027 projections'!$B:$AJ,27,FALSE)</f>
        <v>#N/A</v>
      </c>
      <c r="G15" s="9" t="e">
        <f>VLOOKUP($A15,'2026-2027 projections'!$B:$AJ,28,FALSE)</f>
        <v>#N/A</v>
      </c>
      <c r="H15" s="9" t="e">
        <f>VLOOKUP($A15,'2026-2027 projections'!$B:$AJ,29,FALSE)</f>
        <v>#N/A</v>
      </c>
      <c r="I15" s="9" t="e">
        <f>VLOOKUP($A15,'2026-2027 projections'!$B:$AJ,30,FALSE)</f>
        <v>#N/A</v>
      </c>
      <c r="J15" s="9" t="e">
        <f>VLOOKUP($A15,'2026-2027 projections'!$B:$AJ,31,FALSE)</f>
        <v>#N/A</v>
      </c>
      <c r="M15" t="e">
        <f>VLOOKUP(L15,'2026-2027 projections'!B:C,2,FALSE)</f>
        <v>#N/A</v>
      </c>
      <c r="N15" t="e">
        <f>VLOOKUP(L15,'2026-2027 projections'!B:D,3,FALSE)</f>
        <v>#N/A</v>
      </c>
      <c r="O15" s="7" t="e">
        <f>VLOOKUP($L15,'2026-2027 projections'!$B:$AJ,23,FALSE)</f>
        <v>#N/A</v>
      </c>
      <c r="P15" s="7" t="e">
        <f>VLOOKUP($L15,'2026-2027 projections'!$B:$AJ,24,FALSE)</f>
        <v>#N/A</v>
      </c>
      <c r="Q15" s="7" t="e">
        <f>VLOOKUP($L15,'2026-2027 projections'!$B:$AJ,25,FALSE)</f>
        <v>#N/A</v>
      </c>
      <c r="R15" s="7" t="e">
        <f>VLOOKUP($L15,'2026-2027 projections'!$B:$AJ,26,FALSE)</f>
        <v>#N/A</v>
      </c>
      <c r="S15" s="7" t="e">
        <f>VLOOKUP($L15,'2026-2027 projections'!$B:$AJ,27,FALSE)</f>
        <v>#N/A</v>
      </c>
      <c r="T15" s="7" t="e">
        <f>VLOOKUP($L15,'2026-2027 projections'!$B:$AJ,28,FALSE)</f>
        <v>#N/A</v>
      </c>
      <c r="U15" s="7" t="e">
        <f>VLOOKUP($L15,'2026-2027 projections'!$B:$AJ,29,FALSE)</f>
        <v>#N/A</v>
      </c>
      <c r="V15" s="7" t="e">
        <f>VLOOKUP($L15,'2026-2027 projections'!$B:$AJ,30,FALSE)</f>
        <v>#N/A</v>
      </c>
      <c r="W15" s="7" t="e">
        <f>VLOOKUP($L15,'2026-2027 projections'!$B:$AJ,31,FALSE)</f>
        <v>#N/A</v>
      </c>
      <c r="AC15" s="32" t="s">
        <v>948</v>
      </c>
      <c r="AD15" s="32" t="s">
        <v>7</v>
      </c>
      <c r="AE15" s="32" t="s">
        <v>8</v>
      </c>
      <c r="AF15" s="32" t="s">
        <v>9</v>
      </c>
      <c r="AG15" s="32" t="s">
        <v>944</v>
      </c>
      <c r="AH15" s="32" t="s">
        <v>11</v>
      </c>
      <c r="AI15" s="32" t="s">
        <v>12</v>
      </c>
      <c r="AJ15" s="32" t="s">
        <v>13</v>
      </c>
      <c r="AK15" s="32" t="s">
        <v>14</v>
      </c>
    </row>
    <row r="16" spans="1:37">
      <c r="B16" s="9" t="e">
        <f>VLOOKUP($A16,'2026-2027 projections'!$B:$AJ,23,FALSE)</f>
        <v>#N/A</v>
      </c>
      <c r="C16" s="9" t="e">
        <f>VLOOKUP($A16,'2026-2027 projections'!$B:$AJ,24,FALSE)</f>
        <v>#N/A</v>
      </c>
      <c r="D16" s="9" t="e">
        <f>VLOOKUP($A16,'2026-2027 projections'!$B:$AJ,25,FALSE)</f>
        <v>#N/A</v>
      </c>
      <c r="E16" s="9" t="e">
        <f>VLOOKUP($A16,'2026-2027 projections'!$B:$AJ,26,FALSE)</f>
        <v>#N/A</v>
      </c>
      <c r="F16" s="9" t="e">
        <f>VLOOKUP($A16,'2026-2027 projections'!$B:$AJ,27,FALSE)</f>
        <v>#N/A</v>
      </c>
      <c r="G16" s="9" t="e">
        <f>VLOOKUP($A16,'2026-2027 projections'!$B:$AJ,28,FALSE)</f>
        <v>#N/A</v>
      </c>
      <c r="H16" s="9" t="e">
        <f>VLOOKUP($A16,'2026-2027 projections'!$B:$AJ,29,FALSE)</f>
        <v>#N/A</v>
      </c>
      <c r="I16" s="9" t="e">
        <f>VLOOKUP($A16,'2026-2027 projections'!$B:$AJ,30,FALSE)</f>
        <v>#N/A</v>
      </c>
      <c r="J16" s="9" t="e">
        <f>VLOOKUP($A16,'2026-2027 projections'!$B:$AJ,31,FALSE)</f>
        <v>#N/A</v>
      </c>
      <c r="L16" s="20" t="s">
        <v>54</v>
      </c>
      <c r="M16">
        <f>VLOOKUP(L16,'2026-2027 projections'!B:C,2,FALSE)</f>
        <v>75</v>
      </c>
      <c r="N16" t="e">
        <f>VLOOKUP(L16,'2026-2027 projections'!B:D,3,FALSE)</f>
        <v>#N/A</v>
      </c>
      <c r="O16" s="7">
        <f>VLOOKUP($L16,'2026-2027 projections'!$B:$AJ,23,FALSE)</f>
        <v>-1.0517581112563466</v>
      </c>
      <c r="P16" s="7">
        <f>VLOOKUP($L16,'2026-2027 projections'!$B:$AJ,24,FALSE)</f>
        <v>1.4790143537424285</v>
      </c>
      <c r="Q16" s="7">
        <f>VLOOKUP($L16,'2026-2027 projections'!$B:$AJ,25,FALSE)</f>
        <v>1.5075665006289996</v>
      </c>
      <c r="R16" s="7">
        <f>VLOOKUP($L16,'2026-2027 projections'!$B:$AJ,26,FALSE)</f>
        <v>0.60629340859625125</v>
      </c>
      <c r="S16" s="7">
        <f>VLOOKUP($L16,'2026-2027 projections'!$B:$AJ,27,FALSE)</f>
        <v>-0.90968613188501746</v>
      </c>
      <c r="T16" s="7">
        <f>VLOOKUP($L16,'2026-2027 projections'!$B:$AJ,28,FALSE)</f>
        <v>0.69741898302200378</v>
      </c>
      <c r="U16" s="7">
        <f>VLOOKUP($L16,'2026-2027 projections'!$B:$AJ,29,FALSE)</f>
        <v>-0.34169826646924195</v>
      </c>
      <c r="V16" s="7">
        <f>VLOOKUP($L16,'2026-2027 projections'!$B:$AJ,30,FALSE)</f>
        <v>-1.1747546304525105</v>
      </c>
      <c r="W16" s="7">
        <f>VLOOKUP($L16,'2026-2027 projections'!$B:$AJ,31,FALSE)</f>
        <v>-0.34692844765482989</v>
      </c>
      <c r="Z16" s="17"/>
      <c r="AA16" s="17"/>
      <c r="AB16" t="s">
        <v>954</v>
      </c>
      <c r="AC16" s="9" t="e">
        <f t="shared" ref="AC16:AK16" si="26">AC6</f>
        <v>#REF!</v>
      </c>
      <c r="AD16" s="9" t="str">
        <f t="shared" si="26"/>
        <v>n/a</v>
      </c>
      <c r="AE16" s="9" t="e">
        <f t="shared" si="26"/>
        <v>#REF!</v>
      </c>
      <c r="AF16" s="9" t="e">
        <f t="shared" si="26"/>
        <v>#REF!</v>
      </c>
      <c r="AG16" s="9" t="e">
        <f t="shared" si="26"/>
        <v>#REF!</v>
      </c>
      <c r="AH16" s="9" t="e">
        <f t="shared" si="26"/>
        <v>#REF!</v>
      </c>
      <c r="AI16" s="9" t="e">
        <f t="shared" si="26"/>
        <v>#REF!</v>
      </c>
      <c r="AJ16" s="9" t="e">
        <f t="shared" si="26"/>
        <v>#REF!</v>
      </c>
      <c r="AK16" s="9" t="e">
        <f t="shared" si="26"/>
        <v>#REF!</v>
      </c>
    </row>
    <row r="17" spans="1:37">
      <c r="B17" s="9" t="e">
        <f>VLOOKUP($A17,'2026-2027 projections'!$B:$AJ,23,FALSE)</f>
        <v>#N/A</v>
      </c>
      <c r="C17" s="9" t="e">
        <f>VLOOKUP($A17,'2026-2027 projections'!$B:$AJ,24,FALSE)</f>
        <v>#N/A</v>
      </c>
      <c r="D17" s="9" t="e">
        <f>VLOOKUP($A17,'2026-2027 projections'!$B:$AJ,25,FALSE)</f>
        <v>#N/A</v>
      </c>
      <c r="E17" s="9" t="e">
        <f>VLOOKUP($A17,'2026-2027 projections'!$B:$AJ,26,FALSE)</f>
        <v>#N/A</v>
      </c>
      <c r="F17" s="9" t="e">
        <f>VLOOKUP($A17,'2026-2027 projections'!$B:$AJ,27,FALSE)</f>
        <v>#N/A</v>
      </c>
      <c r="G17" s="9" t="e">
        <f>VLOOKUP($A17,'2026-2027 projections'!$B:$AJ,28,FALSE)</f>
        <v>#N/A</v>
      </c>
      <c r="H17" s="9" t="e">
        <f>VLOOKUP($A17,'2026-2027 projections'!$B:$AJ,29,FALSE)</f>
        <v>#N/A</v>
      </c>
      <c r="I17" s="9" t="e">
        <f>VLOOKUP($A17,'2026-2027 projections'!$B:$AJ,30,FALSE)</f>
        <v>#N/A</v>
      </c>
      <c r="J17" s="9" t="e">
        <f>VLOOKUP($A17,'2026-2027 projections'!$B:$AJ,31,FALSE)</f>
        <v>#N/A</v>
      </c>
      <c r="L17" s="20" t="s">
        <v>83</v>
      </c>
      <c r="M17">
        <f>VLOOKUP(L17,'2026-2027 projections'!B:C,2,FALSE)</f>
        <v>87</v>
      </c>
      <c r="N17">
        <f>VLOOKUP(L17,'2026-2027 projections'!B:D,3,FALSE)</f>
        <v>71</v>
      </c>
      <c r="O17" s="7">
        <f>VLOOKUP($L17,'2026-2027 projections'!$B:$AJ,23,FALSE)</f>
        <v>2.2977864036572591E-3</v>
      </c>
      <c r="P17" s="7">
        <f>VLOOKUP($L17,'2026-2027 projections'!$B:$AJ,24,FALSE)</f>
        <v>-5.6220740518896767E-4</v>
      </c>
      <c r="Q17" s="7">
        <f>VLOOKUP($L17,'2026-2027 projections'!$B:$AJ,25,FALSE)</f>
        <v>3.4548398972747453E-2</v>
      </c>
      <c r="R17" s="7">
        <f>VLOOKUP($L17,'2026-2027 projections'!$B:$AJ,26,FALSE)</f>
        <v>0.56843538587868436</v>
      </c>
      <c r="S17" s="7">
        <f>VLOOKUP($L17,'2026-2027 projections'!$B:$AJ,27,FALSE)</f>
        <v>-0.74323468672444537</v>
      </c>
      <c r="T17" s="7">
        <f>VLOOKUP($L17,'2026-2027 projections'!$B:$AJ,28,FALSE)</f>
        <v>1.1104759718615549</v>
      </c>
      <c r="U17" s="7">
        <f>VLOOKUP($L17,'2026-2027 projections'!$B:$AJ,29,FALSE)</f>
        <v>0.53883188173995089</v>
      </c>
      <c r="V17" s="7">
        <f>VLOOKUP($L17,'2026-2027 projections'!$B:$AJ,30,FALSE)</f>
        <v>-0.76869155096677622</v>
      </c>
      <c r="W17" s="7">
        <f>VLOOKUP($L17,'2026-2027 projections'!$B:$AJ,31,FALSE)</f>
        <v>-0.61985454541851226</v>
      </c>
      <c r="AA17" s="17"/>
      <c r="AB17" s="17" t="s">
        <v>249</v>
      </c>
      <c r="AC17" s="9" t="e">
        <f t="shared" ref="AC17:AK17" si="27">AC18-AC16</f>
        <v>#REF!</v>
      </c>
      <c r="AD17" s="9" t="e">
        <f t="shared" si="27"/>
        <v>#REF!</v>
      </c>
      <c r="AE17" s="9" t="e">
        <f t="shared" si="27"/>
        <v>#REF!</v>
      </c>
      <c r="AF17" s="9" t="e">
        <f t="shared" si="27"/>
        <v>#REF!</v>
      </c>
      <c r="AG17" s="9" t="e">
        <f t="shared" si="27"/>
        <v>#REF!</v>
      </c>
      <c r="AH17" s="9" t="e">
        <f t="shared" si="27"/>
        <v>#REF!</v>
      </c>
      <c r="AI17" s="9" t="e">
        <f t="shared" si="27"/>
        <v>#REF!</v>
      </c>
      <c r="AJ17" s="9" t="e">
        <f t="shared" si="27"/>
        <v>#REF!</v>
      </c>
      <c r="AK17" s="9" t="e">
        <f t="shared" si="27"/>
        <v>#REF!</v>
      </c>
    </row>
    <row r="18" spans="1:37">
      <c r="B18" s="9" t="e">
        <f>VLOOKUP($A18,'2026-2027 projections'!$B:$AJ,23,FALSE)</f>
        <v>#N/A</v>
      </c>
      <c r="C18" s="9" t="e">
        <f>VLOOKUP($A18,'2026-2027 projections'!$B:$AJ,24,FALSE)</f>
        <v>#N/A</v>
      </c>
      <c r="D18" s="9" t="e">
        <f>VLOOKUP($A18,'2026-2027 projections'!$B:$AJ,25,FALSE)</f>
        <v>#N/A</v>
      </c>
      <c r="E18" s="9" t="e">
        <f>VLOOKUP($A18,'2026-2027 projections'!$B:$AJ,26,FALSE)</f>
        <v>#N/A</v>
      </c>
      <c r="F18" s="9" t="e">
        <f>VLOOKUP($A18,'2026-2027 projections'!$B:$AJ,27,FALSE)</f>
        <v>#N/A</v>
      </c>
      <c r="G18" s="9" t="e">
        <f>VLOOKUP($A18,'2026-2027 projections'!$B:$AJ,28,FALSE)</f>
        <v>#N/A</v>
      </c>
      <c r="H18" s="9" t="e">
        <f>VLOOKUP($A18,'2026-2027 projections'!$B:$AJ,29,FALSE)</f>
        <v>#N/A</v>
      </c>
      <c r="I18" s="9" t="e">
        <f>VLOOKUP($A18,'2026-2027 projections'!$B:$AJ,30,FALSE)</f>
        <v>#N/A</v>
      </c>
      <c r="J18" s="9" t="e">
        <f>VLOOKUP($A18,'2026-2027 projections'!$B:$AJ,31,FALSE)</f>
        <v>#N/A</v>
      </c>
      <c r="L18" s="20" t="s">
        <v>69</v>
      </c>
      <c r="M18">
        <f>VLOOKUP(L18,'2026-2027 projections'!B:C,2,FALSE)</f>
        <v>6</v>
      </c>
      <c r="N18">
        <f>VLOOKUP(L18,'2026-2027 projections'!B:D,3,FALSE)</f>
        <v>4</v>
      </c>
      <c r="O18" s="7">
        <f>VLOOKUP($L18,'2026-2027 projections'!$B:$AJ,23,FALSE)</f>
        <v>-0.70814713245398553</v>
      </c>
      <c r="P18" s="7">
        <f>VLOOKUP($L18,'2026-2027 projections'!$B:$AJ,24,FALSE)</f>
        <v>1.6216105956023106</v>
      </c>
      <c r="Q18" s="7">
        <f>VLOOKUP($L18,'2026-2027 projections'!$B:$AJ,25,FALSE)</f>
        <v>1.1919197645598023</v>
      </c>
      <c r="R18" s="7">
        <f>VLOOKUP($L18,'2026-2027 projections'!$B:$AJ,26,FALSE)</f>
        <v>1.5716729878941937</v>
      </c>
      <c r="S18" s="7">
        <f>VLOOKUP($L18,'2026-2027 projections'!$B:$AJ,27,FALSE)</f>
        <v>-0.95129899317516053</v>
      </c>
      <c r="T18" s="7">
        <f>VLOOKUP($L18,'2026-2027 projections'!$B:$AJ,28,FALSE)</f>
        <v>1.1104759718615549</v>
      </c>
      <c r="U18" s="7">
        <f>VLOOKUP($L18,'2026-2027 projections'!$B:$AJ,29,FALSE)</f>
        <v>2.2998921781583372</v>
      </c>
      <c r="V18" s="7">
        <f>VLOOKUP($L18,'2026-2027 projections'!$B:$AJ,30,FALSE)</f>
        <v>-0.36262847148104194</v>
      </c>
      <c r="W18" s="7">
        <f>VLOOKUP($L18,'2026-2027 projections'!$B:$AJ,31,FALSE)</f>
        <v>-0.48339149653667135</v>
      </c>
      <c r="AB18" s="17" t="s">
        <v>953</v>
      </c>
      <c r="AC18" s="37" t="e">
        <f>((SUM(#REF!,#REF!)/SUM(#REF!,#REF!))-#REF!)/#REF!*SQRT(SUM(#REF!,#REF!)/(COUNT(#REF!,#REF!)*#REF!))</f>
        <v>#REF!</v>
      </c>
      <c r="AD18" s="37" t="e">
        <f>((SUM(#REF!,AA11)/SUM(#REF!,#REF!)-#REF!)/#REF!)*SQRT(SUM(#REF!,#REF!)/(COUNT(#REF!,#REF!)*#REF!))</f>
        <v>#REF!</v>
      </c>
      <c r="AE18" s="9" t="e">
        <f t="shared" ref="AE18:AJ18" si="28">(AVERAGE(#REF!,AE11)-#REF!)/#REF!</f>
        <v>#REF!</v>
      </c>
      <c r="AF18" s="9" t="e">
        <f t="shared" ref="AF18:AK18" si="29">(AVERAGE(#REF!,AF11)-#REF!)/#REF!</f>
        <v>#REF!</v>
      </c>
      <c r="AG18" s="9" t="e">
        <f t="shared" ref="AG18:AK18" si="30">(AVERAGE(#REF!,AG11)-#REF!)/#REF!</f>
        <v>#REF!</v>
      </c>
      <c r="AH18" s="9" t="e">
        <f t="shared" ref="AH18:AK18" si="31">(AVERAGE(#REF!,AH11)-#REF!)/#REF!</f>
        <v>#REF!</v>
      </c>
      <c r="AI18" s="9" t="e">
        <f t="shared" ref="AI18:AK18" si="32">(AVERAGE(#REF!,AI11)-#REF!)/#REF!</f>
        <v>#REF!</v>
      </c>
      <c r="AJ18" s="9" t="e">
        <f t="shared" ref="AJ18:AK18" si="33">(AVERAGE(#REF!,AJ11)-#REF!)/#REF!</f>
        <v>#REF!</v>
      </c>
      <c r="AK18" s="9" t="e">
        <f>(AVERAGE(#REF!,AK11)-#REF!)/#REF!*-1</f>
        <v>#REF!</v>
      </c>
    </row>
    <row r="19" spans="1:37">
      <c r="B19" s="9" t="e">
        <f>VLOOKUP($A19,'2026-2027 projections'!$B:$AJ,23,FALSE)</f>
        <v>#N/A</v>
      </c>
      <c r="C19" s="9" t="e">
        <f>VLOOKUP($A19,'2026-2027 projections'!$B:$AJ,24,FALSE)</f>
        <v>#N/A</v>
      </c>
      <c r="D19" s="9" t="e">
        <f>VLOOKUP($A19,'2026-2027 projections'!$B:$AJ,25,FALSE)</f>
        <v>#N/A</v>
      </c>
      <c r="E19" s="9" t="e">
        <f>VLOOKUP($A19,'2026-2027 projections'!$B:$AJ,26,FALSE)</f>
        <v>#N/A</v>
      </c>
      <c r="F19" s="9" t="e">
        <f>VLOOKUP($A19,'2026-2027 projections'!$B:$AJ,27,FALSE)</f>
        <v>#N/A</v>
      </c>
      <c r="G19" s="9" t="e">
        <f>VLOOKUP($A19,'2026-2027 projections'!$B:$AJ,28,FALSE)</f>
        <v>#N/A</v>
      </c>
      <c r="H19" s="9" t="e">
        <f>VLOOKUP($A19,'2026-2027 projections'!$B:$AJ,29,FALSE)</f>
        <v>#N/A</v>
      </c>
      <c r="I19" s="9" t="e">
        <f>VLOOKUP($A19,'2026-2027 projections'!$B:$AJ,30,FALSE)</f>
        <v>#N/A</v>
      </c>
      <c r="J19" s="9" t="e">
        <f>VLOOKUP($A19,'2026-2027 projections'!$B:$AJ,31,FALSE)</f>
        <v>#N/A</v>
      </c>
      <c r="L19" s="20" t="s">
        <v>93</v>
      </c>
      <c r="M19">
        <f>VLOOKUP(L19,'2026-2027 projections'!B:C,2,FALSE)</f>
        <v>32</v>
      </c>
      <c r="N19">
        <f>VLOOKUP(L19,'2026-2027 projections'!B:D,3,FALSE)</f>
        <v>78</v>
      </c>
      <c r="O19" s="7">
        <f>VLOOKUP($L19,'2026-2027 projections'!$B:$AJ,23,FALSE)</f>
        <v>0.1422023412341121</v>
      </c>
      <c r="P19" s="7">
        <f>VLOOKUP($L19,'2026-2027 projections'!$B:$AJ,24,FALSE)</f>
        <v>-6.3018339144539318E-2</v>
      </c>
      <c r="Q19" s="7">
        <f>VLOOKUP($L19,'2026-2027 projections'!$B:$AJ,25,FALSE)</f>
        <v>-0.17588275840671705</v>
      </c>
      <c r="R19" s="7">
        <f>VLOOKUP($L19,'2026-2027 projections'!$B:$AJ,26,FALSE)</f>
        <v>0.85237055626043223</v>
      </c>
      <c r="S19" s="7">
        <f>VLOOKUP($L19,'2026-2027 projections'!$B:$AJ,27,FALSE)</f>
        <v>-0.20226748995258578</v>
      </c>
      <c r="T19" s="7">
        <f>VLOOKUP($L19,'2026-2027 projections'!$B:$AJ,28,FALSE)</f>
        <v>0.85231535383683532</v>
      </c>
      <c r="U19" s="7">
        <f>VLOOKUP($L19,'2026-2027 projections'!$B:$AJ,29,FALSE)</f>
        <v>1.4193620299491441</v>
      </c>
      <c r="V19" s="7">
        <f>VLOOKUP($L19,'2026-2027 projections'!$B:$AJ,30,FALSE)</f>
        <v>-0.15959693173817482</v>
      </c>
      <c r="W19" s="7">
        <f>VLOOKUP($L19,'2026-2027 projections'!$B:$AJ,31,FALSE)</f>
        <v>-0.34692844765482989</v>
      </c>
    </row>
    <row r="20" spans="1:37">
      <c r="B20" s="9" t="e">
        <f>VLOOKUP($A20,'2026-2027 projections'!$B:$AJ,23,FALSE)</f>
        <v>#N/A</v>
      </c>
      <c r="C20" s="9" t="e">
        <f>VLOOKUP($A20,'2026-2027 projections'!$B:$AJ,24,FALSE)</f>
        <v>#N/A</v>
      </c>
      <c r="D20" s="9" t="e">
        <f>VLOOKUP($A20,'2026-2027 projections'!$B:$AJ,25,FALSE)</f>
        <v>#N/A</v>
      </c>
      <c r="E20" s="9" t="e">
        <f>VLOOKUP($A20,'2026-2027 projections'!$B:$AJ,26,FALSE)</f>
        <v>#N/A</v>
      </c>
      <c r="F20" s="9" t="e">
        <f>VLOOKUP($A20,'2026-2027 projections'!$B:$AJ,27,FALSE)</f>
        <v>#N/A</v>
      </c>
      <c r="G20" s="9" t="e">
        <f>VLOOKUP($A20,'2026-2027 projections'!$B:$AJ,28,FALSE)</f>
        <v>#N/A</v>
      </c>
      <c r="H20" s="9" t="e">
        <f>VLOOKUP($A20,'2026-2027 projections'!$B:$AJ,29,FALSE)</f>
        <v>#N/A</v>
      </c>
      <c r="I20" s="9" t="e">
        <f>VLOOKUP($A20,'2026-2027 projections'!$B:$AJ,30,FALSE)</f>
        <v>#N/A</v>
      </c>
      <c r="J20" s="9" t="e">
        <f>VLOOKUP($A20,'2026-2027 projections'!$B:$AJ,31,FALSE)</f>
        <v>#N/A</v>
      </c>
      <c r="L20" s="20" t="s">
        <v>248</v>
      </c>
      <c r="M20" t="e">
        <f>VLOOKUP(L20,'2026-2027 projections'!B:C,2,FALSE)</f>
        <v>#N/A</v>
      </c>
      <c r="N20" t="e">
        <f>VLOOKUP(L20,'2026-2027 projections'!B:D,3,FALSE)</f>
        <v>#N/A</v>
      </c>
      <c r="O20" s="7" t="e">
        <f>VLOOKUP($L20,'2026-2027 projections'!$B:$AJ,23,FALSE)</f>
        <v>#N/A</v>
      </c>
      <c r="P20" s="7" t="e">
        <f>VLOOKUP($L20,'2026-2027 projections'!$B:$AJ,24,FALSE)</f>
        <v>#N/A</v>
      </c>
      <c r="Q20" s="7" t="e">
        <f>VLOOKUP($L20,'2026-2027 projections'!$B:$AJ,25,FALSE)</f>
        <v>#N/A</v>
      </c>
      <c r="R20" s="7" t="e">
        <f>VLOOKUP($L20,'2026-2027 projections'!$B:$AJ,26,FALSE)</f>
        <v>#N/A</v>
      </c>
      <c r="S20" s="7" t="e">
        <f>VLOOKUP($L20,'2026-2027 projections'!$B:$AJ,27,FALSE)</f>
        <v>#N/A</v>
      </c>
      <c r="T20" s="7" t="e">
        <f>VLOOKUP($L20,'2026-2027 projections'!$B:$AJ,28,FALSE)</f>
        <v>#N/A</v>
      </c>
      <c r="U20" s="7" t="e">
        <f>VLOOKUP($L20,'2026-2027 projections'!$B:$AJ,29,FALSE)</f>
        <v>#N/A</v>
      </c>
      <c r="V20" s="7" t="e">
        <f>VLOOKUP($L20,'2026-2027 projections'!$B:$AJ,30,FALSE)</f>
        <v>#N/A</v>
      </c>
      <c r="W20" s="7" t="e">
        <f>VLOOKUP($L20,'2026-2027 projections'!$B:$AJ,31,FALSE)</f>
        <v>#N/A</v>
      </c>
    </row>
    <row r="21" spans="1:37">
      <c r="L21" s="19" t="s">
        <v>56</v>
      </c>
      <c r="M21">
        <f>VLOOKUP(L21,'2026-2027 projections'!B:C,2,FALSE)</f>
        <v>27</v>
      </c>
      <c r="N21">
        <f>VLOOKUP(L21,'2026-2027 projections'!B:D,3,FALSE)</f>
        <v>17</v>
      </c>
      <c r="O21" s="7">
        <f>VLOOKUP($L21,'2026-2027 projections'!$B:$AJ,23,FALSE)</f>
        <v>-1.0891201181797536</v>
      </c>
      <c r="P21" s="7">
        <f>VLOOKUP($L21,'2026-2027 projections'!$B:$AJ,24,FALSE)</f>
        <v>1.4165582220030775</v>
      </c>
      <c r="Q21" s="7">
        <f>VLOOKUP($L21,'2026-2027 projections'!$B:$AJ,25,FALSE)</f>
        <v>1.4023509219392671</v>
      </c>
      <c r="R21" s="7">
        <f>VLOOKUP($L21,'2026-2027 projections'!$B:$AJ,26,FALSE)</f>
        <v>1.4959569424590613</v>
      </c>
      <c r="S21" s="7">
        <f>VLOOKUP($L21,'2026-2027 projections'!$B:$AJ,27,FALSE)</f>
        <v>0.42192542939955979</v>
      </c>
      <c r="T21" s="7">
        <f>VLOOKUP($L21,'2026-2027 projections'!$B:$AJ,28,FALSE)</f>
        <v>-0.90317684873125736</v>
      </c>
      <c r="U21" s="7">
        <f>VLOOKUP($L21,'2026-2027 projections'!$B:$AJ,29,FALSE)</f>
        <v>-0.34169826646924195</v>
      </c>
      <c r="V21" s="7">
        <f>VLOOKUP($L21,'2026-2027 projections'!$B:$AJ,30,FALSE)</f>
        <v>-0.36262847148104194</v>
      </c>
      <c r="W21" s="7">
        <f>VLOOKUP($L21,'2026-2027 projections'!$B:$AJ,31,FALSE)</f>
        <v>0.47184984563621846</v>
      </c>
    </row>
    <row r="22" spans="1:37">
      <c r="L22" s="19" t="s">
        <v>390</v>
      </c>
      <c r="M22">
        <f>VLOOKUP(L22,'2026-2027 projections'!B:C,2,FALSE)</f>
        <v>102</v>
      </c>
      <c r="N22" t="e">
        <f>VLOOKUP(L22,'2026-2027 projections'!B:D,3,FALSE)</f>
        <v>#N/A</v>
      </c>
      <c r="O22" s="7">
        <f>VLOOKUP($L22,'2026-2027 projections'!$B:$AJ,23,FALSE)</f>
        <v>-2</v>
      </c>
      <c r="P22" s="7">
        <f>VLOOKUP($L22,'2026-2027 projections'!$B:$AJ,24,FALSE)</f>
        <v>0.38301657222149776</v>
      </c>
      <c r="Q22" s="7">
        <f>VLOOKUP($L22,'2026-2027 projections'!$B:$AJ,25,FALSE)</f>
        <v>0.77105744980087332</v>
      </c>
      <c r="R22" s="7">
        <f>VLOOKUP($L22,'2026-2027 projections'!$B:$AJ,26,FALSE)</f>
        <v>-0.62409232972465667</v>
      </c>
      <c r="S22" s="7">
        <f>VLOOKUP($L22,'2026-2027 projections'!$B:$AJ,27,FALSE)</f>
        <v>-0.99291185446530361</v>
      </c>
      <c r="T22" s="7">
        <f>VLOOKUP($L22,'2026-2027 projections'!$B:$AJ,28,FALSE)</f>
        <v>0.69741898302200378</v>
      </c>
      <c r="U22" s="7">
        <f>VLOOKUP($L22,'2026-2027 projections'!$B:$AJ,29,FALSE)</f>
        <v>1.1258519805460794</v>
      </c>
      <c r="V22" s="7">
        <f>VLOOKUP($L22,'2026-2027 projections'!$B:$AJ,30,FALSE)</f>
        <v>-0.56566001122390897</v>
      </c>
      <c r="W22" s="7">
        <f>VLOOKUP($L22,'2026-2027 projections'!$B:$AJ,31,FALSE)</f>
        <v>0.74477594339990116</v>
      </c>
    </row>
    <row r="23" spans="1:37">
      <c r="B23" s="1" t="s">
        <v>6</v>
      </c>
      <c r="C23" s="1" t="s">
        <v>7</v>
      </c>
      <c r="D23" s="1" t="s">
        <v>8</v>
      </c>
      <c r="E23" s="1" t="s">
        <v>9</v>
      </c>
      <c r="F23" s="1" t="s">
        <v>10</v>
      </c>
      <c r="G23" s="1" t="s">
        <v>11</v>
      </c>
      <c r="H23" s="1" t="s">
        <v>12</v>
      </c>
      <c r="I23" s="1" t="s">
        <v>13</v>
      </c>
      <c r="J23" s="1" t="s">
        <v>14</v>
      </c>
      <c r="K23" s="7"/>
      <c r="L23" s="19" t="s">
        <v>85</v>
      </c>
      <c r="M23">
        <f>VLOOKUP(L23,'2026-2027 projections'!B:C,2,FALSE)</f>
        <v>139</v>
      </c>
      <c r="N23">
        <f>VLOOKUP(L23,'2026-2027 projections'!B:D,3,FALSE)</f>
        <v>69</v>
      </c>
      <c r="O23" s="7">
        <f>VLOOKUP($L23,'2026-2027 projections'!$B:$AJ,23,FALSE)</f>
        <v>-0.55002113144255771</v>
      </c>
      <c r="P23" s="7">
        <f>VLOOKUP($L23,'2026-2027 projections'!$B:$AJ,24,FALSE)</f>
        <v>0.79255911201477725</v>
      </c>
      <c r="Q23" s="7">
        <f>VLOOKUP($L23,'2026-2027 projections'!$B:$AJ,25,FALSE)</f>
        <v>-0.28109833709644944</v>
      </c>
      <c r="R23" s="7">
        <f>VLOOKUP($L23,'2026-2027 projections'!$B:$AJ,26,FALSE)</f>
        <v>0.6820094540313838</v>
      </c>
      <c r="S23" s="7">
        <f>VLOOKUP($L23,'2026-2027 projections'!$B:$AJ,27,FALSE)</f>
        <v>-0.95129899317516053</v>
      </c>
      <c r="T23" s="7">
        <f>VLOOKUP($L23,'2026-2027 projections'!$B:$AJ,28,FALSE)</f>
        <v>1.5235329607011061</v>
      </c>
      <c r="U23" s="7">
        <f>VLOOKUP($L23,'2026-2027 projections'!$B:$AJ,29,FALSE)</f>
        <v>-4.818821706617768E-2</v>
      </c>
      <c r="V23" s="7">
        <f>VLOOKUP($L23,'2026-2027 projections'!$B:$AJ,30,FALSE)</f>
        <v>-0.97172309070964324</v>
      </c>
      <c r="W23" s="7">
        <f>VLOOKUP($L23,'2026-2027 projections'!$B:$AJ,31,FALSE)</f>
        <v>-1.848021985355085</v>
      </c>
    </row>
    <row r="24" spans="1:37" ht="17" customHeight="1">
      <c r="B24" s="7">
        <f>AVERAGEIF(B1:B15, "&lt;&gt;#N/A")</f>
        <v>1.373754579288343</v>
      </c>
      <c r="C24" s="7">
        <f>AVERAGEIF(C1:C15, "&lt;&gt;#N/A")</f>
        <v>0.64112088096429776</v>
      </c>
      <c r="D24" s="7">
        <f t="shared" ref="D24:J24" si="34">AVERAGEIF(D1:D15, "&lt;&gt;#N/A")</f>
        <v>0.66584187111114113</v>
      </c>
      <c r="E24" s="7">
        <f t="shared" si="34"/>
        <v>1.3161313345506207</v>
      </c>
      <c r="F24" s="7">
        <f t="shared" si="34"/>
        <v>0.96289262617141902</v>
      </c>
      <c r="G24" s="7">
        <f t="shared" si="34"/>
        <v>3.2790251632691993</v>
      </c>
      <c r="H24" s="7">
        <f t="shared" si="34"/>
        <v>1.2726070052476119</v>
      </c>
      <c r="I24" s="7">
        <f t="shared" si="34"/>
        <v>-5.8081161866741282E-2</v>
      </c>
      <c r="J24" s="7">
        <f t="shared" si="34"/>
        <v>-0.90053812606373207</v>
      </c>
      <c r="L24" s="19" t="s">
        <v>97</v>
      </c>
      <c r="M24">
        <f>VLOOKUP(L24,'2026-2027 projections'!B:C,2,FALSE)</f>
        <v>10</v>
      </c>
      <c r="N24">
        <f>VLOOKUP(L24,'2026-2027 projections'!B:D,3,FALSE)</f>
        <v>13</v>
      </c>
      <c r="O24" s="7">
        <f>VLOOKUP($L24,'2026-2027 projections'!$B:$AJ,23,FALSE)</f>
        <v>-0.56824257762353225</v>
      </c>
      <c r="P24" s="7">
        <f>VLOOKUP($L24,'2026-2027 projections'!$B:$AJ,24,FALSE)</f>
        <v>0.51620861748559954</v>
      </c>
      <c r="Q24" s="7">
        <f>VLOOKUP($L24,'2026-2027 projections'!$B:$AJ,25,FALSE)</f>
        <v>0.35019513504194433</v>
      </c>
      <c r="R24" s="7">
        <f>VLOOKUP($L24,'2026-2027 projections'!$B:$AJ,26,FALSE)</f>
        <v>1.7231050787644595</v>
      </c>
      <c r="S24" s="7">
        <f>VLOOKUP($L24,'2026-2027 projections'!$B:$AJ,27,FALSE)</f>
        <v>4.7409677788272299E-2</v>
      </c>
      <c r="T24" s="7">
        <f>VLOOKUP($L24,'2026-2027 projections'!$B:$AJ,28,FALSE)</f>
        <v>3.1757609160593119</v>
      </c>
      <c r="U24" s="7">
        <f>VLOOKUP($L24,'2026-2027 projections'!$B:$AJ,29,FALSE)</f>
        <v>0.83234193114301547</v>
      </c>
      <c r="V24" s="7">
        <f>VLOOKUP($L24,'2026-2027 projections'!$B:$AJ,30,FALSE)</f>
        <v>0.24646614774755957</v>
      </c>
      <c r="W24" s="7">
        <f>VLOOKUP($L24,'2026-2027 projections'!$B:$AJ,31,FALSE)</f>
        <v>-2</v>
      </c>
    </row>
    <row r="25" spans="1:37">
      <c r="J25" s="16">
        <f>AVERAGE(B24:J24)</f>
        <v>0.95030601918579549</v>
      </c>
      <c r="M25" t="e">
        <f>VLOOKUP(L25,'2026-2027 projections'!B:C,2,FALSE)</f>
        <v>#N/A</v>
      </c>
      <c r="N25" t="e">
        <f>VLOOKUP(L25,'2026-2027 projections'!B:D,3,FALSE)</f>
        <v>#N/A</v>
      </c>
      <c r="O25" s="7" t="e">
        <f>VLOOKUP($L25,'2026-2027 projections'!$B:$AJ,23,FALSE)</f>
        <v>#N/A</v>
      </c>
      <c r="P25" s="7" t="e">
        <f>VLOOKUP($L25,'2026-2027 projections'!$B:$AJ,24,FALSE)</f>
        <v>#N/A</v>
      </c>
      <c r="Q25" s="7" t="e">
        <f>VLOOKUP($L25,'2026-2027 projections'!$B:$AJ,25,FALSE)</f>
        <v>#N/A</v>
      </c>
      <c r="R25" s="7" t="e">
        <f>VLOOKUP($L25,'2026-2027 projections'!$B:$AJ,26,FALSE)</f>
        <v>#N/A</v>
      </c>
      <c r="S25" s="7" t="e">
        <f>VLOOKUP($L25,'2026-2027 projections'!$B:$AJ,27,FALSE)</f>
        <v>#N/A</v>
      </c>
      <c r="T25" s="7" t="e">
        <f>VLOOKUP($L25,'2026-2027 projections'!$B:$AJ,28,FALSE)</f>
        <v>#N/A</v>
      </c>
      <c r="U25" s="7" t="e">
        <f>VLOOKUP($L25,'2026-2027 projections'!$B:$AJ,29,FALSE)</f>
        <v>#N/A</v>
      </c>
      <c r="V25" s="7" t="e">
        <f>VLOOKUP($L25,'2026-2027 projections'!$B:$AJ,30,FALSE)</f>
        <v>#N/A</v>
      </c>
      <c r="W25" s="7" t="e">
        <f>VLOOKUP($L25,'2026-2027 projections'!$B:$AJ,31,FALSE)</f>
        <v>#N/A</v>
      </c>
    </row>
    <row r="26" spans="1:37">
      <c r="B26" s="9"/>
      <c r="M26" t="e">
        <f>VLOOKUP(L26,'2026-2027 projections'!B:C,2,FALSE)</f>
        <v>#N/A</v>
      </c>
      <c r="N26" t="e">
        <f>VLOOKUP(L26,'2026-2027 projections'!B:D,3,FALSE)</f>
        <v>#N/A</v>
      </c>
      <c r="O26" s="7" t="e">
        <f>VLOOKUP($L26,'2026-2027 projections'!$B:$AJ,23,FALSE)</f>
        <v>#N/A</v>
      </c>
      <c r="P26" s="7" t="e">
        <f>VLOOKUP($L26,'2026-2027 projections'!$B:$AJ,24,FALSE)</f>
        <v>#N/A</v>
      </c>
      <c r="Q26" s="7" t="e">
        <f>VLOOKUP($L26,'2026-2027 projections'!$B:$AJ,25,FALSE)</f>
        <v>#N/A</v>
      </c>
      <c r="R26" s="7" t="e">
        <f>VLOOKUP($L26,'2026-2027 projections'!$B:$AJ,26,FALSE)</f>
        <v>#N/A</v>
      </c>
      <c r="S26" s="7" t="e">
        <f>VLOOKUP($L26,'2026-2027 projections'!$B:$AJ,27,FALSE)</f>
        <v>#N/A</v>
      </c>
      <c r="T26" s="7" t="e">
        <f>VLOOKUP($L26,'2026-2027 projections'!$B:$AJ,28,FALSE)</f>
        <v>#N/A</v>
      </c>
      <c r="U26" s="7" t="e">
        <f>VLOOKUP($L26,'2026-2027 projections'!$B:$AJ,29,FALSE)</f>
        <v>#N/A</v>
      </c>
      <c r="V26" s="7" t="e">
        <f>VLOOKUP($L26,'2026-2027 projections'!$B:$AJ,30,FALSE)</f>
        <v>#N/A</v>
      </c>
      <c r="W26" s="7" t="e">
        <f>VLOOKUP($L26,'2026-2027 projections'!$B:$AJ,31,FALSE)</f>
        <v>#N/A</v>
      </c>
    </row>
    <row r="27" spans="1:37">
      <c r="M27" t="e">
        <f>VLOOKUP(L27,'2026-2027 projections'!B:C,2,FALSE)</f>
        <v>#N/A</v>
      </c>
      <c r="N27" t="e">
        <f>VLOOKUP(L27,'2026-2027 projections'!B:D,3,FALSE)</f>
        <v>#N/A</v>
      </c>
      <c r="O27" s="7" t="e">
        <f>VLOOKUP($L27,'2026-2027 projections'!$B:$AJ,23,FALSE)</f>
        <v>#N/A</v>
      </c>
      <c r="P27" s="7" t="e">
        <f>VLOOKUP($L27,'2026-2027 projections'!$B:$AJ,24,FALSE)</f>
        <v>#N/A</v>
      </c>
      <c r="Q27" s="7" t="e">
        <f>VLOOKUP($L27,'2026-2027 projections'!$B:$AJ,25,FALSE)</f>
        <v>#N/A</v>
      </c>
      <c r="R27" s="7" t="e">
        <f>VLOOKUP($L27,'2026-2027 projections'!$B:$AJ,26,FALSE)</f>
        <v>#N/A</v>
      </c>
      <c r="S27" s="7" t="e">
        <f>VLOOKUP($L27,'2026-2027 projections'!$B:$AJ,27,FALSE)</f>
        <v>#N/A</v>
      </c>
      <c r="T27" s="7" t="e">
        <f>VLOOKUP($L27,'2026-2027 projections'!$B:$AJ,28,FALSE)</f>
        <v>#N/A</v>
      </c>
      <c r="U27" s="7" t="e">
        <f>VLOOKUP($L27,'2026-2027 projections'!$B:$AJ,29,FALSE)</f>
        <v>#N/A</v>
      </c>
      <c r="V27" s="7" t="e">
        <f>VLOOKUP($L27,'2026-2027 projections'!$B:$AJ,30,FALSE)</f>
        <v>#N/A</v>
      </c>
      <c r="W27" s="7" t="e">
        <f>VLOOKUP($L27,'2026-2027 projections'!$B:$AJ,31,FALSE)</f>
        <v>#N/A</v>
      </c>
    </row>
    <row r="28" spans="1:37">
      <c r="M28" t="e">
        <f>VLOOKUP(L28,'2026-2027 projections'!B:C,2,FALSE)</f>
        <v>#N/A</v>
      </c>
      <c r="N28" t="e">
        <f>VLOOKUP(L28,'2026-2027 projections'!B:D,3,FALSE)</f>
        <v>#N/A</v>
      </c>
      <c r="O28" s="7" t="e">
        <f>VLOOKUP($L28,'2026-2027 projections'!$B:$AJ,23,FALSE)</f>
        <v>#N/A</v>
      </c>
      <c r="P28" s="7" t="e">
        <f>VLOOKUP($L28,'2026-2027 projections'!$B:$AJ,24,FALSE)</f>
        <v>#N/A</v>
      </c>
      <c r="Q28" s="7" t="e">
        <f>VLOOKUP($L28,'2026-2027 projections'!$B:$AJ,25,FALSE)</f>
        <v>#N/A</v>
      </c>
      <c r="R28" s="7" t="e">
        <f>VLOOKUP($L28,'2026-2027 projections'!$B:$AJ,26,FALSE)</f>
        <v>#N/A</v>
      </c>
      <c r="S28" s="7" t="e">
        <f>VLOOKUP($L28,'2026-2027 projections'!$B:$AJ,27,FALSE)</f>
        <v>#N/A</v>
      </c>
      <c r="T28" s="7" t="e">
        <f>VLOOKUP($L28,'2026-2027 projections'!$B:$AJ,28,FALSE)</f>
        <v>#N/A</v>
      </c>
      <c r="U28" s="7" t="e">
        <f>VLOOKUP($L28,'2026-2027 projections'!$B:$AJ,29,FALSE)</f>
        <v>#N/A</v>
      </c>
      <c r="V28" s="7" t="e">
        <f>VLOOKUP($L28,'2026-2027 projections'!$B:$AJ,30,FALSE)</f>
        <v>#N/A</v>
      </c>
      <c r="W28" s="7" t="e">
        <f>VLOOKUP($L28,'2026-2027 projections'!$B:$AJ,31,FALSE)</f>
        <v>#N/A</v>
      </c>
    </row>
    <row r="30" spans="1:37">
      <c r="A30" t="s">
        <v>247</v>
      </c>
      <c r="B30" s="1" t="s">
        <v>6</v>
      </c>
      <c r="C30" s="1" t="s">
        <v>7</v>
      </c>
      <c r="D30" s="1" t="s">
        <v>8</v>
      </c>
      <c r="E30" s="1" t="s">
        <v>9</v>
      </c>
      <c r="F30" s="1" t="s">
        <v>10</v>
      </c>
      <c r="G30" s="1" t="s">
        <v>11</v>
      </c>
      <c r="H30" s="1" t="s">
        <v>12</v>
      </c>
      <c r="I30" s="1" t="s">
        <v>13</v>
      </c>
      <c r="J30" s="1" t="s">
        <v>14</v>
      </c>
    </row>
    <row r="31" spans="1:37">
      <c r="A31" s="17" t="str">
        <f>A$2</f>
        <v>Nikola Jokic</v>
      </c>
      <c r="B31" s="9">
        <f>VLOOKUP($A31,'2026-2027 projections'!$B:$AJ,23,FALSE)</f>
        <v>3.0692222329522236</v>
      </c>
      <c r="C31" s="9">
        <f>VLOOKUP($A31,'2026-2027 projections'!$B:$AJ,24,FALSE)</f>
        <v>0.67648883772667356</v>
      </c>
      <c r="D31" s="9">
        <f>VLOOKUP($A31,'2026-2027 projections'!$B:$AJ,25,FALSE)</f>
        <v>0.13976397766247983</v>
      </c>
      <c r="E31" s="9">
        <f>VLOOKUP($A31,'2026-2027 projections'!$B:$AJ,26,FALSE)</f>
        <v>2.3666914649630879</v>
      </c>
      <c r="F31" s="9">
        <f>VLOOKUP($A31,'2026-2027 projections'!$B:$AJ,27,FALSE)</f>
        <v>2.9186971068081418</v>
      </c>
      <c r="G31" s="9">
        <f>VLOOKUP($A31,'2026-2027 projections'!$B:$AJ,28,FALSE)</f>
        <v>3.4855536576889752</v>
      </c>
      <c r="H31" s="9">
        <f>VLOOKUP($A31,'2026-2027 projections'!$B:$AJ,29,FALSE)</f>
        <v>1.7128720793522085</v>
      </c>
      <c r="I31" s="9">
        <f>VLOOKUP($A31,'2026-2027 projections'!$B:$AJ,30,FALSE)</f>
        <v>4.3434608004692253E-2</v>
      </c>
      <c r="J31" s="9">
        <f>VLOOKUP($A31,'2026-2027 projections'!$B:$AJ,31,FALSE)</f>
        <v>-2</v>
      </c>
      <c r="L31" s="20" t="s">
        <v>400</v>
      </c>
      <c r="M31" t="s">
        <v>420</v>
      </c>
      <c r="N31" t="s">
        <v>397</v>
      </c>
      <c r="O31" s="1" t="s">
        <v>6</v>
      </c>
      <c r="P31" s="1" t="s">
        <v>7</v>
      </c>
      <c r="Q31" s="1" t="s">
        <v>8</v>
      </c>
      <c r="R31" s="1" t="s">
        <v>9</v>
      </c>
      <c r="S31" s="1" t="s">
        <v>10</v>
      </c>
      <c r="T31" s="1" t="s">
        <v>11</v>
      </c>
      <c r="U31" s="1" t="s">
        <v>12</v>
      </c>
      <c r="V31" s="1" t="s">
        <v>13</v>
      </c>
      <c r="W31" s="1" t="s">
        <v>14</v>
      </c>
    </row>
    <row r="32" spans="1:37">
      <c r="A32" t="str">
        <f>A$3</f>
        <v>Tyrese Haliburton</v>
      </c>
      <c r="B32" s="9">
        <f>VLOOKUP($A32,'2026-2027 projections'!$B:$AJ,23,FALSE)</f>
        <v>-0.32171307437553759</v>
      </c>
      <c r="C32" s="9">
        <f>VLOOKUP($A32,'2026-2027 projections'!$B:$AJ,24,FALSE)</f>
        <v>0.60575292420192195</v>
      </c>
      <c r="D32" s="9">
        <f>VLOOKUP($A32,'2026-2027 projections'!$B:$AJ,25,FALSE)</f>
        <v>1.1919197645598023</v>
      </c>
      <c r="E32" s="9">
        <f>VLOOKUP($A32,'2026-2027 projections'!$B:$AJ,26,FALSE)</f>
        <v>0.2655712041381536</v>
      </c>
      <c r="F32" s="9">
        <f>VLOOKUP($A32,'2026-2027 projections'!$B:$AJ,27,FALSE)</f>
        <v>-0.99291185446530361</v>
      </c>
      <c r="G32" s="9">
        <f>VLOOKUP($A32,'2026-2027 projections'!$B:$AJ,28,FALSE)</f>
        <v>3.0724966688494235</v>
      </c>
      <c r="H32" s="9">
        <f>VLOOKUP($A32,'2026-2027 projections'!$B:$AJ,29,FALSE)</f>
        <v>0.83234193114301547</v>
      </c>
      <c r="I32" s="9">
        <f>VLOOKUP($A32,'2026-2027 projections'!$B:$AJ,30,FALSE)</f>
        <v>-0.15959693173817482</v>
      </c>
      <c r="J32" s="9">
        <f>VLOOKUP($A32,'2026-2027 projections'!$B:$AJ,31,FALSE)</f>
        <v>0.19892374787253581</v>
      </c>
      <c r="L32" s="19" t="s">
        <v>78</v>
      </c>
      <c r="M32">
        <f>VLOOKUP(L32,'2026-2027 projections'!B:C,2,FALSE)</f>
        <v>35</v>
      </c>
      <c r="N32">
        <f>VLOOKUP(L32,'2026-2027 projections'!B:D,3,FALSE)</f>
        <v>37</v>
      </c>
      <c r="O32" s="7">
        <f>VLOOKUP($L32,'2026-2027 projections'!$B:$AJ,23,FALSE)</f>
        <v>2.2977864036572591E-3</v>
      </c>
      <c r="P32" s="7">
        <f>VLOOKUP($L32,'2026-2027 projections'!$B:$AJ,24,FALSE)</f>
        <v>1.452488386170645</v>
      </c>
      <c r="Q32" s="7">
        <f>VLOOKUP($L32,'2026-2027 projections'!$B:$AJ,25,FALSE)</f>
        <v>0.56062629242140904</v>
      </c>
      <c r="R32" s="7">
        <f>VLOOKUP($L32,'2026-2027 projections'!$B:$AJ,26,FALSE)</f>
        <v>0.66308044267260025</v>
      </c>
      <c r="S32" s="7">
        <f>VLOOKUP($L32,'2026-2027 projections'!$B:$AJ,27,FALSE)</f>
        <v>-0.32710607382301482</v>
      </c>
      <c r="T32" s="7">
        <f>VLOOKUP($L32,'2026-2027 projections'!$B:$AJ,28,FALSE)</f>
        <v>0.49089048860222795</v>
      </c>
      <c r="U32" s="7">
        <f>VLOOKUP($L32,'2026-2027 projections'!$B:$AJ,29,FALSE)</f>
        <v>0.24532183233688692</v>
      </c>
      <c r="V32" s="7">
        <f>VLOOKUP($L32,'2026-2027 projections'!$B:$AJ,30,FALSE)</f>
        <v>-0.56566001122390897</v>
      </c>
      <c r="W32" s="7">
        <f>VLOOKUP($L32,'2026-2027 projections'!$B:$AJ,31,FALSE)</f>
        <v>-0.48339149653667135</v>
      </c>
    </row>
    <row r="33" spans="1:23">
      <c r="A33">
        <f t="shared" ref="A33:A49" si="35">A4</f>
        <v>0</v>
      </c>
      <c r="B33" s="9" t="e">
        <f>VLOOKUP($A33,'2026-2027 projections'!$B:$AJ,23,FALSE)</f>
        <v>#N/A</v>
      </c>
      <c r="C33" s="9" t="e">
        <f>VLOOKUP($A33,'2026-2027 projections'!$B:$AJ,24,FALSE)</f>
        <v>#N/A</v>
      </c>
      <c r="D33" s="9" t="e">
        <f>VLOOKUP($A33,'2026-2027 projections'!$B:$AJ,25,FALSE)</f>
        <v>#N/A</v>
      </c>
      <c r="E33" s="9" t="e">
        <f>VLOOKUP($A33,'2026-2027 projections'!$B:$AJ,26,FALSE)</f>
        <v>#N/A</v>
      </c>
      <c r="F33" s="9" t="e">
        <f>VLOOKUP($A33,'2026-2027 projections'!$B:$AJ,27,FALSE)</f>
        <v>#N/A</v>
      </c>
      <c r="G33" s="9" t="e">
        <f>VLOOKUP($A33,'2026-2027 projections'!$B:$AJ,28,FALSE)</f>
        <v>#N/A</v>
      </c>
      <c r="H33" s="9" t="e">
        <f>VLOOKUP($A33,'2026-2027 projections'!$B:$AJ,29,FALSE)</f>
        <v>#N/A</v>
      </c>
      <c r="I33" s="9" t="e">
        <f>VLOOKUP($A33,'2026-2027 projections'!$B:$AJ,30,FALSE)</f>
        <v>#N/A</v>
      </c>
      <c r="J33" s="9" t="e">
        <f>VLOOKUP($A33,'2026-2027 projections'!$B:$AJ,31,FALSE)</f>
        <v>#N/A</v>
      </c>
      <c r="L33" s="19" t="s">
        <v>76</v>
      </c>
      <c r="M33" t="e">
        <f>VLOOKUP(L33,'2026-2027 projections'!B:C,2,FALSE)</f>
        <v>#N/A</v>
      </c>
      <c r="N33" t="e">
        <f>VLOOKUP(L33,'2026-2027 projections'!B:D,3,FALSE)</f>
        <v>#N/A</v>
      </c>
      <c r="O33" s="7" t="e">
        <f>VLOOKUP($L33,'2026-2027 projections'!$B:$AJ,23,FALSE)</f>
        <v>#N/A</v>
      </c>
      <c r="P33" s="7" t="e">
        <f>VLOOKUP($L33,'2026-2027 projections'!$B:$AJ,24,FALSE)</f>
        <v>#N/A</v>
      </c>
      <c r="Q33" s="7" t="e">
        <f>VLOOKUP($L33,'2026-2027 projections'!$B:$AJ,25,FALSE)</f>
        <v>#N/A</v>
      </c>
      <c r="R33" s="7" t="e">
        <f>VLOOKUP($L33,'2026-2027 projections'!$B:$AJ,26,FALSE)</f>
        <v>#N/A</v>
      </c>
      <c r="S33" s="7" t="e">
        <f>VLOOKUP($L33,'2026-2027 projections'!$B:$AJ,27,FALSE)</f>
        <v>#N/A</v>
      </c>
      <c r="T33" s="7" t="e">
        <f>VLOOKUP($L33,'2026-2027 projections'!$B:$AJ,28,FALSE)</f>
        <v>#N/A</v>
      </c>
      <c r="U33" s="7" t="e">
        <f>VLOOKUP($L33,'2026-2027 projections'!$B:$AJ,29,FALSE)</f>
        <v>#N/A</v>
      </c>
      <c r="V33" s="7" t="e">
        <f>VLOOKUP($L33,'2026-2027 projections'!$B:$AJ,30,FALSE)</f>
        <v>#N/A</v>
      </c>
      <c r="W33" s="7" t="e">
        <f>VLOOKUP($L33,'2026-2027 projections'!$B:$AJ,31,FALSE)</f>
        <v>#N/A</v>
      </c>
    </row>
    <row r="34" spans="1:23">
      <c r="A34">
        <f t="shared" si="35"/>
        <v>0</v>
      </c>
      <c r="B34" s="9" t="e">
        <f>VLOOKUP($A34,'2026-2027 projections'!$B:$AJ,23,FALSE)</f>
        <v>#N/A</v>
      </c>
      <c r="C34" s="9" t="e">
        <f>VLOOKUP($A34,'2026-2027 projections'!$B:$AJ,24,FALSE)</f>
        <v>#N/A</v>
      </c>
      <c r="D34" s="9" t="e">
        <f>VLOOKUP($A34,'2026-2027 projections'!$B:$AJ,25,FALSE)</f>
        <v>#N/A</v>
      </c>
      <c r="E34" s="9" t="e">
        <f>VLOOKUP($A34,'2026-2027 projections'!$B:$AJ,26,FALSE)</f>
        <v>#N/A</v>
      </c>
      <c r="F34" s="9" t="e">
        <f>VLOOKUP($A34,'2026-2027 projections'!$B:$AJ,27,FALSE)</f>
        <v>#N/A</v>
      </c>
      <c r="G34" s="9" t="e">
        <f>VLOOKUP($A34,'2026-2027 projections'!$B:$AJ,28,FALSE)</f>
        <v>#N/A</v>
      </c>
      <c r="H34" s="9" t="e">
        <f>VLOOKUP($A34,'2026-2027 projections'!$B:$AJ,29,FALSE)</f>
        <v>#N/A</v>
      </c>
      <c r="I34" s="9" t="e">
        <f>VLOOKUP($A34,'2026-2027 projections'!$B:$AJ,30,FALSE)</f>
        <v>#N/A</v>
      </c>
      <c r="J34" s="9" t="e">
        <f>VLOOKUP($A34,'2026-2027 projections'!$B:$AJ,31,FALSE)</f>
        <v>#N/A</v>
      </c>
      <c r="L34" s="19" t="s">
        <v>118</v>
      </c>
      <c r="M34">
        <f>VLOOKUP(L34,'2026-2027 projections'!B:C,2,FALSE)</f>
        <v>95</v>
      </c>
      <c r="N34">
        <f>VLOOKUP(L34,'2026-2027 projections'!B:D,3,FALSE)</f>
        <v>33</v>
      </c>
      <c r="O34" s="7">
        <f>VLOOKUP($L34,'2026-2027 projections'!$B:$AJ,23,FALSE)</f>
        <v>0.17410327580483809</v>
      </c>
      <c r="P34" s="7">
        <f>VLOOKUP($L34,'2026-2027 projections'!$B:$AJ,24,FALSE)</f>
        <v>-0.52673722889176278</v>
      </c>
      <c r="Q34" s="7">
        <f>VLOOKUP($L34,'2026-2027 projections'!$B:$AJ,25,FALSE)</f>
        <v>3.4548398972747453E-2</v>
      </c>
      <c r="R34" s="7">
        <f>VLOOKUP($L34,'2026-2027 projections'!$B:$AJ,26,FALSE)</f>
        <v>1.2688088061536631</v>
      </c>
      <c r="S34" s="7">
        <f>VLOOKUP($L34,'2026-2027 projections'!$B:$AJ,27,FALSE)</f>
        <v>5.7968164981294073E-3</v>
      </c>
      <c r="T34" s="7">
        <f>VLOOKUP($L34,'2026-2027 projections'!$B:$AJ,28,FALSE)</f>
        <v>-0.1286949946570988</v>
      </c>
      <c r="U34" s="7">
        <f>VLOOKUP($L34,'2026-2027 projections'!$B:$AJ,29,FALSE)</f>
        <v>0.24532183233688692</v>
      </c>
      <c r="V34" s="7">
        <f>VLOOKUP($L34,'2026-2027 projections'!$B:$AJ,30,FALSE)</f>
        <v>-0.36262847148104194</v>
      </c>
      <c r="W34" s="7">
        <f>VLOOKUP($L34,'2026-2027 projections'!$B:$AJ,31,FALSE)</f>
        <v>-0.89278064318219519</v>
      </c>
    </row>
    <row r="35" spans="1:23">
      <c r="A35">
        <f t="shared" si="35"/>
        <v>0</v>
      </c>
      <c r="B35" s="9" t="e">
        <f>VLOOKUP($A35,'2026-2027 projections'!$B:$AJ,23,FALSE)</f>
        <v>#N/A</v>
      </c>
      <c r="C35" s="9" t="e">
        <f>VLOOKUP($A35,'2026-2027 projections'!$B:$AJ,24,FALSE)</f>
        <v>#N/A</v>
      </c>
      <c r="D35" s="9" t="e">
        <f>VLOOKUP($A35,'2026-2027 projections'!$B:$AJ,25,FALSE)</f>
        <v>#N/A</v>
      </c>
      <c r="E35" s="9" t="e">
        <f>VLOOKUP($A35,'2026-2027 projections'!$B:$AJ,26,FALSE)</f>
        <v>#N/A</v>
      </c>
      <c r="F35" s="9" t="e">
        <f>VLOOKUP($A35,'2026-2027 projections'!$B:$AJ,27,FALSE)</f>
        <v>#N/A</v>
      </c>
      <c r="G35" s="9" t="e">
        <f>VLOOKUP($A35,'2026-2027 projections'!$B:$AJ,28,FALSE)</f>
        <v>#N/A</v>
      </c>
      <c r="H35" s="9" t="e">
        <f>VLOOKUP($A35,'2026-2027 projections'!$B:$AJ,29,FALSE)</f>
        <v>#N/A</v>
      </c>
      <c r="I35" s="9" t="e">
        <f>VLOOKUP($A35,'2026-2027 projections'!$B:$AJ,30,FALSE)</f>
        <v>#N/A</v>
      </c>
      <c r="J35" s="9" t="e">
        <f>VLOOKUP($A35,'2026-2027 projections'!$B:$AJ,31,FALSE)</f>
        <v>#N/A</v>
      </c>
      <c r="L35" s="19" t="s">
        <v>99</v>
      </c>
      <c r="M35">
        <f>VLOOKUP(L35,'2026-2027 projections'!B:C,2,FALSE)</f>
        <v>88</v>
      </c>
      <c r="N35">
        <f>VLOOKUP(L35,'2026-2027 projections'!B:D,3,FALSE)</f>
        <v>109</v>
      </c>
      <c r="O35" s="7">
        <f>VLOOKUP($L35,'2026-2027 projections'!$B:$AJ,23,FALSE)</f>
        <v>-0.32855281857041485</v>
      </c>
      <c r="P35" s="7">
        <f>VLOOKUP($L35,'2026-2027 projections'!$B:$AJ,24,FALSE)</f>
        <v>-0.43719292217544137</v>
      </c>
      <c r="Q35" s="7">
        <f>VLOOKUP($L35,'2026-2027 projections'!$B:$AJ,25,FALSE)</f>
        <v>0.45541071373167669</v>
      </c>
      <c r="R35" s="7">
        <f>VLOOKUP($L35,'2026-2027 projections'!$B:$AJ,26,FALSE)</f>
        <v>-0.49158925021317412</v>
      </c>
      <c r="S35" s="7">
        <f>VLOOKUP($L35,'2026-2027 projections'!$B:$AJ,27,FALSE)</f>
        <v>4.7409677788272299E-2</v>
      </c>
      <c r="T35" s="7">
        <f>VLOOKUP($L35,'2026-2027 projections'!$B:$AJ,28,FALSE)</f>
        <v>-1.1097053431510329</v>
      </c>
      <c r="U35" s="7">
        <f>VLOOKUP($L35,'2026-2027 projections'!$B:$AJ,29,FALSE)</f>
        <v>-0.92871836527537077</v>
      </c>
      <c r="V35" s="7">
        <f>VLOOKUP($L35,'2026-2027 projections'!$B:$AJ,30,FALSE)</f>
        <v>2.276781545176231</v>
      </c>
      <c r="W35" s="7">
        <f>VLOOKUP($L35,'2026-2027 projections'!$B:$AJ,31,FALSE)</f>
        <v>0.60831289451805992</v>
      </c>
    </row>
    <row r="36" spans="1:23">
      <c r="A36">
        <f t="shared" si="35"/>
        <v>0</v>
      </c>
      <c r="B36" s="9" t="e">
        <f>VLOOKUP($A36,'2026-2027 projections'!$B:$AJ,23,FALSE)</f>
        <v>#N/A</v>
      </c>
      <c r="C36" s="9" t="e">
        <f>VLOOKUP($A36,'2026-2027 projections'!$B:$AJ,24,FALSE)</f>
        <v>#N/A</v>
      </c>
      <c r="D36" s="9" t="e">
        <f>VLOOKUP($A36,'2026-2027 projections'!$B:$AJ,25,FALSE)</f>
        <v>#N/A</v>
      </c>
      <c r="E36" s="9" t="e">
        <f>VLOOKUP($A36,'2026-2027 projections'!$B:$AJ,26,FALSE)</f>
        <v>#N/A</v>
      </c>
      <c r="F36" s="9" t="e">
        <f>VLOOKUP($A36,'2026-2027 projections'!$B:$AJ,27,FALSE)</f>
        <v>#N/A</v>
      </c>
      <c r="G36" s="9" t="e">
        <f>VLOOKUP($A36,'2026-2027 projections'!$B:$AJ,28,FALSE)</f>
        <v>#N/A</v>
      </c>
      <c r="H36" s="9" t="e">
        <f>VLOOKUP($A36,'2026-2027 projections'!$B:$AJ,29,FALSE)</f>
        <v>#N/A</v>
      </c>
      <c r="I36" s="9" t="e">
        <f>VLOOKUP($A36,'2026-2027 projections'!$B:$AJ,30,FALSE)</f>
        <v>#N/A</v>
      </c>
      <c r="J36" s="9" t="e">
        <f>VLOOKUP($A36,'2026-2027 projections'!$B:$AJ,31,FALSE)</f>
        <v>#N/A</v>
      </c>
      <c r="L36" s="20" t="s">
        <v>84</v>
      </c>
      <c r="M36">
        <f>VLOOKUP(L36,'2026-2027 projections'!B:C,2,FALSE)</f>
        <v>29</v>
      </c>
      <c r="N36">
        <f>VLOOKUP(L36,'2026-2027 projections'!B:D,3,FALSE)</f>
        <v>36</v>
      </c>
      <c r="O36" s="7">
        <f>VLOOKUP($L36,'2026-2027 projections'!$B:$AJ,23,FALSE)</f>
        <v>-1.5913166552742719</v>
      </c>
      <c r="P36" s="7">
        <f>VLOOKUP($L36,'2026-2027 projections'!$B:$AJ,24,FALSE)</f>
        <v>0.66820905594127111</v>
      </c>
      <c r="Q36" s="7">
        <f>VLOOKUP($L36,'2026-2027 projections'!$B:$AJ,25,FALSE)</f>
        <v>1.5075665006289996</v>
      </c>
      <c r="R36" s="7">
        <f>VLOOKUP($L36,'2026-2027 projections'!$B:$AJ,26,FALSE)</f>
        <v>0.11413911326788793</v>
      </c>
      <c r="S36" s="7">
        <f>VLOOKUP($L36,'2026-2027 projections'!$B:$AJ,27,FALSE)</f>
        <v>-0.49355751898358713</v>
      </c>
      <c r="T36" s="7">
        <f>VLOOKUP($L36,'2026-2027 projections'!$B:$AJ,28,FALSE)</f>
        <v>0.74905110662694752</v>
      </c>
      <c r="U36" s="7">
        <f>VLOOKUP($L36,'2026-2027 projections'!$B:$AJ,29,FALSE)</f>
        <v>0.24532183233688692</v>
      </c>
      <c r="V36" s="7">
        <f>VLOOKUP($L36,'2026-2027 projections'!$B:$AJ,30,FALSE)</f>
        <v>1.0585923067190279</v>
      </c>
      <c r="W36" s="7">
        <f>VLOOKUP($L36,'2026-2027 projections'!$B:$AJ,31,FALSE)</f>
        <v>0.19892374787253581</v>
      </c>
    </row>
    <row r="37" spans="1:23">
      <c r="A37">
        <f t="shared" si="35"/>
        <v>0</v>
      </c>
      <c r="B37" s="9" t="e">
        <f>VLOOKUP($A37,'2026-2027 projections'!$B:$AJ,23,FALSE)</f>
        <v>#N/A</v>
      </c>
      <c r="C37" s="9" t="e">
        <f>VLOOKUP($A37,'2026-2027 projections'!$B:$AJ,24,FALSE)</f>
        <v>#N/A</v>
      </c>
      <c r="D37" s="9" t="e">
        <f>VLOOKUP($A37,'2026-2027 projections'!$B:$AJ,25,FALSE)</f>
        <v>#N/A</v>
      </c>
      <c r="E37" s="9" t="e">
        <f>VLOOKUP($A37,'2026-2027 projections'!$B:$AJ,26,FALSE)</f>
        <v>#N/A</v>
      </c>
      <c r="F37" s="9" t="e">
        <f>VLOOKUP($A37,'2026-2027 projections'!$B:$AJ,27,FALSE)</f>
        <v>#N/A</v>
      </c>
      <c r="G37" s="9" t="e">
        <f>VLOOKUP($A37,'2026-2027 projections'!$B:$AJ,28,FALSE)</f>
        <v>#N/A</v>
      </c>
      <c r="H37" s="9" t="e">
        <f>VLOOKUP($A37,'2026-2027 projections'!$B:$AJ,29,FALSE)</f>
        <v>#N/A</v>
      </c>
      <c r="I37" s="9" t="e">
        <f>VLOOKUP($A37,'2026-2027 projections'!$B:$AJ,30,FALSE)</f>
        <v>#N/A</v>
      </c>
      <c r="J37" s="9" t="e">
        <f>VLOOKUP($A37,'2026-2027 projections'!$B:$AJ,31,FALSE)</f>
        <v>#N/A</v>
      </c>
      <c r="L37" s="19" t="s">
        <v>122</v>
      </c>
      <c r="M37">
        <f>VLOOKUP(L37,'2026-2027 projections'!B:C,2,FALSE)</f>
        <v>47</v>
      </c>
      <c r="N37">
        <f>VLOOKUP(L37,'2026-2027 projections'!B:D,3,FALSE)</f>
        <v>98</v>
      </c>
      <c r="O37" s="7">
        <f>VLOOKUP($L37,'2026-2027 projections'!$B:$AJ,23,FALSE)</f>
        <v>0.65669969487619095</v>
      </c>
      <c r="P37" s="7">
        <f>VLOOKUP($L37,'2026-2027 projections'!$B:$AJ,24,FALSE)</f>
        <v>-1.2308764490005988</v>
      </c>
      <c r="Q37" s="7">
        <f>VLOOKUP($L37,'2026-2027 projections'!$B:$AJ,25,FALSE)</f>
        <v>0.13976397766247983</v>
      </c>
      <c r="R37" s="7">
        <f>VLOOKUP($L37,'2026-2027 projections'!$B:$AJ,26,FALSE)</f>
        <v>1.3823828743063618</v>
      </c>
      <c r="S37" s="7">
        <f>VLOOKUP($L37,'2026-2027 projections'!$B:$AJ,27,FALSE)</f>
        <v>0.62998973585027496</v>
      </c>
      <c r="T37" s="7">
        <f>VLOOKUP($L37,'2026-2027 projections'!$B:$AJ,28,FALSE)</f>
        <v>7.7833499762676783E-2</v>
      </c>
      <c r="U37" s="7">
        <f>VLOOKUP($L37,'2026-2027 projections'!$B:$AJ,29,FALSE)</f>
        <v>0.24532183233688692</v>
      </c>
      <c r="V37" s="7">
        <f>VLOOKUP($L37,'2026-2027 projections'!$B:$AJ,30,FALSE)</f>
        <v>-0.36262847148104194</v>
      </c>
      <c r="W37" s="7">
        <f>VLOOKUP($L37,'2026-2027 projections'!$B:$AJ,31,FALSE)</f>
        <v>-7.4002349891146874E-2</v>
      </c>
    </row>
    <row r="38" spans="1:23">
      <c r="B38" s="9" t="e">
        <f>VLOOKUP($A38,'2026-2027 projections'!$B:$AJ,23,FALSE)</f>
        <v>#N/A</v>
      </c>
      <c r="C38" s="9" t="e">
        <f>VLOOKUP($A38,'2026-2027 projections'!$B:$AJ,24,FALSE)</f>
        <v>#N/A</v>
      </c>
      <c r="D38" s="9" t="e">
        <f>VLOOKUP($A38,'2026-2027 projections'!$B:$AJ,25,FALSE)</f>
        <v>#N/A</v>
      </c>
      <c r="E38" s="9" t="e">
        <f>VLOOKUP($A38,'2026-2027 projections'!$B:$AJ,26,FALSE)</f>
        <v>#N/A</v>
      </c>
      <c r="F38" s="9" t="e">
        <f>VLOOKUP($A38,'2026-2027 projections'!$B:$AJ,27,FALSE)</f>
        <v>#N/A</v>
      </c>
      <c r="G38" s="9" t="e">
        <f>VLOOKUP($A38,'2026-2027 projections'!$B:$AJ,28,FALSE)</f>
        <v>#N/A</v>
      </c>
      <c r="H38" s="9" t="e">
        <f>VLOOKUP($A38,'2026-2027 projections'!$B:$AJ,29,FALSE)</f>
        <v>#N/A</v>
      </c>
      <c r="I38" s="9" t="e">
        <f>VLOOKUP($A38,'2026-2027 projections'!$B:$AJ,30,FALSE)</f>
        <v>#N/A</v>
      </c>
      <c r="J38" s="9" t="e">
        <f>VLOOKUP($A38,'2026-2027 projections'!$B:$AJ,31,FALSE)</f>
        <v>#N/A</v>
      </c>
      <c r="L38" s="19" t="s">
        <v>101</v>
      </c>
      <c r="M38">
        <f>VLOOKUP(L38,'2026-2027 projections'!B:C,2,FALSE)</f>
        <v>69</v>
      </c>
      <c r="N38">
        <f>VLOOKUP(L38,'2026-2027 projections'!B:D,3,FALSE)</f>
        <v>59</v>
      </c>
      <c r="O38" s="7">
        <f>VLOOKUP($L38,'2026-2027 projections'!$B:$AJ,23,FALSE)</f>
        <v>2.3309587800343445</v>
      </c>
      <c r="P38" s="7">
        <f>VLOOKUP($L38,'2026-2027 projections'!$B:$AJ,24,FALSE)</f>
        <v>-2</v>
      </c>
      <c r="Q38" s="7">
        <f>VLOOKUP($L38,'2026-2027 projections'!$B:$AJ,25,FALSE)</f>
        <v>-1.7541164387527013</v>
      </c>
      <c r="R38" s="7">
        <f>VLOOKUP($L38,'2026-2027 projections'!$B:$AJ,26,FALSE)</f>
        <v>-0.87016947738883799</v>
      </c>
      <c r="S38" s="7">
        <f>VLOOKUP($L38,'2026-2027 projections'!$B:$AJ,27,FALSE)</f>
        <v>2.2528913261658534</v>
      </c>
      <c r="T38" s="7">
        <f>VLOOKUP($L38,'2026-2027 projections'!$B:$AJ,28,FALSE)</f>
        <v>-1.0064410959411452</v>
      </c>
      <c r="U38" s="7">
        <f>VLOOKUP($L38,'2026-2027 projections'!$B:$AJ,29,FALSE)</f>
        <v>-0.6352083158723062</v>
      </c>
      <c r="V38" s="7">
        <f>VLOOKUP($L38,'2026-2027 projections'!$B:$AJ,30,FALSE)</f>
        <v>1.6676869259476295</v>
      </c>
      <c r="W38" s="7">
        <f>VLOOKUP($L38,'2026-2027 projections'!$B:$AJ,31,FALSE)</f>
        <v>0.74477594339990116</v>
      </c>
    </row>
    <row r="39" spans="1:23">
      <c r="A39">
        <f t="shared" si="35"/>
        <v>0</v>
      </c>
      <c r="B39" s="9" t="e">
        <f>VLOOKUP($A39,'2026-2027 projections'!$B:$AJ,23,FALSE)</f>
        <v>#N/A</v>
      </c>
      <c r="C39" s="9" t="e">
        <f>VLOOKUP($A39,'2026-2027 projections'!$B:$AJ,24,FALSE)</f>
        <v>#N/A</v>
      </c>
      <c r="D39" s="9" t="e">
        <f>VLOOKUP($A39,'2026-2027 projections'!$B:$AJ,25,FALSE)</f>
        <v>#N/A</v>
      </c>
      <c r="E39" s="9" t="e">
        <f>VLOOKUP($A39,'2026-2027 projections'!$B:$AJ,26,FALSE)</f>
        <v>#N/A</v>
      </c>
      <c r="F39" s="9" t="e">
        <f>VLOOKUP($A39,'2026-2027 projections'!$B:$AJ,27,FALSE)</f>
        <v>#N/A</v>
      </c>
      <c r="G39" s="9" t="e">
        <f>VLOOKUP($A39,'2026-2027 projections'!$B:$AJ,28,FALSE)</f>
        <v>#N/A</v>
      </c>
      <c r="H39" s="9" t="e">
        <f>VLOOKUP($A39,'2026-2027 projections'!$B:$AJ,29,FALSE)</f>
        <v>#N/A</v>
      </c>
      <c r="I39" s="9" t="e">
        <f>VLOOKUP($A39,'2026-2027 projections'!$B:$AJ,30,FALSE)</f>
        <v>#N/A</v>
      </c>
      <c r="J39" s="9" t="e">
        <f>VLOOKUP($A39,'2026-2027 projections'!$B:$AJ,31,FALSE)</f>
        <v>#N/A</v>
      </c>
      <c r="L39" s="20" t="s">
        <v>385</v>
      </c>
      <c r="M39">
        <f>VLOOKUP(L39,'2026-2027 projections'!B:C,2,FALSE)</f>
        <v>123</v>
      </c>
      <c r="N39">
        <f>VLOOKUP(L39,'2026-2027 projections'!B:D,3,FALSE)</f>
        <v>80</v>
      </c>
      <c r="O39" s="7">
        <f>VLOOKUP($L39,'2026-2027 projections'!$B:$AJ,23,FALSE)</f>
        <v>0.27480759458896115</v>
      </c>
      <c r="P39" s="7">
        <f>VLOOKUP($L39,'2026-2027 projections'!$B:$AJ,24,FALSE)</f>
        <v>1.0512256281627668</v>
      </c>
      <c r="Q39" s="7">
        <f>VLOOKUP($L39,'2026-2027 projections'!$B:$AJ,25,FALSE)</f>
        <v>-0.80717623054511067</v>
      </c>
      <c r="R39" s="7">
        <f>VLOOKUP($L39,'2026-2027 projections'!$B:$AJ,26,FALSE)</f>
        <v>5.7352079191538223E-2</v>
      </c>
      <c r="S39" s="7">
        <f>VLOOKUP($L39,'2026-2027 projections'!$B:$AJ,27,FALSE)</f>
        <v>-1.2425890222061617</v>
      </c>
      <c r="T39" s="7">
        <f>VLOOKUP($L39,'2026-2027 projections'!$B:$AJ,28,FALSE)</f>
        <v>-0.69664835431148175</v>
      </c>
      <c r="U39" s="7">
        <f>VLOOKUP($L39,'2026-2027 projections'!$B:$AJ,29,FALSE)</f>
        <v>-0.34169826646924195</v>
      </c>
      <c r="V39" s="7">
        <f>VLOOKUP($L39,'2026-2027 projections'!$B:$AJ,30,FALSE)</f>
        <v>-0.56566001122390897</v>
      </c>
      <c r="W39" s="7">
        <f>VLOOKUP($L39,'2026-2027 projections'!$B:$AJ,31,FALSE)</f>
        <v>1.1541650900454252</v>
      </c>
    </row>
    <row r="40" spans="1:23">
      <c r="A40">
        <f t="shared" si="35"/>
        <v>0</v>
      </c>
      <c r="B40" s="9" t="e">
        <f>VLOOKUP($A40,'2026-2027 projections'!$B:$AJ,23,FALSE)</f>
        <v>#N/A</v>
      </c>
      <c r="C40" s="9" t="e">
        <f>VLOOKUP($A40,'2026-2027 projections'!$B:$AJ,24,FALSE)</f>
        <v>#N/A</v>
      </c>
      <c r="D40" s="9" t="e">
        <f>VLOOKUP($A40,'2026-2027 projections'!$B:$AJ,25,FALSE)</f>
        <v>#N/A</v>
      </c>
      <c r="E40" s="9" t="e">
        <f>VLOOKUP($A40,'2026-2027 projections'!$B:$AJ,26,FALSE)</f>
        <v>#N/A</v>
      </c>
      <c r="F40" s="9" t="e">
        <f>VLOOKUP($A40,'2026-2027 projections'!$B:$AJ,27,FALSE)</f>
        <v>#N/A</v>
      </c>
      <c r="G40" s="9" t="e">
        <f>VLOOKUP($A40,'2026-2027 projections'!$B:$AJ,28,FALSE)</f>
        <v>#N/A</v>
      </c>
      <c r="H40" s="9" t="e">
        <f>VLOOKUP($A40,'2026-2027 projections'!$B:$AJ,29,FALSE)</f>
        <v>#N/A</v>
      </c>
      <c r="I40" s="9" t="e">
        <f>VLOOKUP($A40,'2026-2027 projections'!$B:$AJ,30,FALSE)</f>
        <v>#N/A</v>
      </c>
      <c r="J40" s="9" t="e">
        <f>VLOOKUP($A40,'2026-2027 projections'!$B:$AJ,31,FALSE)</f>
        <v>#N/A</v>
      </c>
      <c r="L40" s="20" t="s">
        <v>103</v>
      </c>
      <c r="M40">
        <f>VLOOKUP(L40,'2026-2027 projections'!B:C,2,FALSE)</f>
        <v>168</v>
      </c>
      <c r="N40">
        <f>VLOOKUP(L40,'2026-2027 projections'!B:D,3,FALSE)</f>
        <v>75</v>
      </c>
      <c r="O40" s="7">
        <f>VLOOKUP($L40,'2026-2027 projections'!$B:$AJ,23,FALSE)</f>
        <v>0.19824535161922258</v>
      </c>
      <c r="P40" s="7">
        <f>VLOOKUP($L40,'2026-2027 projections'!$B:$AJ,24,FALSE)</f>
        <v>0.16028022024107463</v>
      </c>
      <c r="Q40" s="7">
        <f>VLOOKUP($L40,'2026-2027 projections'!$B:$AJ,25,FALSE)</f>
        <v>-0.59674507316564607</v>
      </c>
      <c r="R40" s="7">
        <f>VLOOKUP($L40,'2026-2027 projections'!$B:$AJ,26,FALSE)</f>
        <v>-0.92695651146518776</v>
      </c>
      <c r="S40" s="7">
        <f>VLOOKUP($L40,'2026-2027 projections'!$B:$AJ,27,FALSE)</f>
        <v>0.25547398423898748</v>
      </c>
      <c r="T40" s="7">
        <f>VLOOKUP($L40,'2026-2027 projections'!$B:$AJ,28,FALSE)</f>
        <v>-0.69664835431148175</v>
      </c>
      <c r="U40" s="7">
        <f>VLOOKUP($L40,'2026-2027 projections'!$B:$AJ,29,FALSE)</f>
        <v>-1.5157384640814993</v>
      </c>
      <c r="V40" s="7">
        <f>VLOOKUP($L40,'2026-2027 projections'!$B:$AJ,30,FALSE)</f>
        <v>-0.36262847148104194</v>
      </c>
      <c r="W40" s="7">
        <f>VLOOKUP($L40,'2026-2027 projections'!$B:$AJ,31,FALSE)</f>
        <v>1.1541650900454252</v>
      </c>
    </row>
    <row r="41" spans="1:23">
      <c r="A41">
        <f t="shared" si="35"/>
        <v>0</v>
      </c>
      <c r="B41" s="9" t="e">
        <f>VLOOKUP($A41,'2026-2027 projections'!$B:$AJ,23,FALSE)</f>
        <v>#N/A</v>
      </c>
      <c r="C41" s="9" t="e">
        <f>VLOOKUP($A41,'2026-2027 projections'!$B:$AJ,24,FALSE)</f>
        <v>#N/A</v>
      </c>
      <c r="D41" s="9" t="e">
        <f>VLOOKUP($A41,'2026-2027 projections'!$B:$AJ,25,FALSE)</f>
        <v>#N/A</v>
      </c>
      <c r="E41" s="9" t="e">
        <f>VLOOKUP($A41,'2026-2027 projections'!$B:$AJ,26,FALSE)</f>
        <v>#N/A</v>
      </c>
      <c r="F41" s="9" t="e">
        <f>VLOOKUP($A41,'2026-2027 projections'!$B:$AJ,27,FALSE)</f>
        <v>#N/A</v>
      </c>
      <c r="G41" s="9" t="e">
        <f>VLOOKUP($A41,'2026-2027 projections'!$B:$AJ,28,FALSE)</f>
        <v>#N/A</v>
      </c>
      <c r="H41" s="9" t="e">
        <f>VLOOKUP($A41,'2026-2027 projections'!$B:$AJ,29,FALSE)</f>
        <v>#N/A</v>
      </c>
      <c r="I41" s="9" t="e">
        <f>VLOOKUP($A41,'2026-2027 projections'!$B:$AJ,30,FALSE)</f>
        <v>#N/A</v>
      </c>
      <c r="J41" s="9" t="e">
        <f>VLOOKUP($A41,'2026-2027 projections'!$B:$AJ,31,FALSE)</f>
        <v>#N/A</v>
      </c>
      <c r="L41" s="20" t="s">
        <v>110</v>
      </c>
      <c r="M41">
        <f>VLOOKUP(L41,'2026-2027 projections'!B:C,2,FALSE)</f>
        <v>31</v>
      </c>
      <c r="N41">
        <f>VLOOKUP(L41,'2026-2027 projections'!B:D,3,FALSE)</f>
        <v>40</v>
      </c>
      <c r="O41" s="7">
        <f>VLOOKUP($L41,'2026-2027 projections'!$B:$AJ,23,FALSE)</f>
        <v>3.1949877421121982</v>
      </c>
      <c r="P41" s="7">
        <f>VLOOKUP($L41,'2026-2027 projections'!$B:$AJ,24,FALSE)</f>
        <v>-0.81192971261153613</v>
      </c>
      <c r="Q41" s="7">
        <f>VLOOKUP($L41,'2026-2027 projections'!$B:$AJ,25,FALSE)</f>
        <v>-1.7541164387527013</v>
      </c>
      <c r="R41" s="7">
        <f>VLOOKUP($L41,'2026-2027 projections'!$B:$AJ,26,FALSE)</f>
        <v>0.34128724957328616</v>
      </c>
      <c r="S41" s="7">
        <f>VLOOKUP($L41,'2026-2027 projections'!$B:$AJ,27,FALSE)</f>
        <v>2.2528913261658534</v>
      </c>
      <c r="T41" s="7">
        <f>VLOOKUP($L41,'2026-2027 projections'!$B:$AJ,28,FALSE)</f>
        <v>-0.59338410710159395</v>
      </c>
      <c r="U41" s="7">
        <f>VLOOKUP($L41,'2026-2027 projections'!$B:$AJ,29,FALSE)</f>
        <v>-0.6352083158723062</v>
      </c>
      <c r="V41" s="7">
        <f>VLOOKUP($L41,'2026-2027 projections'!$B:$AJ,30,FALSE)</f>
        <v>0.44949768749042662</v>
      </c>
      <c r="W41" s="7">
        <f>VLOOKUP($L41,'2026-2027 projections'!$B:$AJ,31,FALSE)</f>
        <v>-7.4002349891146874E-2</v>
      </c>
    </row>
    <row r="42" spans="1:23">
      <c r="A42">
        <f t="shared" si="35"/>
        <v>0</v>
      </c>
      <c r="B42" s="9" t="e">
        <f>VLOOKUP($A42,'2026-2027 projections'!$B:$AJ,23,FALSE)</f>
        <v>#N/A</v>
      </c>
      <c r="C42" s="9" t="e">
        <f>VLOOKUP($A42,'2026-2027 projections'!$B:$AJ,24,FALSE)</f>
        <v>#N/A</v>
      </c>
      <c r="D42" s="9" t="e">
        <f>VLOOKUP($A42,'2026-2027 projections'!$B:$AJ,25,FALSE)</f>
        <v>#N/A</v>
      </c>
      <c r="E42" s="9" t="e">
        <f>VLOOKUP($A42,'2026-2027 projections'!$B:$AJ,26,FALSE)</f>
        <v>#N/A</v>
      </c>
      <c r="F42" s="9" t="e">
        <f>VLOOKUP($A42,'2026-2027 projections'!$B:$AJ,27,FALSE)</f>
        <v>#N/A</v>
      </c>
      <c r="G42" s="9" t="e">
        <f>VLOOKUP($A42,'2026-2027 projections'!$B:$AJ,28,FALSE)</f>
        <v>#N/A</v>
      </c>
      <c r="H42" s="9" t="e">
        <f>VLOOKUP($A42,'2026-2027 projections'!$B:$AJ,29,FALSE)</f>
        <v>#N/A</v>
      </c>
      <c r="I42" s="9" t="e">
        <f>VLOOKUP($A42,'2026-2027 projections'!$B:$AJ,30,FALSE)</f>
        <v>#N/A</v>
      </c>
      <c r="J42" s="9" t="e">
        <f>VLOOKUP($A42,'2026-2027 projections'!$B:$AJ,31,FALSE)</f>
        <v>#N/A</v>
      </c>
      <c r="M42" t="e">
        <f>VLOOKUP(L42,'2026-2027 projections'!B:C,2,FALSE)</f>
        <v>#N/A</v>
      </c>
      <c r="N42" t="e">
        <f>VLOOKUP(L42,'2026-2027 projections'!B:D,3,FALSE)</f>
        <v>#N/A</v>
      </c>
      <c r="O42" s="7" t="e">
        <f>VLOOKUP($L42,'2026-2027 projections'!$B:$AJ,23,FALSE)</f>
        <v>#N/A</v>
      </c>
      <c r="P42" s="7" t="e">
        <f>VLOOKUP($L42,'2026-2027 projections'!$B:$AJ,24,FALSE)</f>
        <v>#N/A</v>
      </c>
      <c r="Q42" s="7" t="e">
        <f>VLOOKUP($L42,'2026-2027 projections'!$B:$AJ,25,FALSE)</f>
        <v>#N/A</v>
      </c>
      <c r="R42" s="7" t="e">
        <f>VLOOKUP($L42,'2026-2027 projections'!$B:$AJ,26,FALSE)</f>
        <v>#N/A</v>
      </c>
      <c r="S42" s="7" t="e">
        <f>VLOOKUP($L42,'2026-2027 projections'!$B:$AJ,27,FALSE)</f>
        <v>#N/A</v>
      </c>
      <c r="T42" s="7" t="e">
        <f>VLOOKUP($L42,'2026-2027 projections'!$B:$AJ,28,FALSE)</f>
        <v>#N/A</v>
      </c>
      <c r="U42" s="7" t="e">
        <f>VLOOKUP($L42,'2026-2027 projections'!$B:$AJ,29,FALSE)</f>
        <v>#N/A</v>
      </c>
      <c r="V42" s="7" t="e">
        <f>VLOOKUP($L42,'2026-2027 projections'!$B:$AJ,30,FALSE)</f>
        <v>#N/A</v>
      </c>
      <c r="W42" s="7" t="e">
        <f>VLOOKUP($L42,'2026-2027 projections'!$B:$AJ,31,FALSE)</f>
        <v>#N/A</v>
      </c>
    </row>
    <row r="43" spans="1:23">
      <c r="A43">
        <f t="shared" si="35"/>
        <v>0</v>
      </c>
      <c r="B43" s="9" t="e">
        <f>VLOOKUP($A43,'2026-2027 projections'!$B:$AJ,23,FALSE)</f>
        <v>#N/A</v>
      </c>
      <c r="C43" s="9" t="e">
        <f>VLOOKUP($A43,'2026-2027 projections'!$B:$AJ,24,FALSE)</f>
        <v>#N/A</v>
      </c>
      <c r="D43" s="9" t="e">
        <f>VLOOKUP($A43,'2026-2027 projections'!$B:$AJ,25,FALSE)</f>
        <v>#N/A</v>
      </c>
      <c r="E43" s="9" t="e">
        <f>VLOOKUP($A43,'2026-2027 projections'!$B:$AJ,26,FALSE)</f>
        <v>#N/A</v>
      </c>
      <c r="F43" s="9" t="e">
        <f>VLOOKUP($A43,'2026-2027 projections'!$B:$AJ,27,FALSE)</f>
        <v>#N/A</v>
      </c>
      <c r="G43" s="9" t="e">
        <f>VLOOKUP($A43,'2026-2027 projections'!$B:$AJ,28,FALSE)</f>
        <v>#N/A</v>
      </c>
      <c r="H43" s="9" t="e">
        <f>VLOOKUP($A43,'2026-2027 projections'!$B:$AJ,29,FALSE)</f>
        <v>#N/A</v>
      </c>
      <c r="I43" s="9" t="e">
        <f>VLOOKUP($A43,'2026-2027 projections'!$B:$AJ,30,FALSE)</f>
        <v>#N/A</v>
      </c>
      <c r="J43" s="9" t="e">
        <f>VLOOKUP($A43,'2026-2027 projections'!$B:$AJ,31,FALSE)</f>
        <v>#N/A</v>
      </c>
      <c r="M43" t="e">
        <f>VLOOKUP(L43,'2026-2027 projections'!B:C,2,FALSE)</f>
        <v>#N/A</v>
      </c>
      <c r="N43" t="e">
        <f>VLOOKUP(L43,'2026-2027 projections'!B:D,3,FALSE)</f>
        <v>#N/A</v>
      </c>
      <c r="O43" s="7" t="e">
        <f>VLOOKUP($L43,'2026-2027 projections'!$B:$AJ,23,FALSE)</f>
        <v>#N/A</v>
      </c>
      <c r="P43" s="7" t="e">
        <f>VLOOKUP($L43,'2026-2027 projections'!$B:$AJ,24,FALSE)</f>
        <v>#N/A</v>
      </c>
      <c r="Q43" s="7" t="e">
        <f>VLOOKUP($L43,'2026-2027 projections'!$B:$AJ,25,FALSE)</f>
        <v>#N/A</v>
      </c>
      <c r="R43" s="7" t="e">
        <f>VLOOKUP($L43,'2026-2027 projections'!$B:$AJ,26,FALSE)</f>
        <v>#N/A</v>
      </c>
      <c r="S43" s="7" t="e">
        <f>VLOOKUP($L43,'2026-2027 projections'!$B:$AJ,27,FALSE)</f>
        <v>#N/A</v>
      </c>
      <c r="T43" s="7" t="e">
        <f>VLOOKUP($L43,'2026-2027 projections'!$B:$AJ,28,FALSE)</f>
        <v>#N/A</v>
      </c>
      <c r="U43" s="7" t="e">
        <f>VLOOKUP($L43,'2026-2027 projections'!$B:$AJ,29,FALSE)</f>
        <v>#N/A</v>
      </c>
      <c r="V43" s="7" t="e">
        <f>VLOOKUP($L43,'2026-2027 projections'!$B:$AJ,30,FALSE)</f>
        <v>#N/A</v>
      </c>
      <c r="W43" s="7" t="e">
        <f>VLOOKUP($L43,'2026-2027 projections'!$B:$AJ,31,FALSE)</f>
        <v>#N/A</v>
      </c>
    </row>
    <row r="44" spans="1:23">
      <c r="A44">
        <f t="shared" si="35"/>
        <v>0</v>
      </c>
      <c r="B44" s="9" t="e">
        <f>VLOOKUP($A44,'2026-2027 projections'!$B:$AJ,23,FALSE)</f>
        <v>#N/A</v>
      </c>
      <c r="C44" s="9" t="e">
        <f>VLOOKUP($A44,'2026-2027 projections'!$B:$AJ,24,FALSE)</f>
        <v>#N/A</v>
      </c>
      <c r="D44" s="9" t="e">
        <f>VLOOKUP($A44,'2026-2027 projections'!$B:$AJ,25,FALSE)</f>
        <v>#N/A</v>
      </c>
      <c r="E44" s="9" t="e">
        <f>VLOOKUP($A44,'2026-2027 projections'!$B:$AJ,26,FALSE)</f>
        <v>#N/A</v>
      </c>
      <c r="F44" s="9" t="e">
        <f>VLOOKUP($A44,'2026-2027 projections'!$B:$AJ,27,FALSE)</f>
        <v>#N/A</v>
      </c>
      <c r="G44" s="9" t="e">
        <f>VLOOKUP($A44,'2026-2027 projections'!$B:$AJ,28,FALSE)</f>
        <v>#N/A</v>
      </c>
      <c r="H44" s="9" t="e">
        <f>VLOOKUP($A44,'2026-2027 projections'!$B:$AJ,29,FALSE)</f>
        <v>#N/A</v>
      </c>
      <c r="I44" s="9" t="e">
        <f>VLOOKUP($A44,'2026-2027 projections'!$B:$AJ,30,FALSE)</f>
        <v>#N/A</v>
      </c>
      <c r="J44" s="9" t="e">
        <f>VLOOKUP($A44,'2026-2027 projections'!$B:$AJ,31,FALSE)</f>
        <v>#N/A</v>
      </c>
      <c r="O44" s="7"/>
      <c r="P44" s="7"/>
      <c r="Q44" s="7"/>
      <c r="R44" s="7"/>
      <c r="S44" s="7"/>
      <c r="T44" s="7"/>
      <c r="U44" s="7"/>
      <c r="V44" s="7"/>
      <c r="W44" s="7"/>
    </row>
    <row r="45" spans="1:23">
      <c r="A45">
        <f t="shared" si="35"/>
        <v>0</v>
      </c>
      <c r="B45" s="9" t="e">
        <f>VLOOKUP($A45,'2026-2027 projections'!$B:$AJ,23,FALSE)</f>
        <v>#N/A</v>
      </c>
      <c r="C45" s="9" t="e">
        <f>VLOOKUP($A45,'2026-2027 projections'!$B:$AJ,24,FALSE)</f>
        <v>#N/A</v>
      </c>
      <c r="D45" s="9" t="e">
        <f>VLOOKUP($A45,'2026-2027 projections'!$B:$AJ,25,FALSE)</f>
        <v>#N/A</v>
      </c>
      <c r="E45" s="9" t="e">
        <f>VLOOKUP($A45,'2026-2027 projections'!$B:$AJ,26,FALSE)</f>
        <v>#N/A</v>
      </c>
      <c r="F45" s="9" t="e">
        <f>VLOOKUP($A45,'2026-2027 projections'!$B:$AJ,27,FALSE)</f>
        <v>#N/A</v>
      </c>
      <c r="G45" s="9" t="e">
        <f>VLOOKUP($A45,'2026-2027 projections'!$B:$AJ,28,FALSE)</f>
        <v>#N/A</v>
      </c>
      <c r="H45" s="9" t="e">
        <f>VLOOKUP($A45,'2026-2027 projections'!$B:$AJ,29,FALSE)</f>
        <v>#N/A</v>
      </c>
      <c r="I45" s="9" t="e">
        <f>VLOOKUP($A45,'2026-2027 projections'!$B:$AJ,30,FALSE)</f>
        <v>#N/A</v>
      </c>
      <c r="J45" s="9" t="e">
        <f>VLOOKUP($A45,'2026-2027 projections'!$B:$AJ,31,FALSE)</f>
        <v>#N/A</v>
      </c>
      <c r="L45" s="20" t="s">
        <v>401</v>
      </c>
      <c r="M45" t="s">
        <v>420</v>
      </c>
      <c r="N45" t="s">
        <v>397</v>
      </c>
      <c r="O45" s="1" t="s">
        <v>6</v>
      </c>
      <c r="P45" s="1" t="s">
        <v>7</v>
      </c>
      <c r="Q45" s="1" t="s">
        <v>8</v>
      </c>
      <c r="R45" s="1" t="s">
        <v>9</v>
      </c>
      <c r="S45" s="1" t="s">
        <v>10</v>
      </c>
      <c r="T45" s="1" t="s">
        <v>11</v>
      </c>
      <c r="U45" s="1" t="s">
        <v>12</v>
      </c>
      <c r="V45" s="1" t="s">
        <v>13</v>
      </c>
      <c r="W45" s="1" t="s">
        <v>14</v>
      </c>
    </row>
    <row r="46" spans="1:23">
      <c r="A46">
        <f t="shared" si="35"/>
        <v>0</v>
      </c>
      <c r="B46" s="9" t="e">
        <f>VLOOKUP($A46,'2026-2027 projections'!$B:$AJ,23,FALSE)</f>
        <v>#N/A</v>
      </c>
      <c r="C46" s="9" t="e">
        <f>VLOOKUP($A46,'2026-2027 projections'!$B:$AJ,24,FALSE)</f>
        <v>#N/A</v>
      </c>
      <c r="D46" s="9" t="e">
        <f>VLOOKUP($A46,'2026-2027 projections'!$B:$AJ,25,FALSE)</f>
        <v>#N/A</v>
      </c>
      <c r="E46" s="9" t="e">
        <f>VLOOKUP($A46,'2026-2027 projections'!$B:$AJ,26,FALSE)</f>
        <v>#N/A</v>
      </c>
      <c r="F46" s="9" t="e">
        <f>VLOOKUP($A46,'2026-2027 projections'!$B:$AJ,27,FALSE)</f>
        <v>#N/A</v>
      </c>
      <c r="G46" s="9" t="e">
        <f>VLOOKUP($A46,'2026-2027 projections'!$B:$AJ,28,FALSE)</f>
        <v>#N/A</v>
      </c>
      <c r="H46" s="9" t="e">
        <f>VLOOKUP($A46,'2026-2027 projections'!$B:$AJ,29,FALSE)</f>
        <v>#N/A</v>
      </c>
      <c r="I46" s="9" t="e">
        <f>VLOOKUP($A46,'2026-2027 projections'!$B:$AJ,30,FALSE)</f>
        <v>#N/A</v>
      </c>
      <c r="J46" s="9" t="e">
        <f>VLOOKUP($A46,'2026-2027 projections'!$B:$AJ,31,FALSE)</f>
        <v>#N/A</v>
      </c>
      <c r="L46" s="19" t="s">
        <v>88</v>
      </c>
      <c r="M46">
        <f>VLOOKUP(L46,'2026-2027 projections'!B:C,2,FALSE)</f>
        <v>68</v>
      </c>
      <c r="N46">
        <f>VLOOKUP(L46,'2026-2027 projections'!B:D,3,FALSE)</f>
        <v>79</v>
      </c>
      <c r="O46" s="7">
        <f>VLOOKUP($L46,'2026-2027 projections'!$B:$AJ,23,FALSE)</f>
        <v>2.8390759467622786</v>
      </c>
      <c r="P46" s="7">
        <f>VLOOKUP($L46,'2026-2027 projections'!$B:$AJ,24,FALSE)</f>
        <v>-1.1148061747124953</v>
      </c>
      <c r="Q46" s="7">
        <f>VLOOKUP($L46,'2026-2027 projections'!$B:$AJ,25,FALSE)</f>
        <v>-1.7541164387527013</v>
      </c>
      <c r="R46" s="7">
        <f>VLOOKUP($L46,'2026-2027 projections'!$B:$AJ,26,FALSE)</f>
        <v>-0.39694419341925813</v>
      </c>
      <c r="S46" s="7">
        <f>VLOOKUP($L46,'2026-2027 projections'!$B:$AJ,27,FALSE)</f>
        <v>1.3374083777827066</v>
      </c>
      <c r="T46" s="7">
        <f>VLOOKUP($L46,'2026-2027 projections'!$B:$AJ,28,FALSE)</f>
        <v>-0.95480897233620121</v>
      </c>
      <c r="U46" s="7">
        <f>VLOOKUP($L46,'2026-2027 projections'!$B:$AJ,29,FALSE)</f>
        <v>-0.34169826646924195</v>
      </c>
      <c r="V46" s="7">
        <f>VLOOKUP($L46,'2026-2027 projections'!$B:$AJ,30,FALSE)</f>
        <v>0.24646614774755957</v>
      </c>
      <c r="W46" s="7">
        <f>VLOOKUP($L46,'2026-2027 projections'!$B:$AJ,31,FALSE)</f>
        <v>0.88123899228174263</v>
      </c>
    </row>
    <row r="47" spans="1:23">
      <c r="A47">
        <f t="shared" si="35"/>
        <v>0</v>
      </c>
      <c r="B47" s="9" t="e">
        <f>VLOOKUP($A47,'2026-2027 projections'!$B:$AJ,23,FALSE)</f>
        <v>#N/A</v>
      </c>
      <c r="C47" s="9" t="e">
        <f>VLOOKUP($A47,'2026-2027 projections'!$B:$AJ,24,FALSE)</f>
        <v>#N/A</v>
      </c>
      <c r="D47" s="9" t="e">
        <f>VLOOKUP($A47,'2026-2027 projections'!$B:$AJ,25,FALSE)</f>
        <v>#N/A</v>
      </c>
      <c r="E47" s="9" t="e">
        <f>VLOOKUP($A47,'2026-2027 projections'!$B:$AJ,26,FALSE)</f>
        <v>#N/A</v>
      </c>
      <c r="F47" s="9" t="e">
        <f>VLOOKUP($A47,'2026-2027 projections'!$B:$AJ,27,FALSE)</f>
        <v>#N/A</v>
      </c>
      <c r="G47" s="9" t="e">
        <f>VLOOKUP($A47,'2026-2027 projections'!$B:$AJ,28,FALSE)</f>
        <v>#N/A</v>
      </c>
      <c r="H47" s="9" t="e">
        <f>VLOOKUP($A47,'2026-2027 projections'!$B:$AJ,29,FALSE)</f>
        <v>#N/A</v>
      </c>
      <c r="I47" s="9" t="e">
        <f>VLOOKUP($A47,'2026-2027 projections'!$B:$AJ,30,FALSE)</f>
        <v>#N/A</v>
      </c>
      <c r="J47" s="9" t="e">
        <f>VLOOKUP($A47,'2026-2027 projections'!$B:$AJ,31,FALSE)</f>
        <v>#N/A</v>
      </c>
      <c r="L47" s="19" t="s">
        <v>104</v>
      </c>
      <c r="M47">
        <f>VLOOKUP(L47,'2026-2027 projections'!B:C,2,FALSE)</f>
        <v>144</v>
      </c>
      <c r="N47">
        <f>VLOOKUP(L47,'2026-2027 projections'!B:D,3,FALSE)</f>
        <v>132</v>
      </c>
      <c r="O47" s="7">
        <f>VLOOKUP($L47,'2026-2027 projections'!$B:$AJ,23,FALSE)</f>
        <v>-0.24606994596726178</v>
      </c>
      <c r="P47" s="7">
        <f>VLOOKUP($L47,'2026-2027 projections'!$B:$AJ,24,FALSE)</f>
        <v>0.45431469315144063</v>
      </c>
      <c r="Q47" s="7">
        <f>VLOOKUP($L47,'2026-2027 projections'!$B:$AJ,25,FALSE)</f>
        <v>-0.59674507316564607</v>
      </c>
      <c r="R47" s="7">
        <f>VLOOKUP($L47,'2026-2027 projections'!$B:$AJ,26,FALSE)</f>
        <v>-0.73766639787735577</v>
      </c>
      <c r="S47" s="7">
        <f>VLOOKUP($L47,'2026-2027 projections'!$B:$AJ,27,FALSE)</f>
        <v>-0.32710607382301482</v>
      </c>
      <c r="T47" s="7">
        <f>VLOOKUP($L47,'2026-2027 projections'!$B:$AJ,28,FALSE)</f>
        <v>-0.79991260152136945</v>
      </c>
      <c r="U47" s="7">
        <f>VLOOKUP($L47,'2026-2027 projections'!$B:$AJ,29,FALSE)</f>
        <v>-0.34169826646924195</v>
      </c>
      <c r="V47" s="7">
        <f>VLOOKUP($L47,'2026-2027 projections'!$B:$AJ,30,FALSE)</f>
        <v>-0.36262847148104194</v>
      </c>
      <c r="W47" s="7">
        <f>VLOOKUP($L47,'2026-2027 projections'!$B:$AJ,31,FALSE)</f>
        <v>1.1541650900454252</v>
      </c>
    </row>
    <row r="48" spans="1:23">
      <c r="A48">
        <f t="shared" si="35"/>
        <v>0</v>
      </c>
      <c r="B48" s="9" t="e">
        <f>VLOOKUP($A48,'2026-2027 projections'!$B:$AJ,23,FALSE)</f>
        <v>#N/A</v>
      </c>
      <c r="C48" s="9" t="e">
        <f>VLOOKUP($A48,'2026-2027 projections'!$B:$AJ,24,FALSE)</f>
        <v>#N/A</v>
      </c>
      <c r="D48" s="9" t="e">
        <f>VLOOKUP($A48,'2026-2027 projections'!$B:$AJ,25,FALSE)</f>
        <v>#N/A</v>
      </c>
      <c r="E48" s="9" t="e">
        <f>VLOOKUP($A48,'2026-2027 projections'!$B:$AJ,26,FALSE)</f>
        <v>#N/A</v>
      </c>
      <c r="F48" s="9" t="e">
        <f>VLOOKUP($A48,'2026-2027 projections'!$B:$AJ,27,FALSE)</f>
        <v>#N/A</v>
      </c>
      <c r="G48" s="9" t="e">
        <f>VLOOKUP($A48,'2026-2027 projections'!$B:$AJ,28,FALSE)</f>
        <v>#N/A</v>
      </c>
      <c r="H48" s="9" t="e">
        <f>VLOOKUP($A48,'2026-2027 projections'!$B:$AJ,29,FALSE)</f>
        <v>#N/A</v>
      </c>
      <c r="I48" s="9" t="e">
        <f>VLOOKUP($A48,'2026-2027 projections'!$B:$AJ,30,FALSE)</f>
        <v>#N/A</v>
      </c>
      <c r="J48" s="9" t="e">
        <f>VLOOKUP($A48,'2026-2027 projections'!$B:$AJ,31,FALSE)</f>
        <v>#N/A</v>
      </c>
      <c r="L48" s="19" t="s">
        <v>103</v>
      </c>
      <c r="M48">
        <f>VLOOKUP(L48,'2026-2027 projections'!B:C,2,FALSE)</f>
        <v>168</v>
      </c>
      <c r="N48">
        <f>VLOOKUP(L48,'2026-2027 projections'!B:D,3,FALSE)</f>
        <v>75</v>
      </c>
      <c r="O48" s="7">
        <f>VLOOKUP($L48,'2026-2027 projections'!$B:$AJ,23,FALSE)</f>
        <v>0.19824535161922258</v>
      </c>
      <c r="P48" s="7">
        <f>VLOOKUP($L48,'2026-2027 projections'!$B:$AJ,24,FALSE)</f>
        <v>0.16028022024107463</v>
      </c>
      <c r="Q48" s="7">
        <f>VLOOKUP($L48,'2026-2027 projections'!$B:$AJ,25,FALSE)</f>
        <v>-0.59674507316564607</v>
      </c>
      <c r="R48" s="7">
        <f>VLOOKUP($L48,'2026-2027 projections'!$B:$AJ,26,FALSE)</f>
        <v>-0.92695651146518776</v>
      </c>
      <c r="S48" s="7">
        <f>VLOOKUP($L48,'2026-2027 projections'!$B:$AJ,27,FALSE)</f>
        <v>0.25547398423898748</v>
      </c>
      <c r="T48" s="7">
        <f>VLOOKUP($L48,'2026-2027 projections'!$B:$AJ,28,FALSE)</f>
        <v>-0.69664835431148175</v>
      </c>
      <c r="U48" s="7">
        <f>VLOOKUP($L48,'2026-2027 projections'!$B:$AJ,29,FALSE)</f>
        <v>-1.5157384640814993</v>
      </c>
      <c r="V48" s="7">
        <f>VLOOKUP($L48,'2026-2027 projections'!$B:$AJ,30,FALSE)</f>
        <v>-0.36262847148104194</v>
      </c>
      <c r="W48" s="7">
        <f>VLOOKUP($L48,'2026-2027 projections'!$B:$AJ,31,FALSE)</f>
        <v>1.1541650900454252</v>
      </c>
    </row>
    <row r="49" spans="1:23">
      <c r="A49">
        <f t="shared" si="35"/>
        <v>0</v>
      </c>
      <c r="B49" s="9" t="e">
        <f>VLOOKUP($A49,'2026-2027 projections'!$B:$AJ,23,FALSE)</f>
        <v>#N/A</v>
      </c>
      <c r="C49" s="9" t="e">
        <f>VLOOKUP($A49,'2026-2027 projections'!$B:$AJ,24,FALSE)</f>
        <v>#N/A</v>
      </c>
      <c r="D49" s="9" t="e">
        <f>VLOOKUP($A49,'2026-2027 projections'!$B:$AJ,25,FALSE)</f>
        <v>#N/A</v>
      </c>
      <c r="E49" s="9" t="e">
        <f>VLOOKUP($A49,'2026-2027 projections'!$B:$AJ,26,FALSE)</f>
        <v>#N/A</v>
      </c>
      <c r="F49" s="9" t="e">
        <f>VLOOKUP($A49,'2026-2027 projections'!$B:$AJ,27,FALSE)</f>
        <v>#N/A</v>
      </c>
      <c r="G49" s="9" t="e">
        <f>VLOOKUP($A49,'2026-2027 projections'!$B:$AJ,28,FALSE)</f>
        <v>#N/A</v>
      </c>
      <c r="H49" s="9" t="e">
        <f>VLOOKUP($A49,'2026-2027 projections'!$B:$AJ,29,FALSE)</f>
        <v>#N/A</v>
      </c>
      <c r="I49" s="9" t="e">
        <f>VLOOKUP($A49,'2026-2027 projections'!$B:$AJ,30,FALSE)</f>
        <v>#N/A</v>
      </c>
      <c r="J49" s="9" t="e">
        <f>VLOOKUP($A49,'2026-2027 projections'!$B:$AJ,31,FALSE)</f>
        <v>#N/A</v>
      </c>
      <c r="L49" s="20" t="s">
        <v>119</v>
      </c>
      <c r="M49">
        <f>VLOOKUP(L49,'2026-2027 projections'!B:C,2,FALSE)</f>
        <v>126</v>
      </c>
      <c r="N49">
        <f>VLOOKUP(L49,'2026-2027 projections'!B:D,3,FALSE)</f>
        <v>62</v>
      </c>
      <c r="O49" s="7">
        <f>VLOOKUP($L49,'2026-2027 projections'!$B:$AJ,23,FALSE)</f>
        <v>-0.1754283326309361</v>
      </c>
      <c r="P49" s="7">
        <f>VLOOKUP($L49,'2026-2027 projections'!$B:$AJ,24,FALSE)</f>
        <v>-3.6492371572757892E-2</v>
      </c>
      <c r="Q49" s="7">
        <f>VLOOKUP($L49,'2026-2027 projections'!$B:$AJ,25,FALSE)</f>
        <v>-0.17588275840671705</v>
      </c>
      <c r="R49" s="7">
        <f>VLOOKUP($L49,'2026-2027 projections'!$B:$AJ,26,FALSE)</f>
        <v>0.77665451082529968</v>
      </c>
      <c r="S49" s="7">
        <f>VLOOKUP($L49,'2026-2027 projections'!$B:$AJ,27,FALSE)</f>
        <v>0.50515115197984595</v>
      </c>
      <c r="T49" s="7">
        <f>VLOOKUP($L49,'2026-2027 projections'!$B:$AJ,28,FALSE)</f>
        <v>0.49089048860222795</v>
      </c>
      <c r="U49" s="7">
        <f>VLOOKUP($L49,'2026-2027 projections'!$B:$AJ,29,FALSE)</f>
        <v>-0.34169826646924195</v>
      </c>
      <c r="V49" s="7">
        <f>VLOOKUP($L49,'2026-2027 projections'!$B:$AJ,30,FALSE)</f>
        <v>-0.97172309070964324</v>
      </c>
      <c r="W49" s="7">
        <f>VLOOKUP($L49,'2026-2027 projections'!$B:$AJ,31,FALSE)</f>
        <v>-1.3021697898277191</v>
      </c>
    </row>
    <row r="50" spans="1:23">
      <c r="L50" s="19" t="s">
        <v>126</v>
      </c>
      <c r="M50">
        <f>VLOOKUP(L50,'2026-2027 projections'!B:C,2,FALSE)</f>
        <v>137</v>
      </c>
      <c r="N50">
        <f>VLOOKUP(L50,'2026-2027 projections'!B:D,3,FALSE)</f>
        <v>137</v>
      </c>
      <c r="O50" s="7">
        <f>VLOOKUP($L50,'2026-2027 projections'!$B:$AJ,23,FALSE)</f>
        <v>1.2901228134833647</v>
      </c>
      <c r="P50" s="7">
        <f>VLOOKUP($L50,'2026-2027 projections'!$B:$AJ,24,FALSE)</f>
        <v>-2</v>
      </c>
      <c r="Q50" s="7">
        <f>VLOOKUP($L50,'2026-2027 projections'!$B:$AJ,25,FALSE)</f>
        <v>-1.6489008600629689</v>
      </c>
      <c r="R50" s="7">
        <f>VLOOKUP($L50,'2026-2027 projections'!$B:$AJ,26,FALSE)</f>
        <v>-0.81338244331248866</v>
      </c>
      <c r="S50" s="7">
        <f>VLOOKUP($L50,'2026-2027 projections'!$B:$AJ,27,FALSE)</f>
        <v>0.75482831972070397</v>
      </c>
      <c r="T50" s="7">
        <f>VLOOKUP($L50,'2026-2027 projections'!$B:$AJ,28,FALSE)</f>
        <v>-0.28359136547193042</v>
      </c>
      <c r="U50" s="7">
        <f>VLOOKUP($L50,'2026-2027 projections'!$B:$AJ,29,FALSE)</f>
        <v>-0.6352083158723062</v>
      </c>
      <c r="V50" s="7">
        <f>VLOOKUP($L50,'2026-2027 projections'!$B:$AJ,30,FALSE)</f>
        <v>1.2616238464618952</v>
      </c>
      <c r="W50" s="7">
        <f>VLOOKUP($L50,'2026-2027 projections'!$B:$AJ,31,FALSE)</f>
        <v>0.60831289451805992</v>
      </c>
    </row>
    <row r="51" spans="1:23">
      <c r="L51" s="19" t="s">
        <v>106</v>
      </c>
      <c r="M51">
        <f>VLOOKUP(L51,'2026-2027 projections'!B:C,2,FALSE)</f>
        <v>183</v>
      </c>
      <c r="N51" t="e">
        <f>VLOOKUP(L51,'2026-2027 projections'!B:D,3,FALSE)</f>
        <v>#N/A</v>
      </c>
      <c r="O51" s="7">
        <f>VLOOKUP($L51,'2026-2027 projections'!$B:$AJ,23,FALSE)</f>
        <v>-0.28389151017140063</v>
      </c>
      <c r="P51" s="7">
        <f>VLOOKUP($L51,'2026-2027 projections'!$B:$AJ,24,FALSE)</f>
        <v>0.17796419862226237</v>
      </c>
      <c r="Q51" s="7">
        <f>VLOOKUP($L51,'2026-2027 projections'!$B:$AJ,25,FALSE)</f>
        <v>3.4548398972747453E-2</v>
      </c>
      <c r="R51" s="7">
        <f>VLOOKUP($L51,'2026-2027 projections'!$B:$AJ,26,FALSE)</f>
        <v>-0.37801518206047502</v>
      </c>
      <c r="S51" s="7">
        <f>VLOOKUP($L51,'2026-2027 projections'!$B:$AJ,27,FALSE)</f>
        <v>-1.2009761609160188</v>
      </c>
      <c r="T51" s="7">
        <f>VLOOKUP($L51,'2026-2027 projections'!$B:$AJ,28,FALSE)</f>
        <v>-0.33522348907687438</v>
      </c>
      <c r="U51" s="7">
        <f>VLOOKUP($L51,'2026-2027 projections'!$B:$AJ,29,FALSE)</f>
        <v>-0.34169826646924195</v>
      </c>
      <c r="V51" s="7">
        <f>VLOOKUP($L51,'2026-2027 projections'!$B:$AJ,30,FALSE)</f>
        <v>-0.56566001122390897</v>
      </c>
      <c r="W51" s="7">
        <f>VLOOKUP($L51,'2026-2027 projections'!$B:$AJ,31,FALSE)</f>
        <v>0.19892374787253581</v>
      </c>
    </row>
    <row r="52" spans="1:23">
      <c r="B52" s="1" t="s">
        <v>6</v>
      </c>
      <c r="C52" s="1" t="s">
        <v>7</v>
      </c>
      <c r="D52" s="1" t="s">
        <v>8</v>
      </c>
      <c r="E52" s="1" t="s">
        <v>9</v>
      </c>
      <c r="F52" s="1" t="s">
        <v>10</v>
      </c>
      <c r="G52" s="1" t="s">
        <v>11</v>
      </c>
      <c r="H52" s="1" t="s">
        <v>12</v>
      </c>
      <c r="I52" s="1" t="s">
        <v>13</v>
      </c>
      <c r="J52" s="1" t="s">
        <v>14</v>
      </c>
      <c r="K52" s="7"/>
      <c r="L52" s="19" t="s">
        <v>109</v>
      </c>
      <c r="M52">
        <f>VLOOKUP(L52,'2026-2027 projections'!B:C,2,FALSE)</f>
        <v>101</v>
      </c>
      <c r="N52">
        <f>VLOOKUP(L52,'2026-2027 projections'!B:D,3,FALSE)</f>
        <v>61</v>
      </c>
      <c r="O52" s="7">
        <f>VLOOKUP($L52,'2026-2027 projections'!$B:$AJ,23,FALSE)</f>
        <v>-0.28935258252408086</v>
      </c>
      <c r="P52" s="7">
        <f>VLOOKUP($L52,'2026-2027 projections'!$B:$AJ,24,FALSE)</f>
        <v>0.28463027631458254</v>
      </c>
      <c r="Q52" s="7">
        <f>VLOOKUP($L52,'2026-2027 projections'!$B:$AJ,25,FALSE)</f>
        <v>0.24497955635221194</v>
      </c>
      <c r="R52" s="7">
        <f>VLOOKUP($L52,'2026-2027 projections'!$B:$AJ,26,FALSE)</f>
        <v>1.0416606698482642</v>
      </c>
      <c r="S52" s="7">
        <f>VLOOKUP($L52,'2026-2027 projections'!$B:$AJ,27,FALSE)</f>
        <v>-7.7428906082156745E-2</v>
      </c>
      <c r="T52" s="7">
        <f>VLOOKUP($L52,'2026-2027 projections'!$B:$AJ,28,FALSE)</f>
        <v>0.12946562336762074</v>
      </c>
      <c r="U52" s="7">
        <f>VLOOKUP($L52,'2026-2027 projections'!$B:$AJ,29,FALSE)</f>
        <v>-0.6352083158723062</v>
      </c>
      <c r="V52" s="7">
        <f>VLOOKUP($L52,'2026-2027 projections'!$B:$AJ,30,FALSE)</f>
        <v>4.3434608004692253E-2</v>
      </c>
      <c r="W52" s="7">
        <f>VLOOKUP($L52,'2026-2027 projections'!$B:$AJ,31,FALSE)</f>
        <v>-1.1657067409458781</v>
      </c>
    </row>
    <row r="53" spans="1:23">
      <c r="B53" s="7">
        <f>AVERAGEIF(B30:B44, "&lt;&gt;#N/A")</f>
        <v>1.373754579288343</v>
      </c>
      <c r="C53" s="7">
        <f>AVERAGEIF(C30:C44, "&lt;&gt;#N/A")</f>
        <v>0.64112088096429776</v>
      </c>
      <c r="D53" s="7">
        <f t="shared" ref="D53:J53" si="36">AVERAGEIF(D30:D44, "&lt;&gt;#N/A")</f>
        <v>0.66584187111114113</v>
      </c>
      <c r="E53" s="7">
        <f t="shared" si="36"/>
        <v>1.3161313345506207</v>
      </c>
      <c r="F53" s="7">
        <f t="shared" si="36"/>
        <v>0.96289262617141902</v>
      </c>
      <c r="G53" s="7">
        <f t="shared" si="36"/>
        <v>3.2790251632691993</v>
      </c>
      <c r="H53" s="7">
        <f t="shared" si="36"/>
        <v>1.2726070052476119</v>
      </c>
      <c r="I53" s="7">
        <f t="shared" si="36"/>
        <v>-5.8081161866741282E-2</v>
      </c>
      <c r="J53" s="7">
        <f t="shared" si="36"/>
        <v>-0.90053812606373207</v>
      </c>
      <c r="K53" s="7">
        <f>AVERAGE(B53:J53)</f>
        <v>0.95030601918579549</v>
      </c>
      <c r="L53" s="19" t="s">
        <v>137</v>
      </c>
      <c r="M53">
        <f>VLOOKUP(L53,'2026-2027 projections'!B:C,2,FALSE)</f>
        <v>44</v>
      </c>
      <c r="N53">
        <f>VLOOKUP(L53,'2026-2027 projections'!B:D,3,FALSE)</f>
        <v>47</v>
      </c>
      <c r="O53" s="7">
        <f>VLOOKUP($L53,'2026-2027 projections'!$B:$AJ,23,FALSE)</f>
        <v>-0.46069851464453271</v>
      </c>
      <c r="P53" s="7">
        <f>VLOOKUP($L53,'2026-2027 projections'!$B:$AJ,24,FALSE)</f>
        <v>1.2474360125714077</v>
      </c>
      <c r="Q53" s="7">
        <f>VLOOKUP($L53,'2026-2027 projections'!$B:$AJ,25,FALSE)</f>
        <v>1.2971353432495347</v>
      </c>
      <c r="R53" s="7">
        <f>VLOOKUP($L53,'2026-2027 projections'!$B:$AJ,26,FALSE)</f>
        <v>1.2309507834360962</v>
      </c>
      <c r="S53" s="7">
        <f>VLOOKUP($L53,'2026-2027 projections'!$B:$AJ,27,FALSE)</f>
        <v>-0.36871893511315806</v>
      </c>
      <c r="T53" s="7">
        <f>VLOOKUP($L53,'2026-2027 projections'!$B:$AJ,28,FALSE)</f>
        <v>0.59415473581211586</v>
      </c>
      <c r="U53" s="7">
        <f>VLOOKUP($L53,'2026-2027 projections'!$B:$AJ,29,FALSE)</f>
        <v>-0.6352083158723062</v>
      </c>
      <c r="V53" s="7">
        <f>VLOOKUP($L53,'2026-2027 projections'!$B:$AJ,30,FALSE)</f>
        <v>-0.76869155096677622</v>
      </c>
      <c r="W53" s="7">
        <f>VLOOKUP($L53,'2026-2027 projections'!$B:$AJ,31,FALSE)</f>
        <v>-0.48339149653667135</v>
      </c>
    </row>
    <row r="54" spans="1:23">
      <c r="L54" s="19" t="s">
        <v>131</v>
      </c>
      <c r="M54">
        <f>VLOOKUP(L54,'2026-2027 projections'!B:C,2,FALSE)</f>
        <v>58</v>
      </c>
      <c r="N54">
        <f>VLOOKUP(L54,'2026-2027 projections'!B:D,3,FALSE)</f>
        <v>28</v>
      </c>
      <c r="O54" s="7">
        <f>VLOOKUP($L54,'2026-2027 projections'!$B:$AJ,23,FALSE)</f>
        <v>-0.16266795880264584</v>
      </c>
      <c r="P54" s="7">
        <f>VLOOKUP($L54,'2026-2027 projections'!$B:$AJ,24,FALSE)</f>
        <v>0.61459491339251571</v>
      </c>
      <c r="Q54" s="7">
        <f>VLOOKUP($L54,'2026-2027 projections'!$B:$AJ,25,FALSE)</f>
        <v>1.2971353432495347</v>
      </c>
      <c r="R54" s="7">
        <f>VLOOKUP($L54,'2026-2027 projections'!$B:$AJ,26,FALSE)</f>
        <v>0.79558352218408324</v>
      </c>
      <c r="S54" s="7">
        <f>VLOOKUP($L54,'2026-2027 projections'!$B:$AJ,27,FALSE)</f>
        <v>0.46353829068970265</v>
      </c>
      <c r="T54" s="7">
        <f>VLOOKUP($L54,'2026-2027 projections'!$B:$AJ,28,FALSE)</f>
        <v>-0.64501623070653791</v>
      </c>
      <c r="U54" s="7">
        <f>VLOOKUP($L54,'2026-2027 projections'!$B:$AJ,29,FALSE)</f>
        <v>-0.6352083158723062</v>
      </c>
      <c r="V54" s="7">
        <f>VLOOKUP($L54,'2026-2027 projections'!$B:$AJ,30,FALSE)</f>
        <v>-0.56566001122390897</v>
      </c>
      <c r="W54" s="7">
        <f>VLOOKUP($L54,'2026-2027 projections'!$B:$AJ,31,FALSE)</f>
        <v>-7.4002349891146874E-2</v>
      </c>
    </row>
    <row r="55" spans="1:23">
      <c r="L55" s="19" t="s">
        <v>108</v>
      </c>
      <c r="M55" t="e">
        <f>VLOOKUP(L55,'2026-2027 projections'!B:C,2,FALSE)</f>
        <v>#N/A</v>
      </c>
      <c r="N55" t="e">
        <f>VLOOKUP(L55,'2026-2027 projections'!B:D,3,FALSE)</f>
        <v>#N/A</v>
      </c>
      <c r="O55" s="7" t="e">
        <f>VLOOKUP($L55,'2026-2027 projections'!$B:$AJ,23,FALSE)</f>
        <v>#N/A</v>
      </c>
      <c r="P55" s="7" t="e">
        <f>VLOOKUP($L55,'2026-2027 projections'!$B:$AJ,24,FALSE)</f>
        <v>#N/A</v>
      </c>
      <c r="Q55" s="7" t="e">
        <f>VLOOKUP($L55,'2026-2027 projections'!$B:$AJ,25,FALSE)</f>
        <v>#N/A</v>
      </c>
      <c r="R55" s="7" t="e">
        <f>VLOOKUP($L55,'2026-2027 projections'!$B:$AJ,26,FALSE)</f>
        <v>#N/A</v>
      </c>
      <c r="S55" s="7" t="e">
        <f>VLOOKUP($L55,'2026-2027 projections'!$B:$AJ,27,FALSE)</f>
        <v>#N/A</v>
      </c>
      <c r="T55" s="7" t="e">
        <f>VLOOKUP($L55,'2026-2027 projections'!$B:$AJ,28,FALSE)</f>
        <v>#N/A</v>
      </c>
      <c r="U55" s="7" t="e">
        <f>VLOOKUP($L55,'2026-2027 projections'!$B:$AJ,29,FALSE)</f>
        <v>#N/A</v>
      </c>
      <c r="V55" s="7" t="e">
        <f>VLOOKUP($L55,'2026-2027 projections'!$B:$AJ,30,FALSE)</f>
        <v>#N/A</v>
      </c>
      <c r="W55" s="7" t="e">
        <f>VLOOKUP($L55,'2026-2027 projections'!$B:$AJ,31,FALSE)</f>
        <v>#N/A</v>
      </c>
    </row>
    <row r="56" spans="1:23">
      <c r="L56" s="19" t="s">
        <v>163</v>
      </c>
      <c r="M56">
        <f>VLOOKUP(L56,'2026-2027 projections'!B:C,2,FALSE)</f>
        <v>73</v>
      </c>
      <c r="N56">
        <f>VLOOKUP(L56,'2026-2027 projections'!B:D,3,FALSE)</f>
        <v>50</v>
      </c>
      <c r="O56" s="7">
        <f>VLOOKUP($L56,'2026-2027 projections'!$B:$AJ,23,FALSE)</f>
        <v>-1.6733399705966934</v>
      </c>
      <c r="P56" s="7">
        <f>VLOOKUP($L56,'2026-2027 projections'!$B:$AJ,24,FALSE)</f>
        <v>0.96224352885163678</v>
      </c>
      <c r="Q56" s="7">
        <f>VLOOKUP($L56,'2026-2027 projections'!$B:$AJ,25,FALSE)</f>
        <v>1.8232132366981961</v>
      </c>
      <c r="R56" s="7">
        <f>VLOOKUP($L56,'2026-2027 projections'!$B:$AJ,26,FALSE)</f>
        <v>0.89022857897799912</v>
      </c>
      <c r="S56" s="7">
        <f>VLOOKUP($L56,'2026-2027 projections'!$B:$AJ,27,FALSE)</f>
        <v>-0.32710607382301482</v>
      </c>
      <c r="T56" s="7">
        <f>VLOOKUP($L56,'2026-2027 projections'!$B:$AJ,28,FALSE)</f>
        <v>-7.7062871052154841E-2</v>
      </c>
      <c r="U56" s="7">
        <f>VLOOKUP($L56,'2026-2027 projections'!$B:$AJ,29,FALSE)</f>
        <v>-4.818821706617768E-2</v>
      </c>
      <c r="V56" s="7">
        <f>VLOOKUP($L56,'2026-2027 projections'!$B:$AJ,30,FALSE)</f>
        <v>4.3434608004692253E-2</v>
      </c>
      <c r="W56" s="7">
        <f>VLOOKUP($L56,'2026-2027 projections'!$B:$AJ,31,FALSE)</f>
        <v>-1.0292436920640367</v>
      </c>
    </row>
    <row r="57" spans="1:23">
      <c r="O57" s="7"/>
      <c r="P57" s="7"/>
      <c r="Q57" s="7"/>
      <c r="R57" s="7"/>
      <c r="S57" s="7"/>
      <c r="T57" s="7"/>
      <c r="U57" s="7"/>
      <c r="V57" s="7"/>
      <c r="W57" s="7"/>
    </row>
    <row r="58" spans="1:23">
      <c r="A58" t="s">
        <v>247</v>
      </c>
      <c r="B58" s="1" t="s">
        <v>6</v>
      </c>
      <c r="C58" s="1" t="s">
        <v>7</v>
      </c>
      <c r="D58" s="1" t="s">
        <v>8</v>
      </c>
      <c r="E58" s="1" t="s">
        <v>9</v>
      </c>
      <c r="F58" s="1" t="s">
        <v>10</v>
      </c>
      <c r="G58" s="1" t="s">
        <v>11</v>
      </c>
      <c r="H58" s="1" t="s">
        <v>12</v>
      </c>
      <c r="I58" s="1" t="s">
        <v>13</v>
      </c>
      <c r="J58" s="1" t="s">
        <v>14</v>
      </c>
      <c r="L58" s="20" t="s">
        <v>402</v>
      </c>
      <c r="M58" t="s">
        <v>420</v>
      </c>
      <c r="N58" t="s">
        <v>397</v>
      </c>
      <c r="O58" s="1" t="s">
        <v>6</v>
      </c>
      <c r="P58" s="1" t="s">
        <v>7</v>
      </c>
      <c r="Q58" s="1" t="s">
        <v>8</v>
      </c>
      <c r="R58" s="1" t="s">
        <v>9</v>
      </c>
      <c r="S58" s="1" t="s">
        <v>10</v>
      </c>
      <c r="T58" s="1" t="s">
        <v>11</v>
      </c>
      <c r="U58" s="1" t="s">
        <v>12</v>
      </c>
      <c r="V58" s="1" t="s">
        <v>13</v>
      </c>
      <c r="W58" s="1" t="s">
        <v>14</v>
      </c>
    </row>
    <row r="59" spans="1:23">
      <c r="A59" s="17" t="str">
        <f>A2</f>
        <v>Nikola Jokic</v>
      </c>
      <c r="B59" s="9">
        <f>VLOOKUP($A59,'2026-2027 projections'!$B:$AJ,23,FALSE)</f>
        <v>3.0692222329522236</v>
      </c>
      <c r="C59" s="9">
        <f>VLOOKUP($A59,'2026-2027 projections'!$B:$AJ,24,FALSE)</f>
        <v>0.67648883772667356</v>
      </c>
      <c r="D59" s="9">
        <f>VLOOKUP($A59,'2026-2027 projections'!$B:$AJ,25,FALSE)</f>
        <v>0.13976397766247983</v>
      </c>
      <c r="E59" s="9">
        <f>VLOOKUP($A59,'2026-2027 projections'!$B:$AJ,26,FALSE)</f>
        <v>2.3666914649630879</v>
      </c>
      <c r="F59" s="9">
        <f>VLOOKUP($A59,'2026-2027 projections'!$B:$AJ,27,FALSE)</f>
        <v>2.9186971068081418</v>
      </c>
      <c r="G59" s="9">
        <f>VLOOKUP($A59,'2026-2027 projections'!$B:$AJ,28,FALSE)</f>
        <v>3.4855536576889752</v>
      </c>
      <c r="H59" s="9">
        <f>VLOOKUP($A59,'2026-2027 projections'!$B:$AJ,29,FALSE)</f>
        <v>1.7128720793522085</v>
      </c>
      <c r="I59" s="9">
        <f>VLOOKUP($A59,'2026-2027 projections'!$B:$AJ,30,FALSE)</f>
        <v>4.3434608004692253E-2</v>
      </c>
      <c r="J59" s="9">
        <f>VLOOKUP($A59,'2026-2027 projections'!$B:$AJ,31,FALSE)</f>
        <v>-2</v>
      </c>
      <c r="L59" s="19" t="s">
        <v>163</v>
      </c>
      <c r="M59">
        <f>VLOOKUP(L59,'2026-2027 projections'!B:C,2,FALSE)</f>
        <v>73</v>
      </c>
      <c r="N59">
        <f>VLOOKUP(L59,'2026-2027 projections'!B:D,3,FALSE)</f>
        <v>50</v>
      </c>
      <c r="O59" s="7">
        <f>VLOOKUP($L59,'2026-2027 projections'!$B:$AJ,23,FALSE)</f>
        <v>-1.6733399705966934</v>
      </c>
      <c r="P59" s="7">
        <f>VLOOKUP($L59,'2026-2027 projections'!$B:$AJ,24,FALSE)</f>
        <v>0.96224352885163678</v>
      </c>
      <c r="Q59" s="7">
        <f>VLOOKUP($L59,'2026-2027 projections'!$B:$AJ,25,FALSE)</f>
        <v>1.8232132366981961</v>
      </c>
      <c r="R59" s="7">
        <f>VLOOKUP($L59,'2026-2027 projections'!$B:$AJ,26,FALSE)</f>
        <v>0.89022857897799912</v>
      </c>
      <c r="S59" s="7">
        <f>VLOOKUP($L59,'2026-2027 projections'!$B:$AJ,27,FALSE)</f>
        <v>-0.32710607382301482</v>
      </c>
      <c r="T59" s="7">
        <f>VLOOKUP($L59,'2026-2027 projections'!$B:$AJ,28,FALSE)</f>
        <v>-7.7062871052154841E-2</v>
      </c>
      <c r="U59" s="7">
        <f>VLOOKUP($L59,'2026-2027 projections'!$B:$AJ,29,FALSE)</f>
        <v>-4.818821706617768E-2</v>
      </c>
      <c r="V59" s="7">
        <f>VLOOKUP($L59,'2026-2027 projections'!$B:$AJ,30,FALSE)</f>
        <v>4.3434608004692253E-2</v>
      </c>
      <c r="W59" s="7">
        <f>VLOOKUP($L59,'2026-2027 projections'!$B:$AJ,31,FALSE)</f>
        <v>-1.0292436920640367</v>
      </c>
    </row>
    <row r="60" spans="1:23">
      <c r="A60" t="str">
        <f>A3</f>
        <v>Tyrese Haliburton</v>
      </c>
      <c r="B60" s="9">
        <f>VLOOKUP($A60,'2026-2027 projections'!$B:$AJ,23,FALSE)</f>
        <v>-0.32171307437553759</v>
      </c>
      <c r="C60" s="9">
        <f>VLOOKUP($A60,'2026-2027 projections'!$B:$AJ,24,FALSE)</f>
        <v>0.60575292420192195</v>
      </c>
      <c r="D60" s="9">
        <f>VLOOKUP($A60,'2026-2027 projections'!$B:$AJ,25,FALSE)</f>
        <v>1.1919197645598023</v>
      </c>
      <c r="E60" s="9">
        <f>VLOOKUP($A60,'2026-2027 projections'!$B:$AJ,26,FALSE)</f>
        <v>0.2655712041381536</v>
      </c>
      <c r="F60" s="9">
        <f>VLOOKUP($A60,'2026-2027 projections'!$B:$AJ,27,FALSE)</f>
        <v>-0.99291185446530361</v>
      </c>
      <c r="G60" s="9">
        <f>VLOOKUP($A60,'2026-2027 projections'!$B:$AJ,28,FALSE)</f>
        <v>3.0724966688494235</v>
      </c>
      <c r="H60" s="9">
        <f>VLOOKUP($A60,'2026-2027 projections'!$B:$AJ,29,FALSE)</f>
        <v>0.83234193114301547</v>
      </c>
      <c r="I60" s="9">
        <f>VLOOKUP($A60,'2026-2027 projections'!$B:$AJ,30,FALSE)</f>
        <v>-0.15959693173817482</v>
      </c>
      <c r="J60" s="9">
        <f>VLOOKUP($A60,'2026-2027 projections'!$B:$AJ,31,FALSE)</f>
        <v>0.19892374787253581</v>
      </c>
      <c r="L60" s="19" t="s">
        <v>166</v>
      </c>
      <c r="M60" t="e">
        <f>VLOOKUP(L60,'2026-2027 projections'!B:C,2,FALSE)</f>
        <v>#N/A</v>
      </c>
      <c r="N60" t="e">
        <f>VLOOKUP(L60,'2026-2027 projections'!B:D,3,FALSE)</f>
        <v>#N/A</v>
      </c>
      <c r="O60" s="7" t="e">
        <f>VLOOKUP($L60,'2026-2027 projections'!$B:$AJ,23,FALSE)</f>
        <v>#N/A</v>
      </c>
      <c r="P60" s="7" t="e">
        <f>VLOOKUP($L60,'2026-2027 projections'!$B:$AJ,24,FALSE)</f>
        <v>#N/A</v>
      </c>
      <c r="Q60" s="7" t="e">
        <f>VLOOKUP($L60,'2026-2027 projections'!$B:$AJ,25,FALSE)</f>
        <v>#N/A</v>
      </c>
      <c r="R60" s="7" t="e">
        <f>VLOOKUP($L60,'2026-2027 projections'!$B:$AJ,26,FALSE)</f>
        <v>#N/A</v>
      </c>
      <c r="S60" s="7" t="e">
        <f>VLOOKUP($L60,'2026-2027 projections'!$B:$AJ,27,FALSE)</f>
        <v>#N/A</v>
      </c>
      <c r="T60" s="7" t="e">
        <f>VLOOKUP($L60,'2026-2027 projections'!$B:$AJ,28,FALSE)</f>
        <v>#N/A</v>
      </c>
      <c r="U60" s="7" t="e">
        <f>VLOOKUP($L60,'2026-2027 projections'!$B:$AJ,29,FALSE)</f>
        <v>#N/A</v>
      </c>
      <c r="V60" s="7" t="e">
        <f>VLOOKUP($L60,'2026-2027 projections'!$B:$AJ,30,FALSE)</f>
        <v>#N/A</v>
      </c>
      <c r="W60" s="7" t="e">
        <f>VLOOKUP($L60,'2026-2027 projections'!$B:$AJ,31,FALSE)</f>
        <v>#N/A</v>
      </c>
    </row>
    <row r="61" spans="1:23">
      <c r="A61">
        <f t="shared" ref="A61:A77" si="37">A4</f>
        <v>0</v>
      </c>
      <c r="B61" s="9" t="e">
        <f>VLOOKUP($A61,'2026-2027 projections'!$B:$AJ,23,FALSE)</f>
        <v>#N/A</v>
      </c>
      <c r="C61" s="9" t="e">
        <f>VLOOKUP($A61,'2026-2027 projections'!$B:$AJ,24,FALSE)</f>
        <v>#N/A</v>
      </c>
      <c r="D61" s="9" t="e">
        <f>VLOOKUP($A61,'2026-2027 projections'!$B:$AJ,25,FALSE)</f>
        <v>#N/A</v>
      </c>
      <c r="E61" s="9" t="e">
        <f>VLOOKUP($A61,'2026-2027 projections'!$B:$AJ,26,FALSE)</f>
        <v>#N/A</v>
      </c>
      <c r="F61" s="9" t="e">
        <f>VLOOKUP($A61,'2026-2027 projections'!$B:$AJ,27,FALSE)</f>
        <v>#N/A</v>
      </c>
      <c r="G61" s="9" t="e">
        <f>VLOOKUP($A61,'2026-2027 projections'!$B:$AJ,28,FALSE)</f>
        <v>#N/A</v>
      </c>
      <c r="H61" s="9" t="e">
        <f>VLOOKUP($A61,'2026-2027 projections'!$B:$AJ,29,FALSE)</f>
        <v>#N/A</v>
      </c>
      <c r="I61" s="9" t="e">
        <f>VLOOKUP($A61,'2026-2027 projections'!$B:$AJ,30,FALSE)</f>
        <v>#N/A</v>
      </c>
      <c r="J61" s="9" t="e">
        <f>VLOOKUP($A61,'2026-2027 projections'!$B:$AJ,31,FALSE)</f>
        <v>#N/A</v>
      </c>
      <c r="L61" s="19" t="s">
        <v>109</v>
      </c>
      <c r="M61">
        <f>VLOOKUP(L61,'2026-2027 projections'!B:C,2,FALSE)</f>
        <v>101</v>
      </c>
      <c r="N61">
        <f>VLOOKUP(L61,'2026-2027 projections'!B:D,3,FALSE)</f>
        <v>61</v>
      </c>
      <c r="O61" s="7">
        <f>VLOOKUP($L61,'2026-2027 projections'!$B:$AJ,23,FALSE)</f>
        <v>-0.28935258252408086</v>
      </c>
      <c r="P61" s="7">
        <f>VLOOKUP($L61,'2026-2027 projections'!$B:$AJ,24,FALSE)</f>
        <v>0.28463027631458254</v>
      </c>
      <c r="Q61" s="7">
        <f>VLOOKUP($L61,'2026-2027 projections'!$B:$AJ,25,FALSE)</f>
        <v>0.24497955635221194</v>
      </c>
      <c r="R61" s="7">
        <f>VLOOKUP($L61,'2026-2027 projections'!$B:$AJ,26,FALSE)</f>
        <v>1.0416606698482642</v>
      </c>
      <c r="S61" s="7">
        <f>VLOOKUP($L61,'2026-2027 projections'!$B:$AJ,27,FALSE)</f>
        <v>-7.7428906082156745E-2</v>
      </c>
      <c r="T61" s="7">
        <f>VLOOKUP($L61,'2026-2027 projections'!$B:$AJ,28,FALSE)</f>
        <v>0.12946562336762074</v>
      </c>
      <c r="U61" s="7">
        <f>VLOOKUP($L61,'2026-2027 projections'!$B:$AJ,29,FALSE)</f>
        <v>-0.6352083158723062</v>
      </c>
      <c r="V61" s="7">
        <f>VLOOKUP($L61,'2026-2027 projections'!$B:$AJ,30,FALSE)</f>
        <v>4.3434608004692253E-2</v>
      </c>
      <c r="W61" s="7">
        <f>VLOOKUP($L61,'2026-2027 projections'!$B:$AJ,31,FALSE)</f>
        <v>-1.1657067409458781</v>
      </c>
    </row>
    <row r="62" spans="1:23">
      <c r="A62">
        <f t="shared" si="37"/>
        <v>0</v>
      </c>
      <c r="B62" s="9" t="e">
        <f>VLOOKUP($A62,'2026-2027 projections'!$B:$AJ,23,FALSE)</f>
        <v>#N/A</v>
      </c>
      <c r="C62" s="9" t="e">
        <f>VLOOKUP($A62,'2026-2027 projections'!$B:$AJ,24,FALSE)</f>
        <v>#N/A</v>
      </c>
      <c r="D62" s="9" t="e">
        <f>VLOOKUP($A62,'2026-2027 projections'!$B:$AJ,25,FALSE)</f>
        <v>#N/A</v>
      </c>
      <c r="E62" s="9" t="e">
        <f>VLOOKUP($A62,'2026-2027 projections'!$B:$AJ,26,FALSE)</f>
        <v>#N/A</v>
      </c>
      <c r="F62" s="9" t="e">
        <f>VLOOKUP($A62,'2026-2027 projections'!$B:$AJ,27,FALSE)</f>
        <v>#N/A</v>
      </c>
      <c r="G62" s="9" t="e">
        <f>VLOOKUP($A62,'2026-2027 projections'!$B:$AJ,28,FALSE)</f>
        <v>#N/A</v>
      </c>
      <c r="H62" s="9" t="e">
        <f>VLOOKUP($A62,'2026-2027 projections'!$B:$AJ,29,FALSE)</f>
        <v>#N/A</v>
      </c>
      <c r="I62" s="9" t="e">
        <f>VLOOKUP($A62,'2026-2027 projections'!$B:$AJ,30,FALSE)</f>
        <v>#N/A</v>
      </c>
      <c r="J62" s="9" t="e">
        <f>VLOOKUP($A62,'2026-2027 projections'!$B:$AJ,31,FALSE)</f>
        <v>#N/A</v>
      </c>
      <c r="L62" s="19" t="s">
        <v>108</v>
      </c>
      <c r="M62" t="e">
        <f>VLOOKUP(L62,'2026-2027 projections'!B:C,2,FALSE)</f>
        <v>#N/A</v>
      </c>
      <c r="N62" t="e">
        <f>VLOOKUP(L62,'2026-2027 projections'!B:D,3,FALSE)</f>
        <v>#N/A</v>
      </c>
      <c r="O62" s="7" t="e">
        <f>VLOOKUP($L62,'2026-2027 projections'!$B:$AJ,23,FALSE)</f>
        <v>#N/A</v>
      </c>
      <c r="P62" s="7" t="e">
        <f>VLOOKUP($L62,'2026-2027 projections'!$B:$AJ,24,FALSE)</f>
        <v>#N/A</v>
      </c>
      <c r="Q62" s="7" t="e">
        <f>VLOOKUP($L62,'2026-2027 projections'!$B:$AJ,25,FALSE)</f>
        <v>#N/A</v>
      </c>
      <c r="R62" s="7" t="e">
        <f>VLOOKUP($L62,'2026-2027 projections'!$B:$AJ,26,FALSE)</f>
        <v>#N/A</v>
      </c>
      <c r="S62" s="7" t="e">
        <f>VLOOKUP($L62,'2026-2027 projections'!$B:$AJ,27,FALSE)</f>
        <v>#N/A</v>
      </c>
      <c r="T62" s="7" t="e">
        <f>VLOOKUP($L62,'2026-2027 projections'!$B:$AJ,28,FALSE)</f>
        <v>#N/A</v>
      </c>
      <c r="U62" s="7" t="e">
        <f>VLOOKUP($L62,'2026-2027 projections'!$B:$AJ,29,FALSE)</f>
        <v>#N/A</v>
      </c>
      <c r="V62" s="7" t="e">
        <f>VLOOKUP($L62,'2026-2027 projections'!$B:$AJ,30,FALSE)</f>
        <v>#N/A</v>
      </c>
      <c r="W62" s="7" t="e">
        <f>VLOOKUP($L62,'2026-2027 projections'!$B:$AJ,31,FALSE)</f>
        <v>#N/A</v>
      </c>
    </row>
    <row r="63" spans="1:23">
      <c r="A63">
        <f t="shared" si="37"/>
        <v>0</v>
      </c>
      <c r="B63" s="9" t="e">
        <f>VLOOKUP($A63,'2026-2027 projections'!$B:$AJ,23,FALSE)</f>
        <v>#N/A</v>
      </c>
      <c r="C63" s="9" t="e">
        <f>VLOOKUP($A63,'2026-2027 projections'!$B:$AJ,24,FALSE)</f>
        <v>#N/A</v>
      </c>
      <c r="D63" s="9" t="e">
        <f>VLOOKUP($A63,'2026-2027 projections'!$B:$AJ,25,FALSE)</f>
        <v>#N/A</v>
      </c>
      <c r="E63" s="9" t="e">
        <f>VLOOKUP($A63,'2026-2027 projections'!$B:$AJ,26,FALSE)</f>
        <v>#N/A</v>
      </c>
      <c r="F63" s="9" t="e">
        <f>VLOOKUP($A63,'2026-2027 projections'!$B:$AJ,27,FALSE)</f>
        <v>#N/A</v>
      </c>
      <c r="G63" s="9" t="e">
        <f>VLOOKUP($A63,'2026-2027 projections'!$B:$AJ,28,FALSE)</f>
        <v>#N/A</v>
      </c>
      <c r="H63" s="9" t="e">
        <f>VLOOKUP($A63,'2026-2027 projections'!$B:$AJ,29,FALSE)</f>
        <v>#N/A</v>
      </c>
      <c r="I63" s="9" t="e">
        <f>VLOOKUP($A63,'2026-2027 projections'!$B:$AJ,30,FALSE)</f>
        <v>#N/A</v>
      </c>
      <c r="J63" s="9" t="e">
        <f>VLOOKUP($A63,'2026-2027 projections'!$B:$AJ,31,FALSE)</f>
        <v>#N/A</v>
      </c>
      <c r="L63" s="19" t="s">
        <v>169</v>
      </c>
      <c r="M63" t="e">
        <f>VLOOKUP(L63,'2026-2027 projections'!B:C,2,FALSE)</f>
        <v>#N/A</v>
      </c>
      <c r="N63" t="e">
        <f>VLOOKUP(L63,'2026-2027 projections'!B:D,3,FALSE)</f>
        <v>#N/A</v>
      </c>
      <c r="O63" s="7" t="e">
        <f>VLOOKUP($L63,'2026-2027 projections'!$B:$AJ,23,FALSE)</f>
        <v>#N/A</v>
      </c>
      <c r="P63" s="7" t="e">
        <f>VLOOKUP($L63,'2026-2027 projections'!$B:$AJ,24,FALSE)</f>
        <v>#N/A</v>
      </c>
      <c r="Q63" s="7" t="e">
        <f>VLOOKUP($L63,'2026-2027 projections'!$B:$AJ,25,FALSE)</f>
        <v>#N/A</v>
      </c>
      <c r="R63" s="7" t="e">
        <f>VLOOKUP($L63,'2026-2027 projections'!$B:$AJ,26,FALSE)</f>
        <v>#N/A</v>
      </c>
      <c r="S63" s="7" t="e">
        <f>VLOOKUP($L63,'2026-2027 projections'!$B:$AJ,27,FALSE)</f>
        <v>#N/A</v>
      </c>
      <c r="T63" s="7" t="e">
        <f>VLOOKUP($L63,'2026-2027 projections'!$B:$AJ,28,FALSE)</f>
        <v>#N/A</v>
      </c>
      <c r="U63" s="7" t="e">
        <f>VLOOKUP($L63,'2026-2027 projections'!$B:$AJ,29,FALSE)</f>
        <v>#N/A</v>
      </c>
      <c r="V63" s="7" t="e">
        <f>VLOOKUP($L63,'2026-2027 projections'!$B:$AJ,30,FALSE)</f>
        <v>#N/A</v>
      </c>
      <c r="W63" s="7" t="e">
        <f>VLOOKUP($L63,'2026-2027 projections'!$B:$AJ,31,FALSE)</f>
        <v>#N/A</v>
      </c>
    </row>
    <row r="64" spans="1:23">
      <c r="A64">
        <f t="shared" si="37"/>
        <v>0</v>
      </c>
      <c r="B64" s="9" t="e">
        <f>VLOOKUP($A64,'2026-2027 projections'!$B:$AJ,23,FALSE)</f>
        <v>#N/A</v>
      </c>
      <c r="C64" s="9" t="e">
        <f>VLOOKUP($A64,'2026-2027 projections'!$B:$AJ,24,FALSE)</f>
        <v>#N/A</v>
      </c>
      <c r="D64" s="9" t="e">
        <f>VLOOKUP($A64,'2026-2027 projections'!$B:$AJ,25,FALSE)</f>
        <v>#N/A</v>
      </c>
      <c r="E64" s="9" t="e">
        <f>VLOOKUP($A64,'2026-2027 projections'!$B:$AJ,26,FALSE)</f>
        <v>#N/A</v>
      </c>
      <c r="F64" s="9" t="e">
        <f>VLOOKUP($A64,'2026-2027 projections'!$B:$AJ,27,FALSE)</f>
        <v>#N/A</v>
      </c>
      <c r="G64" s="9" t="e">
        <f>VLOOKUP($A64,'2026-2027 projections'!$B:$AJ,28,FALSE)</f>
        <v>#N/A</v>
      </c>
      <c r="H64" s="9" t="e">
        <f>VLOOKUP($A64,'2026-2027 projections'!$B:$AJ,29,FALSE)</f>
        <v>#N/A</v>
      </c>
      <c r="I64" s="9" t="e">
        <f>VLOOKUP($A64,'2026-2027 projections'!$B:$AJ,30,FALSE)</f>
        <v>#N/A</v>
      </c>
      <c r="J64" s="9" t="e">
        <f>VLOOKUP($A64,'2026-2027 projections'!$B:$AJ,31,FALSE)</f>
        <v>#N/A</v>
      </c>
      <c r="L64" s="19" t="s">
        <v>143</v>
      </c>
      <c r="M64">
        <f>VLOOKUP(L64,'2026-2027 projections'!B:C,2,FALSE)</f>
        <v>36</v>
      </c>
      <c r="N64">
        <f>VLOOKUP(L64,'2026-2027 projections'!B:D,3,FALSE)</f>
        <v>48</v>
      </c>
      <c r="O64" s="7">
        <f>VLOOKUP($L64,'2026-2027 projections'!$B:$AJ,23,FALSE)</f>
        <v>-6.1504082737792391E-2</v>
      </c>
      <c r="P64" s="7">
        <f>VLOOKUP($L64,'2026-2027 projections'!$B:$AJ,24,FALSE)</f>
        <v>0.40070055060268667</v>
      </c>
      <c r="Q64" s="7">
        <f>VLOOKUP($L64,'2026-2027 projections'!$B:$AJ,25,FALSE)</f>
        <v>0.56062629242140904</v>
      </c>
      <c r="R64" s="7">
        <f>VLOOKUP($L64,'2026-2027 projections'!$B:$AJ,26,FALSE)</f>
        <v>0.1519971359854542</v>
      </c>
      <c r="S64" s="7">
        <f>VLOOKUP($L64,'2026-2027 projections'!$B:$AJ,27,FALSE)</f>
        <v>-0.36871893511315806</v>
      </c>
      <c r="T64" s="7">
        <f>VLOOKUP($L64,'2026-2027 projections'!$B:$AJ,28,FALSE)</f>
        <v>-0.79991260152136945</v>
      </c>
      <c r="U64" s="7">
        <f>VLOOKUP($L64,'2026-2027 projections'!$B:$AJ,29,FALSE)</f>
        <v>1.4193620299491441</v>
      </c>
      <c r="V64" s="7">
        <f>VLOOKUP($L64,'2026-2027 projections'!$B:$AJ,30,FALSE)</f>
        <v>0.24646614774755957</v>
      </c>
      <c r="W64" s="7">
        <f>VLOOKUP($L64,'2026-2027 projections'!$B:$AJ,31,FALSE)</f>
        <v>0.47184984563621846</v>
      </c>
    </row>
    <row r="65" spans="1:23">
      <c r="A65">
        <f t="shared" si="37"/>
        <v>0</v>
      </c>
      <c r="B65" s="9" t="e">
        <f>VLOOKUP($A65,'2026-2027 projections'!$B:$AJ,23,FALSE)</f>
        <v>#N/A</v>
      </c>
      <c r="C65" s="9" t="e">
        <f>VLOOKUP($A65,'2026-2027 projections'!$B:$AJ,24,FALSE)</f>
        <v>#N/A</v>
      </c>
      <c r="D65" s="9" t="e">
        <f>VLOOKUP($A65,'2026-2027 projections'!$B:$AJ,25,FALSE)</f>
        <v>#N/A</v>
      </c>
      <c r="E65" s="9" t="e">
        <f>VLOOKUP($A65,'2026-2027 projections'!$B:$AJ,26,FALSE)</f>
        <v>#N/A</v>
      </c>
      <c r="F65" s="9" t="e">
        <f>VLOOKUP($A65,'2026-2027 projections'!$B:$AJ,27,FALSE)</f>
        <v>#N/A</v>
      </c>
      <c r="G65" s="9" t="e">
        <f>VLOOKUP($A65,'2026-2027 projections'!$B:$AJ,28,FALSE)</f>
        <v>#N/A</v>
      </c>
      <c r="H65" s="9" t="e">
        <f>VLOOKUP($A65,'2026-2027 projections'!$B:$AJ,29,FALSE)</f>
        <v>#N/A</v>
      </c>
      <c r="I65" s="9" t="e">
        <f>VLOOKUP($A65,'2026-2027 projections'!$B:$AJ,30,FALSE)</f>
        <v>#N/A</v>
      </c>
      <c r="J65" s="9" t="e">
        <f>VLOOKUP($A65,'2026-2027 projections'!$B:$AJ,31,FALSE)</f>
        <v>#N/A</v>
      </c>
      <c r="L65" s="19" t="s">
        <v>137</v>
      </c>
      <c r="M65">
        <f>VLOOKUP(L65,'2026-2027 projections'!B:C,2,FALSE)</f>
        <v>44</v>
      </c>
      <c r="N65">
        <f>VLOOKUP(L65,'2026-2027 projections'!B:D,3,FALSE)</f>
        <v>47</v>
      </c>
      <c r="O65" s="7">
        <f>VLOOKUP($L65,'2026-2027 projections'!$B:$AJ,23,FALSE)</f>
        <v>-0.46069851464453271</v>
      </c>
      <c r="P65" s="7">
        <f>VLOOKUP($L65,'2026-2027 projections'!$B:$AJ,24,FALSE)</f>
        <v>1.2474360125714077</v>
      </c>
      <c r="Q65" s="7">
        <f>VLOOKUP($L65,'2026-2027 projections'!$B:$AJ,25,FALSE)</f>
        <v>1.2971353432495347</v>
      </c>
      <c r="R65" s="7">
        <f>VLOOKUP($L65,'2026-2027 projections'!$B:$AJ,26,FALSE)</f>
        <v>1.2309507834360962</v>
      </c>
      <c r="S65" s="7">
        <f>VLOOKUP($L65,'2026-2027 projections'!$B:$AJ,27,FALSE)</f>
        <v>-0.36871893511315806</v>
      </c>
      <c r="T65" s="7">
        <f>VLOOKUP($L65,'2026-2027 projections'!$B:$AJ,28,FALSE)</f>
        <v>0.59415473581211586</v>
      </c>
      <c r="U65" s="7">
        <f>VLOOKUP($L65,'2026-2027 projections'!$B:$AJ,29,FALSE)</f>
        <v>-0.6352083158723062</v>
      </c>
      <c r="V65" s="7">
        <f>VLOOKUP($L65,'2026-2027 projections'!$B:$AJ,30,FALSE)</f>
        <v>-0.76869155096677622</v>
      </c>
      <c r="W65" s="7">
        <f>VLOOKUP($L65,'2026-2027 projections'!$B:$AJ,31,FALSE)</f>
        <v>-0.48339149653667135</v>
      </c>
    </row>
    <row r="66" spans="1:23">
      <c r="A66">
        <f t="shared" si="37"/>
        <v>0</v>
      </c>
      <c r="B66" s="9" t="e">
        <f>VLOOKUP($A66,'2026-2027 projections'!$B:$AJ,23,FALSE)</f>
        <v>#N/A</v>
      </c>
      <c r="C66" s="9" t="e">
        <f>VLOOKUP($A66,'2026-2027 projections'!$B:$AJ,24,FALSE)</f>
        <v>#N/A</v>
      </c>
      <c r="D66" s="9" t="e">
        <f>VLOOKUP($A66,'2026-2027 projections'!$B:$AJ,25,FALSE)</f>
        <v>#N/A</v>
      </c>
      <c r="E66" s="9" t="e">
        <f>VLOOKUP($A66,'2026-2027 projections'!$B:$AJ,26,FALSE)</f>
        <v>#N/A</v>
      </c>
      <c r="F66" s="9" t="e">
        <f>VLOOKUP($A66,'2026-2027 projections'!$B:$AJ,27,FALSE)</f>
        <v>#N/A</v>
      </c>
      <c r="G66" s="9" t="e">
        <f>VLOOKUP($A66,'2026-2027 projections'!$B:$AJ,28,FALSE)</f>
        <v>#N/A</v>
      </c>
      <c r="H66" s="9" t="e">
        <f>VLOOKUP($A66,'2026-2027 projections'!$B:$AJ,29,FALSE)</f>
        <v>#N/A</v>
      </c>
      <c r="I66" s="9" t="e">
        <f>VLOOKUP($A66,'2026-2027 projections'!$B:$AJ,30,FALSE)</f>
        <v>#N/A</v>
      </c>
      <c r="J66" s="9" t="e">
        <f>VLOOKUP($A66,'2026-2027 projections'!$B:$AJ,31,FALSE)</f>
        <v>#N/A</v>
      </c>
      <c r="L66" s="20" t="s">
        <v>140</v>
      </c>
      <c r="M66">
        <f>VLOOKUP(L66,'2026-2027 projections'!B:C,2,FALSE)</f>
        <v>63</v>
      </c>
      <c r="N66">
        <f>VLOOKUP(L66,'2026-2027 projections'!B:D,3,FALSE)</f>
        <v>103</v>
      </c>
      <c r="O66" s="7">
        <f>VLOOKUP($L66,'2026-2027 projections'!$B:$AJ,23,FALSE)</f>
        <v>-0.84851124456517357</v>
      </c>
      <c r="P66" s="7">
        <f>VLOOKUP($L66,'2026-2027 projections'!$B:$AJ,24,FALSE)</f>
        <v>0.24042033036161128</v>
      </c>
      <c r="Q66" s="7">
        <f>VLOOKUP($L66,'2026-2027 projections'!$B:$AJ,25,FALSE)</f>
        <v>0.56062629242140904</v>
      </c>
      <c r="R66" s="7">
        <f>VLOOKUP($L66,'2026-2027 projections'!$B:$AJ,26,FALSE)</f>
        <v>3.8423067832755432E-2</v>
      </c>
      <c r="S66" s="7">
        <f>VLOOKUP($L66,'2026-2027 projections'!$B:$AJ,27,FALSE)</f>
        <v>0.33869970681927364</v>
      </c>
      <c r="T66" s="7">
        <f>VLOOKUP($L66,'2026-2027 projections'!$B:$AJ,28,FALSE)</f>
        <v>-1.1097053431510329</v>
      </c>
      <c r="U66" s="7">
        <f>VLOOKUP($L66,'2026-2027 projections'!$B:$AJ,29,FALSE)</f>
        <v>-0.34169826646924195</v>
      </c>
      <c r="V66" s="7">
        <f>VLOOKUP($L66,'2026-2027 projections'!$B:$AJ,30,FALSE)</f>
        <v>0.85556076697616101</v>
      </c>
      <c r="W66" s="7">
        <f>VLOOKUP($L66,'2026-2027 projections'!$B:$AJ,31,FALSE)</f>
        <v>1.1541650900454252</v>
      </c>
    </row>
    <row r="67" spans="1:23">
      <c r="B67" s="9" t="e">
        <f>VLOOKUP($A67,'2026-2027 projections'!$B:$AJ,23,FALSE)</f>
        <v>#N/A</v>
      </c>
      <c r="C67" s="9" t="e">
        <f>VLOOKUP($A67,'2026-2027 projections'!$B:$AJ,24,FALSE)</f>
        <v>#N/A</v>
      </c>
      <c r="D67" s="9" t="e">
        <f>VLOOKUP($A67,'2026-2027 projections'!$B:$AJ,25,FALSE)</f>
        <v>#N/A</v>
      </c>
      <c r="E67" s="9" t="e">
        <f>VLOOKUP($A67,'2026-2027 projections'!$B:$AJ,26,FALSE)</f>
        <v>#N/A</v>
      </c>
      <c r="F67" s="9" t="e">
        <f>VLOOKUP($A67,'2026-2027 projections'!$B:$AJ,27,FALSE)</f>
        <v>#N/A</v>
      </c>
      <c r="G67" s="9" t="e">
        <f>VLOOKUP($A67,'2026-2027 projections'!$B:$AJ,28,FALSE)</f>
        <v>#N/A</v>
      </c>
      <c r="H67" s="9" t="e">
        <f>VLOOKUP($A67,'2026-2027 projections'!$B:$AJ,29,FALSE)</f>
        <v>#N/A</v>
      </c>
      <c r="I67" s="9" t="e">
        <f>VLOOKUP($A67,'2026-2027 projections'!$B:$AJ,30,FALSE)</f>
        <v>#N/A</v>
      </c>
      <c r="J67" s="9" t="e">
        <f>VLOOKUP($A67,'2026-2027 projections'!$B:$AJ,31,FALSE)</f>
        <v>#N/A</v>
      </c>
      <c r="L67" s="19" t="s">
        <v>138</v>
      </c>
      <c r="M67" t="e">
        <f>VLOOKUP(L67,'2026-2027 projections'!B:C,2,FALSE)</f>
        <v>#N/A</v>
      </c>
      <c r="N67" t="e">
        <f>VLOOKUP(L67,'2026-2027 projections'!B:D,3,FALSE)</f>
        <v>#N/A</v>
      </c>
      <c r="O67" s="7" t="e">
        <f>VLOOKUP($L67,'2026-2027 projections'!$B:$AJ,23,FALSE)</f>
        <v>#N/A</v>
      </c>
      <c r="P67" s="7" t="e">
        <f>VLOOKUP($L67,'2026-2027 projections'!$B:$AJ,24,FALSE)</f>
        <v>#N/A</v>
      </c>
      <c r="Q67" s="7" t="e">
        <f>VLOOKUP($L67,'2026-2027 projections'!$B:$AJ,25,FALSE)</f>
        <v>#N/A</v>
      </c>
      <c r="R67" s="7" t="e">
        <f>VLOOKUP($L67,'2026-2027 projections'!$B:$AJ,26,FALSE)</f>
        <v>#N/A</v>
      </c>
      <c r="S67" s="7" t="e">
        <f>VLOOKUP($L67,'2026-2027 projections'!$B:$AJ,27,FALSE)</f>
        <v>#N/A</v>
      </c>
      <c r="T67" s="7" t="e">
        <f>VLOOKUP($L67,'2026-2027 projections'!$B:$AJ,28,FALSE)</f>
        <v>#N/A</v>
      </c>
      <c r="U67" s="7" t="e">
        <f>VLOOKUP($L67,'2026-2027 projections'!$B:$AJ,29,FALSE)</f>
        <v>#N/A</v>
      </c>
      <c r="V67" s="7" t="e">
        <f>VLOOKUP($L67,'2026-2027 projections'!$B:$AJ,30,FALSE)</f>
        <v>#N/A</v>
      </c>
      <c r="W67" s="7" t="e">
        <f>VLOOKUP($L67,'2026-2027 projections'!$B:$AJ,31,FALSE)</f>
        <v>#N/A</v>
      </c>
    </row>
    <row r="68" spans="1:23">
      <c r="B68" s="9" t="e">
        <f>VLOOKUP($A68,'2026-2027 projections'!$B:$AJ,23,FALSE)</f>
        <v>#N/A</v>
      </c>
      <c r="C68" s="9" t="e">
        <f>VLOOKUP($A68,'2026-2027 projections'!$B:$AJ,24,FALSE)</f>
        <v>#N/A</v>
      </c>
      <c r="D68" s="9" t="e">
        <f>VLOOKUP($A68,'2026-2027 projections'!$B:$AJ,25,FALSE)</f>
        <v>#N/A</v>
      </c>
      <c r="E68" s="9" t="e">
        <f>VLOOKUP($A68,'2026-2027 projections'!$B:$AJ,26,FALSE)</f>
        <v>#N/A</v>
      </c>
      <c r="F68" s="9" t="e">
        <f>VLOOKUP($A68,'2026-2027 projections'!$B:$AJ,27,FALSE)</f>
        <v>#N/A</v>
      </c>
      <c r="G68" s="9" t="e">
        <f>VLOOKUP($A68,'2026-2027 projections'!$B:$AJ,28,FALSE)</f>
        <v>#N/A</v>
      </c>
      <c r="H68" s="9" t="e">
        <f>VLOOKUP($A68,'2026-2027 projections'!$B:$AJ,29,FALSE)</f>
        <v>#N/A</v>
      </c>
      <c r="I68" s="9" t="e">
        <f>VLOOKUP($A68,'2026-2027 projections'!$B:$AJ,30,FALSE)</f>
        <v>#N/A</v>
      </c>
      <c r="J68" s="9" t="e">
        <f>VLOOKUP($A68,'2026-2027 projections'!$B:$AJ,31,FALSE)</f>
        <v>#N/A</v>
      </c>
      <c r="L68" s="19" t="s">
        <v>154</v>
      </c>
      <c r="M68">
        <f>VLOOKUP(L68,'2026-2027 projections'!B:C,2,FALSE)</f>
        <v>64</v>
      </c>
      <c r="N68">
        <f>VLOOKUP(L68,'2026-2027 projections'!B:D,3,FALSE)</f>
        <v>99</v>
      </c>
      <c r="O68" s="7">
        <f>VLOOKUP($L68,'2026-2027 projections'!$B:$AJ,23,FALSE)</f>
        <v>2.6426688242659804</v>
      </c>
      <c r="P68" s="7">
        <f>VLOOKUP($L68,'2026-2027 projections'!$B:$AJ,24,FALSE)</f>
        <v>-1.4088406476228634</v>
      </c>
      <c r="Q68" s="7">
        <f>VLOOKUP($L68,'2026-2027 projections'!$B:$AJ,25,FALSE)</f>
        <v>-1.7541164387527013</v>
      </c>
      <c r="R68" s="7">
        <f>VLOOKUP($L68,'2026-2027 projections'!$B:$AJ,26,FALSE)</f>
        <v>-0.1319380343962937</v>
      </c>
      <c r="S68" s="7">
        <f>VLOOKUP($L68,'2026-2027 projections'!$B:$AJ,27,FALSE)</f>
        <v>2.4193427713264257</v>
      </c>
      <c r="T68" s="7">
        <f>VLOOKUP($L68,'2026-2027 projections'!$B:$AJ,28,FALSE)</f>
        <v>-0.64501623070653791</v>
      </c>
      <c r="U68" s="7">
        <f>VLOOKUP($L68,'2026-2027 projections'!$B:$AJ,29,FALSE)</f>
        <v>-1.222228414678435</v>
      </c>
      <c r="V68" s="7">
        <f>VLOOKUP($L68,'2026-2027 projections'!$B:$AJ,30,FALSE)</f>
        <v>0.65252922723329376</v>
      </c>
      <c r="W68" s="7">
        <f>VLOOKUP($L68,'2026-2027 projections'!$B:$AJ,31,FALSE)</f>
        <v>0.33538679675437699</v>
      </c>
    </row>
    <row r="69" spans="1:23">
      <c r="B69" s="9" t="e">
        <f>VLOOKUP($A69,'2026-2027 projections'!$B:$AJ,23,FALSE)</f>
        <v>#N/A</v>
      </c>
      <c r="C69" s="9" t="e">
        <f>VLOOKUP($A69,'2026-2027 projections'!$B:$AJ,24,FALSE)</f>
        <v>#N/A</v>
      </c>
      <c r="D69" s="9" t="e">
        <f>VLOOKUP($A69,'2026-2027 projections'!$B:$AJ,25,FALSE)</f>
        <v>#N/A</v>
      </c>
      <c r="E69" s="9" t="e">
        <f>VLOOKUP($A69,'2026-2027 projections'!$B:$AJ,26,FALSE)</f>
        <v>#N/A</v>
      </c>
      <c r="F69" s="9" t="e">
        <f>VLOOKUP($A69,'2026-2027 projections'!$B:$AJ,27,FALSE)</f>
        <v>#N/A</v>
      </c>
      <c r="G69" s="9" t="e">
        <f>VLOOKUP($A69,'2026-2027 projections'!$B:$AJ,28,FALSE)</f>
        <v>#N/A</v>
      </c>
      <c r="H69" s="9" t="e">
        <f>VLOOKUP($A69,'2026-2027 projections'!$B:$AJ,29,FALSE)</f>
        <v>#N/A</v>
      </c>
      <c r="I69" s="9" t="e">
        <f>VLOOKUP($A69,'2026-2027 projections'!$B:$AJ,30,FALSE)</f>
        <v>#N/A</v>
      </c>
      <c r="J69" s="9" t="e">
        <f>VLOOKUP($A69,'2026-2027 projections'!$B:$AJ,31,FALSE)</f>
        <v>#N/A</v>
      </c>
      <c r="L69" s="19" t="s">
        <v>132</v>
      </c>
      <c r="M69" t="e">
        <f>VLOOKUP(L69,'2026-2027 projections'!B:C,2,FALSE)</f>
        <v>#N/A</v>
      </c>
      <c r="N69" t="e">
        <f>VLOOKUP(L69,'2026-2027 projections'!B:D,3,FALSE)</f>
        <v>#N/A</v>
      </c>
      <c r="O69" s="7" t="e">
        <f>VLOOKUP($L69,'2026-2027 projections'!$B:$AJ,23,FALSE)</f>
        <v>#N/A</v>
      </c>
      <c r="P69" s="7" t="e">
        <f>VLOOKUP($L69,'2026-2027 projections'!$B:$AJ,24,FALSE)</f>
        <v>#N/A</v>
      </c>
      <c r="Q69" s="7" t="e">
        <f>VLOOKUP($L69,'2026-2027 projections'!$B:$AJ,25,FALSE)</f>
        <v>#N/A</v>
      </c>
      <c r="R69" s="7" t="e">
        <f>VLOOKUP($L69,'2026-2027 projections'!$B:$AJ,26,FALSE)</f>
        <v>#N/A</v>
      </c>
      <c r="S69" s="7" t="e">
        <f>VLOOKUP($L69,'2026-2027 projections'!$B:$AJ,27,FALSE)</f>
        <v>#N/A</v>
      </c>
      <c r="T69" s="7" t="e">
        <f>VLOOKUP($L69,'2026-2027 projections'!$B:$AJ,28,FALSE)</f>
        <v>#N/A</v>
      </c>
      <c r="U69" s="7" t="e">
        <f>VLOOKUP($L69,'2026-2027 projections'!$B:$AJ,29,FALSE)</f>
        <v>#N/A</v>
      </c>
      <c r="V69" s="7" t="e">
        <f>VLOOKUP($L69,'2026-2027 projections'!$B:$AJ,30,FALSE)</f>
        <v>#N/A</v>
      </c>
      <c r="W69" s="7" t="e">
        <f>VLOOKUP($L69,'2026-2027 projections'!$B:$AJ,31,FALSE)</f>
        <v>#N/A</v>
      </c>
    </row>
    <row r="70" spans="1:23">
      <c r="A70">
        <f t="shared" si="37"/>
        <v>0</v>
      </c>
      <c r="B70" s="9" t="e">
        <f>VLOOKUP($A70,'2026-2027 projections'!$B:$AJ,23,FALSE)</f>
        <v>#N/A</v>
      </c>
      <c r="C70" s="9" t="e">
        <f>VLOOKUP($A70,'2026-2027 projections'!$B:$AJ,24,FALSE)</f>
        <v>#N/A</v>
      </c>
      <c r="D70" s="9" t="e">
        <f>VLOOKUP($A70,'2026-2027 projections'!$B:$AJ,25,FALSE)</f>
        <v>#N/A</v>
      </c>
      <c r="E70" s="9" t="e">
        <f>VLOOKUP($A70,'2026-2027 projections'!$B:$AJ,26,FALSE)</f>
        <v>#N/A</v>
      </c>
      <c r="F70" s="9" t="e">
        <f>VLOOKUP($A70,'2026-2027 projections'!$B:$AJ,27,FALSE)</f>
        <v>#N/A</v>
      </c>
      <c r="G70" s="9" t="e">
        <f>VLOOKUP($A70,'2026-2027 projections'!$B:$AJ,28,FALSE)</f>
        <v>#N/A</v>
      </c>
      <c r="H70" s="9" t="e">
        <f>VLOOKUP($A70,'2026-2027 projections'!$B:$AJ,29,FALSE)</f>
        <v>#N/A</v>
      </c>
      <c r="I70" s="9" t="e">
        <f>VLOOKUP($A70,'2026-2027 projections'!$B:$AJ,30,FALSE)</f>
        <v>#N/A</v>
      </c>
      <c r="J70" s="9" t="e">
        <f>VLOOKUP($A70,'2026-2027 projections'!$B:$AJ,31,FALSE)</f>
        <v>#N/A</v>
      </c>
      <c r="L70" s="19" t="s">
        <v>156</v>
      </c>
      <c r="M70">
        <f>VLOOKUP(L70,'2026-2027 projections'!B:C,2,FALSE)</f>
        <v>107</v>
      </c>
      <c r="N70">
        <f>VLOOKUP(L70,'2026-2027 projections'!B:D,3,FALSE)</f>
        <v>100</v>
      </c>
      <c r="O70" s="7">
        <f>VLOOKUP($L70,'2026-2027 projections'!$B:$AJ,23,FALSE)</f>
        <v>-0.89317255296418774</v>
      </c>
      <c r="P70" s="7">
        <f>VLOOKUP($L70,'2026-2027 projections'!$B:$AJ,24,FALSE)</f>
        <v>-0.16084242764626422</v>
      </c>
      <c r="Q70" s="7">
        <f>VLOOKUP($L70,'2026-2027 projections'!$B:$AJ,25,FALSE)</f>
        <v>0.56062629242140904</v>
      </c>
      <c r="R70" s="7">
        <f>VLOOKUP($L70,'2026-2027 projections'!$B:$AJ,26,FALSE)</f>
        <v>-9.4080011678727121E-2</v>
      </c>
      <c r="S70" s="7">
        <f>VLOOKUP($L70,'2026-2027 projections'!$B:$AJ,27,FALSE)</f>
        <v>0.75482831972070397</v>
      </c>
      <c r="T70" s="7">
        <f>VLOOKUP($L70,'2026-2027 projections'!$B:$AJ,28,FALSE)</f>
        <v>-1.0580732195460889</v>
      </c>
      <c r="U70" s="7">
        <f>VLOOKUP($L70,'2026-2027 projections'!$B:$AJ,29,FALSE)</f>
        <v>-0.92871836527537077</v>
      </c>
      <c r="V70" s="7">
        <f>VLOOKUP($L70,'2026-2027 projections'!$B:$AJ,30,FALSE)</f>
        <v>0.44949768749042662</v>
      </c>
      <c r="W70" s="7">
        <f>VLOOKUP($L70,'2026-2027 projections'!$B:$AJ,31,FALSE)</f>
        <v>0.74477594339990116</v>
      </c>
    </row>
    <row r="71" spans="1:23">
      <c r="A71">
        <f t="shared" si="37"/>
        <v>0</v>
      </c>
      <c r="B71" s="9" t="e">
        <f>VLOOKUP($A71,'2026-2027 projections'!$B:$AJ,23,FALSE)</f>
        <v>#N/A</v>
      </c>
      <c r="C71" s="9" t="e">
        <f>VLOOKUP($A71,'2026-2027 projections'!$B:$AJ,24,FALSE)</f>
        <v>#N/A</v>
      </c>
      <c r="D71" s="9" t="e">
        <f>VLOOKUP($A71,'2026-2027 projections'!$B:$AJ,25,FALSE)</f>
        <v>#N/A</v>
      </c>
      <c r="E71" s="9" t="e">
        <f>VLOOKUP($A71,'2026-2027 projections'!$B:$AJ,26,FALSE)</f>
        <v>#N/A</v>
      </c>
      <c r="F71" s="9" t="e">
        <f>VLOOKUP($A71,'2026-2027 projections'!$B:$AJ,27,FALSE)</f>
        <v>#N/A</v>
      </c>
      <c r="G71" s="9" t="e">
        <f>VLOOKUP($A71,'2026-2027 projections'!$B:$AJ,28,FALSE)</f>
        <v>#N/A</v>
      </c>
      <c r="H71" s="9" t="e">
        <f>VLOOKUP($A71,'2026-2027 projections'!$B:$AJ,29,FALSE)</f>
        <v>#N/A</v>
      </c>
      <c r="I71" s="9" t="e">
        <f>VLOOKUP($A71,'2026-2027 projections'!$B:$AJ,30,FALSE)</f>
        <v>#N/A</v>
      </c>
      <c r="J71" s="9" t="e">
        <f>VLOOKUP($A71,'2026-2027 projections'!$B:$AJ,31,FALSE)</f>
        <v>#N/A</v>
      </c>
      <c r="L71" s="19" t="s">
        <v>123</v>
      </c>
      <c r="M71">
        <f>VLOOKUP(L71,'2026-2027 projections'!B:C,2,FALSE)</f>
        <v>24</v>
      </c>
      <c r="N71">
        <f>VLOOKUP(L71,'2026-2027 projections'!B:D,3,FALSE)</f>
        <v>21</v>
      </c>
      <c r="O71" s="7">
        <f>VLOOKUP($L71,'2026-2027 projections'!$B:$AJ,23,FALSE)</f>
        <v>-0.29573276943822469</v>
      </c>
      <c r="P71" s="7">
        <f>VLOOKUP($L71,'2026-2027 projections'!$B:$AJ,24,FALSE)</f>
        <v>1.9333290468938691</v>
      </c>
      <c r="Q71" s="7">
        <f>VLOOKUP($L71,'2026-2027 projections'!$B:$AJ,25,FALSE)</f>
        <v>0.98148860718033804</v>
      </c>
      <c r="R71" s="7">
        <f>VLOOKUP($L71,'2026-2027 projections'!$B:$AJ,26,FALSE)</f>
        <v>1.6284600219705434</v>
      </c>
      <c r="S71" s="7">
        <f>VLOOKUP($L71,'2026-2027 projections'!$B:$AJ,27,FALSE)</f>
        <v>-0.45194465769344422</v>
      </c>
      <c r="T71" s="7">
        <f>VLOOKUP($L71,'2026-2027 projections'!$B:$AJ,28,FALSE)</f>
        <v>1.0588438482566112</v>
      </c>
      <c r="U71" s="7">
        <f>VLOOKUP($L71,'2026-2027 projections'!$B:$AJ,29,FALSE)</f>
        <v>0.24532183233688692</v>
      </c>
      <c r="V71" s="7">
        <f>VLOOKUP($L71,'2026-2027 projections'!$B:$AJ,30,FALSE)</f>
        <v>-0.76869155096677622</v>
      </c>
      <c r="W71" s="7">
        <f>VLOOKUP($L71,'2026-2027 projections'!$B:$AJ,31,FALSE)</f>
        <v>-1.5750958875914021</v>
      </c>
    </row>
    <row r="72" spans="1:23">
      <c r="A72">
        <f t="shared" si="37"/>
        <v>0</v>
      </c>
      <c r="B72" s="9" t="e">
        <f>VLOOKUP($A72,'2026-2027 projections'!$B:$AJ,23,FALSE)</f>
        <v>#N/A</v>
      </c>
      <c r="C72" s="9" t="e">
        <f>VLOOKUP($A72,'2026-2027 projections'!$B:$AJ,24,FALSE)</f>
        <v>#N/A</v>
      </c>
      <c r="D72" s="9" t="e">
        <f>VLOOKUP($A72,'2026-2027 projections'!$B:$AJ,25,FALSE)</f>
        <v>#N/A</v>
      </c>
      <c r="E72" s="9" t="e">
        <f>VLOOKUP($A72,'2026-2027 projections'!$B:$AJ,26,FALSE)</f>
        <v>#N/A</v>
      </c>
      <c r="F72" s="9" t="e">
        <f>VLOOKUP($A72,'2026-2027 projections'!$B:$AJ,27,FALSE)</f>
        <v>#N/A</v>
      </c>
      <c r="G72" s="9" t="e">
        <f>VLOOKUP($A72,'2026-2027 projections'!$B:$AJ,28,FALSE)</f>
        <v>#N/A</v>
      </c>
      <c r="H72" s="9" t="e">
        <f>VLOOKUP($A72,'2026-2027 projections'!$B:$AJ,29,FALSE)</f>
        <v>#N/A</v>
      </c>
      <c r="I72" s="9" t="e">
        <f>VLOOKUP($A72,'2026-2027 projections'!$B:$AJ,30,FALSE)</f>
        <v>#N/A</v>
      </c>
      <c r="J72" s="9" t="e">
        <f>VLOOKUP($A72,'2026-2027 projections'!$B:$AJ,31,FALSE)</f>
        <v>#N/A</v>
      </c>
      <c r="L72" s="21" t="s">
        <v>162</v>
      </c>
      <c r="M72" t="e">
        <f>VLOOKUP(L72,'2026-2027 projections'!B:C,2,FALSE)</f>
        <v>#N/A</v>
      </c>
      <c r="N72" t="e">
        <f>VLOOKUP(L72,'2026-2027 projections'!B:D,3,FALSE)</f>
        <v>#N/A</v>
      </c>
      <c r="O72" s="7" t="e">
        <f>VLOOKUP($L72,'2026-2027 projections'!$B:$AJ,23,FALSE)</f>
        <v>#N/A</v>
      </c>
      <c r="P72" s="7" t="e">
        <f>VLOOKUP($L72,'2026-2027 projections'!$B:$AJ,24,FALSE)</f>
        <v>#N/A</v>
      </c>
      <c r="Q72" s="7" t="e">
        <f>VLOOKUP($L72,'2026-2027 projections'!$B:$AJ,25,FALSE)</f>
        <v>#N/A</v>
      </c>
      <c r="R72" s="7" t="e">
        <f>VLOOKUP($L72,'2026-2027 projections'!$B:$AJ,26,FALSE)</f>
        <v>#N/A</v>
      </c>
      <c r="S72" s="7" t="e">
        <f>VLOOKUP($L72,'2026-2027 projections'!$B:$AJ,27,FALSE)</f>
        <v>#N/A</v>
      </c>
      <c r="T72" s="7" t="e">
        <f>VLOOKUP($L72,'2026-2027 projections'!$B:$AJ,28,FALSE)</f>
        <v>#N/A</v>
      </c>
      <c r="U72" s="7" t="e">
        <f>VLOOKUP($L72,'2026-2027 projections'!$B:$AJ,29,FALSE)</f>
        <v>#N/A</v>
      </c>
      <c r="V72" s="7" t="e">
        <f>VLOOKUP($L72,'2026-2027 projections'!$B:$AJ,30,FALSE)</f>
        <v>#N/A</v>
      </c>
      <c r="W72" s="7" t="e">
        <f>VLOOKUP($L72,'2026-2027 projections'!$B:$AJ,31,FALSE)</f>
        <v>#N/A</v>
      </c>
    </row>
    <row r="73" spans="1:23">
      <c r="A73">
        <f t="shared" si="37"/>
        <v>0</v>
      </c>
      <c r="B73" s="9" t="e">
        <f>VLOOKUP($A73,'2026-2027 projections'!$B:$AJ,23,FALSE)</f>
        <v>#N/A</v>
      </c>
      <c r="C73" s="9" t="e">
        <f>VLOOKUP($A73,'2026-2027 projections'!$B:$AJ,24,FALSE)</f>
        <v>#N/A</v>
      </c>
      <c r="D73" s="9" t="e">
        <f>VLOOKUP($A73,'2026-2027 projections'!$B:$AJ,25,FALSE)</f>
        <v>#N/A</v>
      </c>
      <c r="E73" s="9" t="e">
        <f>VLOOKUP($A73,'2026-2027 projections'!$B:$AJ,26,FALSE)</f>
        <v>#N/A</v>
      </c>
      <c r="F73" s="9" t="e">
        <f>VLOOKUP($A73,'2026-2027 projections'!$B:$AJ,27,FALSE)</f>
        <v>#N/A</v>
      </c>
      <c r="G73" s="9" t="e">
        <f>VLOOKUP($A73,'2026-2027 projections'!$B:$AJ,28,FALSE)</f>
        <v>#N/A</v>
      </c>
      <c r="H73" s="9" t="e">
        <f>VLOOKUP($A73,'2026-2027 projections'!$B:$AJ,29,FALSE)</f>
        <v>#N/A</v>
      </c>
      <c r="I73" s="9" t="e">
        <f>VLOOKUP($A73,'2026-2027 projections'!$B:$AJ,30,FALSE)</f>
        <v>#N/A</v>
      </c>
      <c r="J73" s="9" t="e">
        <f>VLOOKUP($A73,'2026-2027 projections'!$B:$AJ,31,FALSE)</f>
        <v>#N/A</v>
      </c>
      <c r="L73" s="20" t="s">
        <v>167</v>
      </c>
      <c r="M73">
        <f>VLOOKUP(L73,'2026-2027 projections'!B:C,2,FALSE)</f>
        <v>72</v>
      </c>
      <c r="N73">
        <f>VLOOKUP(L73,'2026-2027 projections'!B:D,3,FALSE)</f>
        <v>0</v>
      </c>
      <c r="O73" s="7">
        <f>VLOOKUP($L73,'2026-2027 projections'!$B:$AJ,23,FALSE)</f>
        <v>-1.4391112838962579</v>
      </c>
      <c r="P73" s="7">
        <f>VLOOKUP($L73,'2026-2027 projections'!$B:$AJ,24,FALSE)</f>
        <v>0.73950717687121426</v>
      </c>
      <c r="Q73" s="7">
        <f>VLOOKUP($L73,'2026-2027 projections'!$B:$AJ,25,FALSE)</f>
        <v>0.56062629242140904</v>
      </c>
      <c r="R73" s="7">
        <f>VLOOKUP($L73,'2026-2027 projections'!$B:$AJ,26,FALSE)</f>
        <v>-0.15086704575507684</v>
      </c>
      <c r="S73" s="7">
        <f>VLOOKUP($L73,'2026-2027 projections'!$B:$AJ,27,FALSE)</f>
        <v>-0.70162182543430229</v>
      </c>
      <c r="T73" s="7">
        <f>VLOOKUP($L73,'2026-2027 projections'!$B:$AJ,28,FALSE)</f>
        <v>0.64578685941706004</v>
      </c>
      <c r="U73" s="7">
        <f>VLOOKUP($L73,'2026-2027 projections'!$B:$AJ,29,FALSE)</f>
        <v>2.0063821287552726</v>
      </c>
      <c r="V73" s="7">
        <f>VLOOKUP($L73,'2026-2027 projections'!$B:$AJ,30,FALSE)</f>
        <v>0.24646614774755957</v>
      </c>
      <c r="W73" s="7">
        <f>VLOOKUP($L73,'2026-2027 projections'!$B:$AJ,31,FALSE)</f>
        <v>-1.3021697898277191</v>
      </c>
    </row>
    <row r="74" spans="1:23">
      <c r="A74">
        <f t="shared" si="37"/>
        <v>0</v>
      </c>
      <c r="B74" s="9" t="e">
        <f>VLOOKUP($A74,'2026-2027 projections'!$B:$AJ,23,FALSE)</f>
        <v>#N/A</v>
      </c>
      <c r="C74" s="9" t="e">
        <f>VLOOKUP($A74,'2026-2027 projections'!$B:$AJ,24,FALSE)</f>
        <v>#N/A</v>
      </c>
      <c r="D74" s="9" t="e">
        <f>VLOOKUP($A74,'2026-2027 projections'!$B:$AJ,25,FALSE)</f>
        <v>#N/A</v>
      </c>
      <c r="E74" s="9" t="e">
        <f>VLOOKUP($A74,'2026-2027 projections'!$B:$AJ,26,FALSE)</f>
        <v>#N/A</v>
      </c>
      <c r="F74" s="9" t="e">
        <f>VLOOKUP($A74,'2026-2027 projections'!$B:$AJ,27,FALSE)</f>
        <v>#N/A</v>
      </c>
      <c r="G74" s="9" t="e">
        <f>VLOOKUP($A74,'2026-2027 projections'!$B:$AJ,28,FALSE)</f>
        <v>#N/A</v>
      </c>
      <c r="H74" s="9" t="e">
        <f>VLOOKUP($A74,'2026-2027 projections'!$B:$AJ,29,FALSE)</f>
        <v>#N/A</v>
      </c>
      <c r="I74" s="9" t="e">
        <f>VLOOKUP($A74,'2026-2027 projections'!$B:$AJ,30,FALSE)</f>
        <v>#N/A</v>
      </c>
      <c r="J74" s="9" t="e">
        <f>VLOOKUP($A74,'2026-2027 projections'!$B:$AJ,31,FALSE)</f>
        <v>#N/A</v>
      </c>
    </row>
    <row r="75" spans="1:23">
      <c r="A75">
        <f t="shared" si="37"/>
        <v>0</v>
      </c>
      <c r="B75" s="9" t="e">
        <f>VLOOKUP($A75,'2026-2027 projections'!$B:$AJ,23,FALSE)</f>
        <v>#N/A</v>
      </c>
      <c r="C75" s="9" t="e">
        <f>VLOOKUP($A75,'2026-2027 projections'!$B:$AJ,24,FALSE)</f>
        <v>#N/A</v>
      </c>
      <c r="D75" s="9" t="e">
        <f>VLOOKUP($A75,'2026-2027 projections'!$B:$AJ,25,FALSE)</f>
        <v>#N/A</v>
      </c>
      <c r="E75" s="9" t="e">
        <f>VLOOKUP($A75,'2026-2027 projections'!$B:$AJ,26,FALSE)</f>
        <v>#N/A</v>
      </c>
      <c r="F75" s="9" t="e">
        <f>VLOOKUP($A75,'2026-2027 projections'!$B:$AJ,27,FALSE)</f>
        <v>#N/A</v>
      </c>
      <c r="G75" s="9" t="e">
        <f>VLOOKUP($A75,'2026-2027 projections'!$B:$AJ,28,FALSE)</f>
        <v>#N/A</v>
      </c>
      <c r="H75" s="9" t="e">
        <f>VLOOKUP($A75,'2026-2027 projections'!$B:$AJ,29,FALSE)</f>
        <v>#N/A</v>
      </c>
      <c r="I75" s="9" t="e">
        <f>VLOOKUP($A75,'2026-2027 projections'!$B:$AJ,30,FALSE)</f>
        <v>#N/A</v>
      </c>
      <c r="J75" s="9" t="e">
        <f>VLOOKUP($A75,'2026-2027 projections'!$B:$AJ,31,FALSE)</f>
        <v>#N/A</v>
      </c>
      <c r="L75" s="20" t="s">
        <v>403</v>
      </c>
      <c r="M75" t="s">
        <v>420</v>
      </c>
      <c r="N75" t="s">
        <v>397</v>
      </c>
      <c r="O75" s="1" t="s">
        <v>6</v>
      </c>
      <c r="P75" s="1" t="s">
        <v>7</v>
      </c>
      <c r="Q75" s="1" t="s">
        <v>8</v>
      </c>
      <c r="R75" s="1" t="s">
        <v>9</v>
      </c>
      <c r="S75" s="1" t="s">
        <v>10</v>
      </c>
      <c r="T75" s="1" t="s">
        <v>11</v>
      </c>
      <c r="U75" s="1" t="s">
        <v>12</v>
      </c>
      <c r="V75" s="1" t="s">
        <v>13</v>
      </c>
      <c r="W75" s="1" t="s">
        <v>14</v>
      </c>
    </row>
    <row r="76" spans="1:23">
      <c r="A76">
        <f t="shared" si="37"/>
        <v>0</v>
      </c>
      <c r="B76" s="9" t="e">
        <f>VLOOKUP($A76,'2026-2027 projections'!$B:$AJ,23,FALSE)</f>
        <v>#N/A</v>
      </c>
      <c r="C76" s="9" t="e">
        <f>VLOOKUP($A76,'2026-2027 projections'!$B:$AJ,24,FALSE)</f>
        <v>#N/A</v>
      </c>
      <c r="D76" s="9" t="e">
        <f>VLOOKUP($A76,'2026-2027 projections'!$B:$AJ,25,FALSE)</f>
        <v>#N/A</v>
      </c>
      <c r="E76" s="9" t="e">
        <f>VLOOKUP($A76,'2026-2027 projections'!$B:$AJ,26,FALSE)</f>
        <v>#N/A</v>
      </c>
      <c r="F76" s="9" t="e">
        <f>VLOOKUP($A76,'2026-2027 projections'!$B:$AJ,27,FALSE)</f>
        <v>#N/A</v>
      </c>
      <c r="G76" s="9" t="e">
        <f>VLOOKUP($A76,'2026-2027 projections'!$B:$AJ,28,FALSE)</f>
        <v>#N/A</v>
      </c>
      <c r="H76" s="9" t="e">
        <f>VLOOKUP($A76,'2026-2027 projections'!$B:$AJ,29,FALSE)</f>
        <v>#N/A</v>
      </c>
      <c r="I76" s="9" t="e">
        <f>VLOOKUP($A76,'2026-2027 projections'!$B:$AJ,30,FALSE)</f>
        <v>#N/A</v>
      </c>
      <c r="J76" s="9" t="e">
        <f>VLOOKUP($A76,'2026-2027 projections'!$B:$AJ,31,FALSE)</f>
        <v>#N/A</v>
      </c>
      <c r="L76" s="19" t="s">
        <v>129</v>
      </c>
      <c r="M76">
        <f>VLOOKUP(L76,'2026-2027 projections'!B:C,2,FALSE)</f>
        <v>155</v>
      </c>
      <c r="N76">
        <f>VLOOKUP(L76,'2026-2027 projections'!B:D,3,FALSE)</f>
        <v>187</v>
      </c>
      <c r="O76" s="7">
        <f>VLOOKUP($L76,'2026-2027 projections'!$B:$AJ,23,FALSE)</f>
        <v>-1.2937456567131207</v>
      </c>
      <c r="P76" s="7">
        <f>VLOOKUP($L76,'2026-2027 projections'!$B:$AJ,24,FALSE)</f>
        <v>0.23157834117101753</v>
      </c>
      <c r="Q76" s="7">
        <f>VLOOKUP($L76,'2026-2027 projections'!$B:$AJ,25,FALSE)</f>
        <v>-0.38631391578618157</v>
      </c>
      <c r="R76" s="7">
        <f>VLOOKUP($L76,'2026-2027 projections'!$B:$AJ,26,FALSE)</f>
        <v>-1.2676787159232854</v>
      </c>
      <c r="S76" s="7">
        <f>VLOOKUP($L76,'2026-2027 projections'!$B:$AJ,27,FALSE)</f>
        <v>-0.90968613188501746</v>
      </c>
      <c r="T76" s="7">
        <f>VLOOKUP($L76,'2026-2027 projections'!$B:$AJ,28,FALSE)</f>
        <v>-0.38685561268181834</v>
      </c>
      <c r="U76" s="7">
        <f>VLOOKUP($L76,'2026-2027 projections'!$B:$AJ,29,FALSE)</f>
        <v>1.7128720793522085</v>
      </c>
      <c r="V76" s="7">
        <f>VLOOKUP($L76,'2026-2027 projections'!$B:$AJ,30,FALSE)</f>
        <v>-0.36262847148104194</v>
      </c>
      <c r="W76" s="7">
        <f>VLOOKUP($L76,'2026-2027 projections'!$B:$AJ,31,FALSE)</f>
        <v>0.60831289451805992</v>
      </c>
    </row>
    <row r="77" spans="1:23">
      <c r="A77">
        <f t="shared" si="37"/>
        <v>0</v>
      </c>
      <c r="B77" s="9" t="e">
        <f>VLOOKUP($A77,'2026-2027 projections'!$B:$AJ,23,FALSE)</f>
        <v>#N/A</v>
      </c>
      <c r="C77" s="9" t="e">
        <f>VLOOKUP($A77,'2026-2027 projections'!$B:$AJ,24,FALSE)</f>
        <v>#N/A</v>
      </c>
      <c r="D77" s="9" t="e">
        <f>VLOOKUP($A77,'2026-2027 projections'!$B:$AJ,25,FALSE)</f>
        <v>#N/A</v>
      </c>
      <c r="E77" s="9" t="e">
        <f>VLOOKUP($A77,'2026-2027 projections'!$B:$AJ,26,FALSE)</f>
        <v>#N/A</v>
      </c>
      <c r="F77" s="9" t="e">
        <f>VLOOKUP($A77,'2026-2027 projections'!$B:$AJ,27,FALSE)</f>
        <v>#N/A</v>
      </c>
      <c r="G77" s="9" t="e">
        <f>VLOOKUP($A77,'2026-2027 projections'!$B:$AJ,28,FALSE)</f>
        <v>#N/A</v>
      </c>
      <c r="H77" s="9" t="e">
        <f>VLOOKUP($A77,'2026-2027 projections'!$B:$AJ,29,FALSE)</f>
        <v>#N/A</v>
      </c>
      <c r="I77" s="9" t="e">
        <f>VLOOKUP($A77,'2026-2027 projections'!$B:$AJ,30,FALSE)</f>
        <v>#N/A</v>
      </c>
      <c r="J77" s="9" t="e">
        <f>VLOOKUP($A77,'2026-2027 projections'!$B:$AJ,31,FALSE)</f>
        <v>#N/A</v>
      </c>
      <c r="L77" s="19" t="s">
        <v>198</v>
      </c>
      <c r="M77" t="e">
        <f>VLOOKUP(L77,'2026-2027 projections'!B:C,2,FALSE)</f>
        <v>#N/A</v>
      </c>
      <c r="N77" t="e">
        <f>VLOOKUP(L77,'2026-2027 projections'!B:D,3,FALSE)</f>
        <v>#N/A</v>
      </c>
      <c r="O77" s="7" t="e">
        <f>VLOOKUP($L77,'2026-2027 projections'!$B:$AJ,23,FALSE)</f>
        <v>#N/A</v>
      </c>
      <c r="P77" s="7" t="e">
        <f>VLOOKUP($L77,'2026-2027 projections'!$B:$AJ,24,FALSE)</f>
        <v>#N/A</v>
      </c>
      <c r="Q77" s="7" t="e">
        <f>VLOOKUP($L77,'2026-2027 projections'!$B:$AJ,25,FALSE)</f>
        <v>#N/A</v>
      </c>
      <c r="R77" s="7" t="e">
        <f>VLOOKUP($L77,'2026-2027 projections'!$B:$AJ,26,FALSE)</f>
        <v>#N/A</v>
      </c>
      <c r="S77" s="7" t="e">
        <f>VLOOKUP($L77,'2026-2027 projections'!$B:$AJ,27,FALSE)</f>
        <v>#N/A</v>
      </c>
      <c r="T77" s="7" t="e">
        <f>VLOOKUP($L77,'2026-2027 projections'!$B:$AJ,28,FALSE)</f>
        <v>#N/A</v>
      </c>
      <c r="U77" s="7" t="e">
        <f>VLOOKUP($L77,'2026-2027 projections'!$B:$AJ,29,FALSE)</f>
        <v>#N/A</v>
      </c>
      <c r="V77" s="7" t="e">
        <f>VLOOKUP($L77,'2026-2027 projections'!$B:$AJ,30,FALSE)</f>
        <v>#N/A</v>
      </c>
      <c r="W77" s="7" t="e">
        <f>VLOOKUP($L77,'2026-2027 projections'!$B:$AJ,31,FALSE)</f>
        <v>#N/A</v>
      </c>
    </row>
    <row r="78" spans="1:23">
      <c r="L78" s="19" t="s">
        <v>114</v>
      </c>
      <c r="M78">
        <f>VLOOKUP(L78,'2026-2027 projections'!B:C,2,FALSE)</f>
        <v>160</v>
      </c>
      <c r="N78" t="e">
        <f>VLOOKUP(L78,'2026-2027 projections'!B:D,3,FALSE)</f>
        <v>#N/A</v>
      </c>
      <c r="O78" s="7">
        <f>VLOOKUP($L78,'2026-2027 projections'!$B:$AJ,23,FALSE)</f>
        <v>-0.55139980328475235</v>
      </c>
      <c r="P78" s="7">
        <f>VLOOKUP($L78,'2026-2027 projections'!$B:$AJ,24,FALSE)</f>
        <v>1.7683978381188473E-2</v>
      </c>
      <c r="Q78" s="7">
        <f>VLOOKUP($L78,'2026-2027 projections'!$B:$AJ,25,FALSE)</f>
        <v>-0.59674507316564607</v>
      </c>
      <c r="R78" s="7">
        <f>VLOOKUP($L78,'2026-2027 projections'!$B:$AJ,26,FALSE)</f>
        <v>-1.7030459771752986</v>
      </c>
      <c r="S78" s="7">
        <f>VLOOKUP($L78,'2026-2027 projections'!$B:$AJ,27,FALSE)</f>
        <v>-1.1177504383357326</v>
      </c>
      <c r="T78" s="7">
        <f>VLOOKUP($L78,'2026-2027 projections'!$B:$AJ,28,FALSE)</f>
        <v>-0.64501623070653791</v>
      </c>
      <c r="U78" s="7">
        <f>VLOOKUP($L78,'2026-2027 projections'!$B:$AJ,29,FALSE)</f>
        <v>1.4193620299491441</v>
      </c>
      <c r="V78" s="7">
        <f>VLOOKUP($L78,'2026-2027 projections'!$B:$AJ,30,FALSE)</f>
        <v>-0.36262847148104194</v>
      </c>
      <c r="W78" s="7">
        <f>VLOOKUP($L78,'2026-2027 projections'!$B:$AJ,31,FALSE)</f>
        <v>1.4270911878091079</v>
      </c>
    </row>
    <row r="79" spans="1:23">
      <c r="L79" s="19" t="s">
        <v>134</v>
      </c>
      <c r="M79">
        <f>VLOOKUP(L79,'2026-2027 projections'!B:C,2,FALSE)</f>
        <v>195</v>
      </c>
      <c r="N79">
        <f>VLOOKUP(L79,'2026-2027 projections'!B:D,3,FALSE)</f>
        <v>131</v>
      </c>
      <c r="O79" s="7">
        <f>VLOOKUP($L79,'2026-2027 projections'!$B:$AJ,23,FALSE)</f>
        <v>-3.0062705447798897E-2</v>
      </c>
      <c r="P79" s="7">
        <f>VLOOKUP($L79,'2026-2027 projections'!$B:$AJ,24,FALSE)</f>
        <v>0.96224352885163678</v>
      </c>
      <c r="Q79" s="7">
        <f>VLOOKUP($L79,'2026-2027 projections'!$B:$AJ,25,FALSE)</f>
        <v>-0.17588275840671705</v>
      </c>
      <c r="R79" s="7">
        <f>VLOOKUP($L79,'2026-2027 projections'!$B:$AJ,26,FALSE)</f>
        <v>-0.24551210254899281</v>
      </c>
      <c r="S79" s="7">
        <f>VLOOKUP($L79,'2026-2027 projections'!$B:$AJ,27,FALSE)</f>
        <v>-1.4506533286568768</v>
      </c>
      <c r="T79" s="7">
        <f>VLOOKUP($L79,'2026-2027 projections'!$B:$AJ,28,FALSE)</f>
        <v>-0.23195924186698647</v>
      </c>
      <c r="U79" s="7">
        <f>VLOOKUP($L79,'2026-2027 projections'!$B:$AJ,29,FALSE)</f>
        <v>-0.6352083158723062</v>
      </c>
      <c r="V79" s="7">
        <f>VLOOKUP($L79,'2026-2027 projections'!$B:$AJ,30,FALSE)</f>
        <v>-1.1747546304525105</v>
      </c>
      <c r="W79" s="7">
        <f>VLOOKUP($L79,'2026-2027 projections'!$B:$AJ,31,FALSE)</f>
        <v>-0.21046539877298837</v>
      </c>
    </row>
    <row r="80" spans="1:23">
      <c r="B80" s="1" t="s">
        <v>6</v>
      </c>
      <c r="C80" s="1" t="s">
        <v>7</v>
      </c>
      <c r="D80" s="1" t="s">
        <v>8</v>
      </c>
      <c r="E80" s="1" t="s">
        <v>9</v>
      </c>
      <c r="F80" s="1" t="s">
        <v>10</v>
      </c>
      <c r="G80" s="1" t="s">
        <v>11</v>
      </c>
      <c r="H80" s="1" t="s">
        <v>12</v>
      </c>
      <c r="I80" s="1" t="s">
        <v>13</v>
      </c>
      <c r="J80" s="1" t="s">
        <v>14</v>
      </c>
      <c r="K80" s="7"/>
      <c r="L80" s="19" t="s">
        <v>150</v>
      </c>
      <c r="M80">
        <f>VLOOKUP(L80,'2026-2027 projections'!B:C,2,FALSE)</f>
        <v>76</v>
      </c>
      <c r="N80">
        <f>VLOOKUP(L80,'2026-2027 projections'!B:D,3,FALSE)</f>
        <v>135</v>
      </c>
      <c r="O80" s="7">
        <f>VLOOKUP($L80,'2026-2027 projections'!$B:$AJ,23,FALSE)</f>
        <v>2.6613498277276846</v>
      </c>
      <c r="P80" s="7">
        <f>VLOOKUP($L80,'2026-2027 projections'!$B:$AJ,24,FALSE)</f>
        <v>-1.1413321422842793</v>
      </c>
      <c r="Q80" s="7">
        <f>VLOOKUP($L80,'2026-2027 projections'!$B:$AJ,25,FALSE)</f>
        <v>-1.7541164387527013</v>
      </c>
      <c r="R80" s="7">
        <f>VLOOKUP($L80,'2026-2027 projections'!$B:$AJ,26,FALSE)</f>
        <v>-0.66195035244222289</v>
      </c>
      <c r="S80" s="7">
        <f>VLOOKUP($L80,'2026-2027 projections'!$B:$AJ,27,FALSE)</f>
        <v>1.046118348751705</v>
      </c>
      <c r="T80" s="7">
        <f>VLOOKUP($L80,'2026-2027 projections'!$B:$AJ,28,FALSE)</f>
        <v>-0.64501623070653791</v>
      </c>
      <c r="U80" s="7">
        <f>VLOOKUP($L80,'2026-2027 projections'!$B:$AJ,29,FALSE)</f>
        <v>-4.818821706617768E-2</v>
      </c>
      <c r="V80" s="7">
        <f>VLOOKUP($L80,'2026-2027 projections'!$B:$AJ,30,FALSE)</f>
        <v>0.65252922723329376</v>
      </c>
      <c r="W80" s="7">
        <f>VLOOKUP($L80,'2026-2027 projections'!$B:$AJ,31,FALSE)</f>
        <v>0.33538679675437699</v>
      </c>
    </row>
    <row r="81" spans="1:23">
      <c r="B81" s="7">
        <f>AVERAGEIF(B58:B72, "&lt;&gt;#N/A")</f>
        <v>1.373754579288343</v>
      </c>
      <c r="C81" s="7">
        <f>AVERAGEIF(C58:C72, "&lt;&gt;#N/A")</f>
        <v>0.64112088096429776</v>
      </c>
      <c r="D81" s="7">
        <f t="shared" ref="D81:J81" si="38">AVERAGEIF(D58:D72, "&lt;&gt;#N/A")</f>
        <v>0.66584187111114113</v>
      </c>
      <c r="E81" s="7">
        <f t="shared" si="38"/>
        <v>1.3161313345506207</v>
      </c>
      <c r="F81" s="7">
        <f t="shared" si="38"/>
        <v>0.96289262617141902</v>
      </c>
      <c r="G81" s="7">
        <f t="shared" si="38"/>
        <v>3.2790251632691993</v>
      </c>
      <c r="H81" s="7">
        <f t="shared" si="38"/>
        <v>1.2726070052476119</v>
      </c>
      <c r="I81" s="7">
        <f t="shared" si="38"/>
        <v>-5.8081161866741282E-2</v>
      </c>
      <c r="J81" s="7">
        <f t="shared" si="38"/>
        <v>-0.90053812606373207</v>
      </c>
      <c r="K81" s="7">
        <f>AVERAGE(B81:J81)</f>
        <v>0.95030601918579549</v>
      </c>
      <c r="L81" s="19" t="s">
        <v>167</v>
      </c>
      <c r="M81">
        <f>VLOOKUP(L81,'2026-2027 projections'!B:C,2,FALSE)</f>
        <v>72</v>
      </c>
      <c r="N81">
        <f>VLOOKUP(L81,'2026-2027 projections'!B:D,3,FALSE)</f>
        <v>0</v>
      </c>
      <c r="O81" s="7">
        <f>VLOOKUP($L81,'2026-2027 projections'!$B:$AJ,23,FALSE)</f>
        <v>-1.4391112838962579</v>
      </c>
      <c r="P81" s="7">
        <f>VLOOKUP($L81,'2026-2027 projections'!$B:$AJ,24,FALSE)</f>
        <v>0.73950717687121426</v>
      </c>
      <c r="Q81" s="7">
        <f>VLOOKUP($L81,'2026-2027 projections'!$B:$AJ,25,FALSE)</f>
        <v>0.56062629242140904</v>
      </c>
      <c r="R81" s="7">
        <f>VLOOKUP($L81,'2026-2027 projections'!$B:$AJ,26,FALSE)</f>
        <v>-0.15086704575507684</v>
      </c>
      <c r="S81" s="7">
        <f>VLOOKUP($L81,'2026-2027 projections'!$B:$AJ,27,FALSE)</f>
        <v>-0.70162182543430229</v>
      </c>
      <c r="T81" s="7">
        <f>VLOOKUP($L81,'2026-2027 projections'!$B:$AJ,28,FALSE)</f>
        <v>0.64578685941706004</v>
      </c>
      <c r="U81" s="7">
        <f>VLOOKUP($L81,'2026-2027 projections'!$B:$AJ,29,FALSE)</f>
        <v>2.0063821287552726</v>
      </c>
      <c r="V81" s="7">
        <f>VLOOKUP($L81,'2026-2027 projections'!$B:$AJ,30,FALSE)</f>
        <v>0.24646614774755957</v>
      </c>
      <c r="W81" s="7">
        <f>VLOOKUP($L81,'2026-2027 projections'!$B:$AJ,31,FALSE)</f>
        <v>-1.3021697898277191</v>
      </c>
    </row>
    <row r="82" spans="1:23">
      <c r="L82" s="20" t="s">
        <v>113</v>
      </c>
      <c r="M82" t="e">
        <f>VLOOKUP(L82,'2026-2027 projections'!B:C,2,FALSE)</f>
        <v>#N/A</v>
      </c>
      <c r="N82" t="e">
        <f>VLOOKUP(L82,'2026-2027 projections'!B:D,3,FALSE)</f>
        <v>#N/A</v>
      </c>
      <c r="O82" s="7" t="e">
        <f>VLOOKUP($L82,'2026-2027 projections'!$B:$AJ,23,FALSE)</f>
        <v>#N/A</v>
      </c>
      <c r="P82" s="7" t="e">
        <f>VLOOKUP($L82,'2026-2027 projections'!$B:$AJ,24,FALSE)</f>
        <v>#N/A</v>
      </c>
      <c r="Q82" s="7" t="e">
        <f>VLOOKUP($L82,'2026-2027 projections'!$B:$AJ,25,FALSE)</f>
        <v>#N/A</v>
      </c>
      <c r="R82" s="7" t="e">
        <f>VLOOKUP($L82,'2026-2027 projections'!$B:$AJ,26,FALSE)</f>
        <v>#N/A</v>
      </c>
      <c r="S82" s="7" t="e">
        <f>VLOOKUP($L82,'2026-2027 projections'!$B:$AJ,27,FALSE)</f>
        <v>#N/A</v>
      </c>
      <c r="T82" s="7" t="e">
        <f>VLOOKUP($L82,'2026-2027 projections'!$B:$AJ,28,FALSE)</f>
        <v>#N/A</v>
      </c>
      <c r="U82" s="7" t="e">
        <f>VLOOKUP($L82,'2026-2027 projections'!$B:$AJ,29,FALSE)</f>
        <v>#N/A</v>
      </c>
      <c r="V82" s="7" t="e">
        <f>VLOOKUP($L82,'2026-2027 projections'!$B:$AJ,30,FALSE)</f>
        <v>#N/A</v>
      </c>
      <c r="W82" s="7" t="e">
        <f>VLOOKUP($L82,'2026-2027 projections'!$B:$AJ,31,FALSE)</f>
        <v>#N/A</v>
      </c>
    </row>
    <row r="83" spans="1:23">
      <c r="L83" s="19" t="s">
        <v>178</v>
      </c>
      <c r="M83" t="e">
        <f>VLOOKUP(L83,'2026-2027 projections'!B:C,2,FALSE)</f>
        <v>#N/A</v>
      </c>
      <c r="N83" t="e">
        <f>VLOOKUP(L83,'2026-2027 projections'!B:D,3,FALSE)</f>
        <v>#N/A</v>
      </c>
      <c r="O83" s="7" t="e">
        <f>VLOOKUP($L83,'2026-2027 projections'!$B:$AJ,23,FALSE)</f>
        <v>#N/A</v>
      </c>
      <c r="P83" s="7" t="e">
        <f>VLOOKUP($L83,'2026-2027 projections'!$B:$AJ,24,FALSE)</f>
        <v>#N/A</v>
      </c>
      <c r="Q83" s="7" t="e">
        <f>VLOOKUP($L83,'2026-2027 projections'!$B:$AJ,25,FALSE)</f>
        <v>#N/A</v>
      </c>
      <c r="R83" s="7" t="e">
        <f>VLOOKUP($L83,'2026-2027 projections'!$B:$AJ,26,FALSE)</f>
        <v>#N/A</v>
      </c>
      <c r="S83" s="7" t="e">
        <f>VLOOKUP($L83,'2026-2027 projections'!$B:$AJ,27,FALSE)</f>
        <v>#N/A</v>
      </c>
      <c r="T83" s="7" t="e">
        <f>VLOOKUP($L83,'2026-2027 projections'!$B:$AJ,28,FALSE)</f>
        <v>#N/A</v>
      </c>
      <c r="U83" s="7" t="e">
        <f>VLOOKUP($L83,'2026-2027 projections'!$B:$AJ,29,FALSE)</f>
        <v>#N/A</v>
      </c>
      <c r="V83" s="7" t="e">
        <f>VLOOKUP($L83,'2026-2027 projections'!$B:$AJ,30,FALSE)</f>
        <v>#N/A</v>
      </c>
      <c r="W83" s="7" t="e">
        <f>VLOOKUP($L83,'2026-2027 projections'!$B:$AJ,31,FALSE)</f>
        <v>#N/A</v>
      </c>
    </row>
    <row r="84" spans="1:23">
      <c r="L84" s="19" t="s">
        <v>136</v>
      </c>
      <c r="M84">
        <f>VLOOKUP(L84,'2026-2027 projections'!B:C,2,FALSE)</f>
        <v>39</v>
      </c>
      <c r="N84">
        <f>VLOOKUP(L84,'2026-2027 projections'!B:D,3,FALSE)</f>
        <v>11</v>
      </c>
      <c r="O84" s="7">
        <f>VLOOKUP($L84,'2026-2027 projections'!$B:$AJ,23,FALSE)</f>
        <v>2.534205646725519</v>
      </c>
      <c r="P84" s="7">
        <f>VLOOKUP($L84,'2026-2027 projections'!$B:$AJ,24,FALSE)</f>
        <v>-1.9703836258718144</v>
      </c>
      <c r="Q84" s="7">
        <f>VLOOKUP($L84,'2026-2027 projections'!$B:$AJ,25,FALSE)</f>
        <v>-1.2280385453040399</v>
      </c>
      <c r="R84" s="7">
        <f>VLOOKUP($L84,'2026-2027 projections'!$B:$AJ,26,FALSE)</f>
        <v>-0.77552442059492199</v>
      </c>
      <c r="S84" s="7">
        <f>VLOOKUP($L84,'2026-2027 projections'!$B:$AJ,27,FALSE)</f>
        <v>2.1280527422954245</v>
      </c>
      <c r="T84" s="7">
        <f>VLOOKUP($L84,'2026-2027 projections'!$B:$AJ,28,FALSE)</f>
        <v>-0.95480897233620121</v>
      </c>
      <c r="U84" s="7">
        <f>VLOOKUP($L84,'2026-2027 projections'!$B:$AJ,29,FALSE)</f>
        <v>-0.92871836527537077</v>
      </c>
      <c r="V84" s="7">
        <f>VLOOKUP($L84,'2026-2027 projections'!$B:$AJ,30,FALSE)</f>
        <v>3.0889077041476996</v>
      </c>
      <c r="W84" s="7">
        <f>VLOOKUP($L84,'2026-2027 projections'!$B:$AJ,31,FALSE)</f>
        <v>-7.4002349891146874E-2</v>
      </c>
    </row>
    <row r="85" spans="1:23">
      <c r="L85" s="19" t="s">
        <v>386</v>
      </c>
      <c r="M85" t="e">
        <f>VLOOKUP(L85,'2026-2027 projections'!B:C,2,FALSE)</f>
        <v>#N/A</v>
      </c>
      <c r="N85" t="e">
        <f>VLOOKUP(L85,'2026-2027 projections'!B:D,3,FALSE)</f>
        <v>#N/A</v>
      </c>
      <c r="O85" s="7" t="e">
        <f>VLOOKUP($L85,'2026-2027 projections'!$B:$AJ,23,FALSE)</f>
        <v>#N/A</v>
      </c>
      <c r="P85" s="7" t="e">
        <f>VLOOKUP($L85,'2026-2027 projections'!$B:$AJ,24,FALSE)</f>
        <v>#N/A</v>
      </c>
      <c r="Q85" s="7" t="e">
        <f>VLOOKUP($L85,'2026-2027 projections'!$B:$AJ,25,FALSE)</f>
        <v>#N/A</v>
      </c>
      <c r="R85" s="7" t="e">
        <f>VLOOKUP($L85,'2026-2027 projections'!$B:$AJ,26,FALSE)</f>
        <v>#N/A</v>
      </c>
      <c r="S85" s="7" t="e">
        <f>VLOOKUP($L85,'2026-2027 projections'!$B:$AJ,27,FALSE)</f>
        <v>#N/A</v>
      </c>
      <c r="T85" s="7" t="e">
        <f>VLOOKUP($L85,'2026-2027 projections'!$B:$AJ,28,FALSE)</f>
        <v>#N/A</v>
      </c>
      <c r="U85" s="7" t="e">
        <f>VLOOKUP($L85,'2026-2027 projections'!$B:$AJ,29,FALSE)</f>
        <v>#N/A</v>
      </c>
      <c r="V85" s="7" t="e">
        <f>VLOOKUP($L85,'2026-2027 projections'!$B:$AJ,30,FALSE)</f>
        <v>#N/A</v>
      </c>
      <c r="W85" s="7" t="e">
        <f>VLOOKUP($L85,'2026-2027 projections'!$B:$AJ,31,FALSE)</f>
        <v>#N/A</v>
      </c>
    </row>
    <row r="86" spans="1:23">
      <c r="A86" t="s">
        <v>247</v>
      </c>
      <c r="B86" s="1" t="s">
        <v>6</v>
      </c>
      <c r="C86" s="1" t="s">
        <v>7</v>
      </c>
      <c r="D86" s="1" t="s">
        <v>8</v>
      </c>
      <c r="E86" s="1" t="s">
        <v>9</v>
      </c>
      <c r="F86" s="1" t="s">
        <v>10</v>
      </c>
      <c r="G86" s="1" t="s">
        <v>11</v>
      </c>
      <c r="H86" s="1" t="s">
        <v>12</v>
      </c>
      <c r="I86" s="1" t="s">
        <v>13</v>
      </c>
      <c r="J86" s="1" t="s">
        <v>14</v>
      </c>
      <c r="L86" s="19" t="s">
        <v>175</v>
      </c>
      <c r="M86">
        <f>VLOOKUP(L86,'2026-2027 projections'!B:C,2,FALSE)</f>
        <v>62</v>
      </c>
      <c r="N86">
        <f>VLOOKUP(L86,'2026-2027 projections'!B:D,3,FALSE)</f>
        <v>97</v>
      </c>
      <c r="O86" s="7">
        <f>VLOOKUP($L86,'2026-2027 projections'!$B:$AJ,23,FALSE)</f>
        <v>-0.76602837196202189</v>
      </c>
      <c r="P86" s="7">
        <f>VLOOKUP($L86,'2026-2027 projections'!$B:$AJ,24,FALSE)</f>
        <v>-0.31228065869674465</v>
      </c>
      <c r="Q86" s="7">
        <f>VLOOKUP($L86,'2026-2027 projections'!$B:$AJ,25,FALSE)</f>
        <v>0.87627302849060573</v>
      </c>
      <c r="R86" s="7">
        <f>VLOOKUP($L86,'2026-2027 projections'!$B:$AJ,26,FALSE)</f>
        <v>3.8423067832755432E-2</v>
      </c>
      <c r="S86" s="7">
        <f>VLOOKUP($L86,'2026-2027 projections'!$B:$AJ,27,FALSE)</f>
        <v>0.58837687456013166</v>
      </c>
      <c r="T86" s="7">
        <f>VLOOKUP($L86,'2026-2027 projections'!$B:$AJ,28,FALSE)</f>
        <v>-0.54175198349664999</v>
      </c>
      <c r="U86" s="7">
        <f>VLOOKUP($L86,'2026-2027 projections'!$B:$AJ,29,FALSE)</f>
        <v>-4.818821706617768E-2</v>
      </c>
      <c r="V86" s="7">
        <f>VLOOKUP($L86,'2026-2027 projections'!$B:$AJ,30,FALSE)</f>
        <v>0.85556076697616101</v>
      </c>
      <c r="W86" s="7">
        <f>VLOOKUP($L86,'2026-2027 projections'!$B:$AJ,31,FALSE)</f>
        <v>0.19892374787253581</v>
      </c>
    </row>
    <row r="87" spans="1:23">
      <c r="A87" s="17" t="str">
        <f>A2</f>
        <v>Nikola Jokic</v>
      </c>
      <c r="B87" s="9">
        <f>VLOOKUP($A87,'2026-2027 projections'!$B:$AJ,23,FALSE)</f>
        <v>3.0692222329522236</v>
      </c>
      <c r="C87" s="9">
        <f>VLOOKUP($A87,'2026-2027 projections'!$B:$AJ,24,FALSE)</f>
        <v>0.67648883772667356</v>
      </c>
      <c r="D87" s="9">
        <f>VLOOKUP($A87,'2026-2027 projections'!$B:$AJ,25,FALSE)</f>
        <v>0.13976397766247983</v>
      </c>
      <c r="E87" s="9">
        <f>VLOOKUP($A87,'2026-2027 projections'!$B:$AJ,26,FALSE)</f>
        <v>2.3666914649630879</v>
      </c>
      <c r="F87" s="9">
        <f>VLOOKUP($A87,'2026-2027 projections'!$B:$AJ,27,FALSE)</f>
        <v>2.9186971068081418</v>
      </c>
      <c r="G87" s="9">
        <f>VLOOKUP($A87,'2026-2027 projections'!$B:$AJ,28,FALSE)</f>
        <v>3.4855536576889752</v>
      </c>
      <c r="H87" s="9">
        <f>VLOOKUP($A87,'2026-2027 projections'!$B:$AJ,29,FALSE)</f>
        <v>1.7128720793522085</v>
      </c>
      <c r="I87" s="9">
        <f>VLOOKUP($A87,'2026-2027 projections'!$B:$AJ,30,FALSE)</f>
        <v>4.3434608004692253E-2</v>
      </c>
      <c r="J87" s="9">
        <f>VLOOKUP($A87,'2026-2027 projections'!$B:$AJ,31,FALSE)</f>
        <v>-2</v>
      </c>
      <c r="L87" s="19" t="s">
        <v>158</v>
      </c>
      <c r="M87" t="e">
        <f>VLOOKUP(L87,'2026-2027 projections'!B:C,2,FALSE)</f>
        <v>#N/A</v>
      </c>
      <c r="N87" t="e">
        <f>VLOOKUP(L87,'2026-2027 projections'!B:D,3,FALSE)</f>
        <v>#N/A</v>
      </c>
      <c r="O87" s="7" t="e">
        <f>VLOOKUP($L87,'2026-2027 projections'!$B:$AJ,23,FALSE)</f>
        <v>#N/A</v>
      </c>
      <c r="P87" s="7" t="e">
        <f>VLOOKUP($L87,'2026-2027 projections'!$B:$AJ,24,FALSE)</f>
        <v>#N/A</v>
      </c>
      <c r="Q87" s="7" t="e">
        <f>VLOOKUP($L87,'2026-2027 projections'!$B:$AJ,25,FALSE)</f>
        <v>#N/A</v>
      </c>
      <c r="R87" s="7" t="e">
        <f>VLOOKUP($L87,'2026-2027 projections'!$B:$AJ,26,FALSE)</f>
        <v>#N/A</v>
      </c>
      <c r="S87" s="7" t="e">
        <f>VLOOKUP($L87,'2026-2027 projections'!$B:$AJ,27,FALSE)</f>
        <v>#N/A</v>
      </c>
      <c r="T87" s="7" t="e">
        <f>VLOOKUP($L87,'2026-2027 projections'!$B:$AJ,28,FALSE)</f>
        <v>#N/A</v>
      </c>
      <c r="U87" s="7" t="e">
        <f>VLOOKUP($L87,'2026-2027 projections'!$B:$AJ,29,FALSE)</f>
        <v>#N/A</v>
      </c>
      <c r="V87" s="7" t="e">
        <f>VLOOKUP($L87,'2026-2027 projections'!$B:$AJ,30,FALSE)</f>
        <v>#N/A</v>
      </c>
      <c r="W87" s="7" t="e">
        <f>VLOOKUP($L87,'2026-2027 projections'!$B:$AJ,31,FALSE)</f>
        <v>#N/A</v>
      </c>
    </row>
    <row r="88" spans="1:23">
      <c r="A88" t="str">
        <f>A3</f>
        <v>Tyrese Haliburton</v>
      </c>
      <c r="B88" s="9">
        <f>VLOOKUP($A88,'2026-2027 projections'!$B:$AJ,23,FALSE)</f>
        <v>-0.32171307437553759</v>
      </c>
      <c r="C88" s="9">
        <f>VLOOKUP($A88,'2026-2027 projections'!$B:$AJ,24,FALSE)</f>
        <v>0.60575292420192195</v>
      </c>
      <c r="D88" s="9">
        <f>VLOOKUP($A88,'2026-2027 projections'!$B:$AJ,25,FALSE)</f>
        <v>1.1919197645598023</v>
      </c>
      <c r="E88" s="9">
        <f>VLOOKUP($A88,'2026-2027 projections'!$B:$AJ,26,FALSE)</f>
        <v>0.2655712041381536</v>
      </c>
      <c r="F88" s="9">
        <f>VLOOKUP($A88,'2026-2027 projections'!$B:$AJ,27,FALSE)</f>
        <v>-0.99291185446530361</v>
      </c>
      <c r="G88" s="9">
        <f>VLOOKUP($A88,'2026-2027 projections'!$B:$AJ,28,FALSE)</f>
        <v>3.0724966688494235</v>
      </c>
      <c r="H88" s="9">
        <f>VLOOKUP($A88,'2026-2027 projections'!$B:$AJ,29,FALSE)</f>
        <v>0.83234193114301547</v>
      </c>
      <c r="I88" s="9">
        <f>VLOOKUP($A88,'2026-2027 projections'!$B:$AJ,30,FALSE)</f>
        <v>-0.15959693173817482</v>
      </c>
      <c r="J88" s="9">
        <f>VLOOKUP($A88,'2026-2027 projections'!$B:$AJ,31,FALSE)</f>
        <v>0.19892374787253581</v>
      </c>
      <c r="L88" s="19" t="s">
        <v>172</v>
      </c>
      <c r="M88">
        <f>VLOOKUP(L88,'2026-2027 projections'!B:C,2,FALSE)</f>
        <v>164</v>
      </c>
      <c r="N88">
        <f>VLOOKUP(L88,'2026-2027 projections'!B:D,3,FALSE)</f>
        <v>166</v>
      </c>
      <c r="O88" s="7">
        <f>VLOOKUP($L88,'2026-2027 projections'!$B:$AJ,23,FALSE)</f>
        <v>1.797320865649833</v>
      </c>
      <c r="P88" s="7">
        <f>VLOOKUP($L88,'2026-2027 projections'!$B:$AJ,24,FALSE)</f>
        <v>-1.150174131474873</v>
      </c>
      <c r="Q88" s="7">
        <f>VLOOKUP($L88,'2026-2027 projections'!$B:$AJ,25,FALSE)</f>
        <v>-1.7541164387527013</v>
      </c>
      <c r="R88" s="7">
        <f>VLOOKUP($L88,'2026-2027 projections'!$B:$AJ,26,FALSE)</f>
        <v>-1.6273299317401657</v>
      </c>
      <c r="S88" s="7">
        <f>VLOOKUP($L88,'2026-2027 projections'!$B:$AJ,27,FALSE)</f>
        <v>0.33869970681927364</v>
      </c>
      <c r="T88" s="7">
        <f>VLOOKUP($L88,'2026-2027 projections'!$B:$AJ,28,FALSE)</f>
        <v>-0.79991260152136945</v>
      </c>
      <c r="U88" s="7">
        <f>VLOOKUP($L88,'2026-2027 projections'!$B:$AJ,29,FALSE)</f>
        <v>-1.5157384640814993</v>
      </c>
      <c r="V88" s="7">
        <f>VLOOKUP($L88,'2026-2027 projections'!$B:$AJ,30,FALSE)</f>
        <v>1.464655386204762</v>
      </c>
      <c r="W88" s="7">
        <f>VLOOKUP($L88,'2026-2027 projections'!$B:$AJ,31,FALSE)</f>
        <v>1.0177020411635838</v>
      </c>
    </row>
    <row r="89" spans="1:23">
      <c r="A89">
        <f t="shared" ref="A89:A105" si="39">A4</f>
        <v>0</v>
      </c>
      <c r="B89" s="9" t="e">
        <f>VLOOKUP($A89,'2026-2027 projections'!$B:$AJ,23,FALSE)</f>
        <v>#N/A</v>
      </c>
      <c r="C89" s="9" t="e">
        <f>VLOOKUP($A89,'2026-2027 projections'!$B:$AJ,24,FALSE)</f>
        <v>#N/A</v>
      </c>
      <c r="D89" s="9" t="e">
        <f>VLOOKUP($A89,'2026-2027 projections'!$B:$AJ,25,FALSE)</f>
        <v>#N/A</v>
      </c>
      <c r="E89" s="9" t="e">
        <f>VLOOKUP($A89,'2026-2027 projections'!$B:$AJ,26,FALSE)</f>
        <v>#N/A</v>
      </c>
      <c r="F89" s="9" t="e">
        <f>VLOOKUP($A89,'2026-2027 projections'!$B:$AJ,27,FALSE)</f>
        <v>#N/A</v>
      </c>
      <c r="G89" s="9" t="e">
        <f>VLOOKUP($A89,'2026-2027 projections'!$B:$AJ,28,FALSE)</f>
        <v>#N/A</v>
      </c>
      <c r="H89" s="9" t="e">
        <f>VLOOKUP($A89,'2026-2027 projections'!$B:$AJ,29,FALSE)</f>
        <v>#N/A</v>
      </c>
      <c r="I89" s="9" t="e">
        <f>VLOOKUP($A89,'2026-2027 projections'!$B:$AJ,30,FALSE)</f>
        <v>#N/A</v>
      </c>
      <c r="J89" s="9" t="e">
        <f>VLOOKUP($A89,'2026-2027 projections'!$B:$AJ,31,FALSE)</f>
        <v>#N/A</v>
      </c>
      <c r="L89" s="19" t="s">
        <v>160</v>
      </c>
      <c r="M89" t="e">
        <f>VLOOKUP(L89,'2026-2027 projections'!B:C,2,FALSE)</f>
        <v>#N/A</v>
      </c>
      <c r="N89" t="e">
        <f>VLOOKUP(L89,'2026-2027 projections'!B:D,3,FALSE)</f>
        <v>#N/A</v>
      </c>
      <c r="O89" s="7" t="e">
        <f>VLOOKUP($L89,'2026-2027 projections'!$B:$AJ,23,FALSE)</f>
        <v>#N/A</v>
      </c>
      <c r="P89" s="7" t="e">
        <f>VLOOKUP($L89,'2026-2027 projections'!$B:$AJ,24,FALSE)</f>
        <v>#N/A</v>
      </c>
      <c r="Q89" s="7" t="e">
        <f>VLOOKUP($L89,'2026-2027 projections'!$B:$AJ,25,FALSE)</f>
        <v>#N/A</v>
      </c>
      <c r="R89" s="7" t="e">
        <f>VLOOKUP($L89,'2026-2027 projections'!$B:$AJ,26,FALSE)</f>
        <v>#N/A</v>
      </c>
      <c r="S89" s="7" t="e">
        <f>VLOOKUP($L89,'2026-2027 projections'!$B:$AJ,27,FALSE)</f>
        <v>#N/A</v>
      </c>
      <c r="T89" s="7" t="e">
        <f>VLOOKUP($L89,'2026-2027 projections'!$B:$AJ,28,FALSE)</f>
        <v>#N/A</v>
      </c>
      <c r="U89" s="7" t="e">
        <f>VLOOKUP($L89,'2026-2027 projections'!$B:$AJ,29,FALSE)</f>
        <v>#N/A</v>
      </c>
      <c r="V89" s="7" t="e">
        <f>VLOOKUP($L89,'2026-2027 projections'!$B:$AJ,30,FALSE)</f>
        <v>#N/A</v>
      </c>
      <c r="W89" s="7" t="e">
        <f>VLOOKUP($L89,'2026-2027 projections'!$B:$AJ,31,FALSE)</f>
        <v>#N/A</v>
      </c>
    </row>
    <row r="90" spans="1:23">
      <c r="A90">
        <f t="shared" si="39"/>
        <v>0</v>
      </c>
      <c r="B90" s="9" t="e">
        <f>VLOOKUP($A90,'2026-2027 projections'!$B:$AJ,23,FALSE)</f>
        <v>#N/A</v>
      </c>
      <c r="C90" s="9" t="e">
        <f>VLOOKUP($A90,'2026-2027 projections'!$B:$AJ,24,FALSE)</f>
        <v>#N/A</v>
      </c>
      <c r="D90" s="9" t="e">
        <f>VLOOKUP($A90,'2026-2027 projections'!$B:$AJ,25,FALSE)</f>
        <v>#N/A</v>
      </c>
      <c r="E90" s="9" t="e">
        <f>VLOOKUP($A90,'2026-2027 projections'!$B:$AJ,26,FALSE)</f>
        <v>#N/A</v>
      </c>
      <c r="F90" s="9" t="e">
        <f>VLOOKUP($A90,'2026-2027 projections'!$B:$AJ,27,FALSE)</f>
        <v>#N/A</v>
      </c>
      <c r="G90" s="9" t="e">
        <f>VLOOKUP($A90,'2026-2027 projections'!$B:$AJ,28,FALSE)</f>
        <v>#N/A</v>
      </c>
      <c r="H90" s="9" t="e">
        <f>VLOOKUP($A90,'2026-2027 projections'!$B:$AJ,29,FALSE)</f>
        <v>#N/A</v>
      </c>
      <c r="I90" s="9" t="e">
        <f>VLOOKUP($A90,'2026-2027 projections'!$B:$AJ,30,FALSE)</f>
        <v>#N/A</v>
      </c>
      <c r="J90" s="9" t="e">
        <f>VLOOKUP($A90,'2026-2027 projections'!$B:$AJ,31,FALSE)</f>
        <v>#N/A</v>
      </c>
      <c r="L90" s="19" t="s">
        <v>186</v>
      </c>
      <c r="M90">
        <f>VLOOKUP(L90,'2026-2027 projections'!B:C,2,FALSE)</f>
        <v>80</v>
      </c>
      <c r="N90">
        <f>VLOOKUP(L90,'2026-2027 projections'!B:D,3,FALSE)</f>
        <v>92</v>
      </c>
      <c r="O90" s="7">
        <f>VLOOKUP($L90,'2026-2027 projections'!$B:$AJ,23,FALSE)</f>
        <v>0.38235165756796036</v>
      </c>
      <c r="P90" s="7">
        <f>VLOOKUP($L90,'2026-2027 projections'!$B:$AJ,24,FALSE)</f>
        <v>-0.5173330322959796</v>
      </c>
      <c r="Q90" s="7">
        <f>VLOOKUP($L90,'2026-2027 projections'!$B:$AJ,25,FALSE)</f>
        <v>-0.49152949447591393</v>
      </c>
      <c r="R90" s="7">
        <f>VLOOKUP($L90,'2026-2027 projections'!$B:$AJ,26,FALSE)</f>
        <v>-0.73766639787735577</v>
      </c>
      <c r="S90" s="7">
        <f>VLOOKUP($L90,'2026-2027 projections'!$B:$AJ,27,FALSE)</f>
        <v>0.96289262617141924</v>
      </c>
      <c r="T90" s="7">
        <f>VLOOKUP($L90,'2026-2027 projections'!$B:$AJ,28,FALSE)</f>
        <v>0.69741898302200378</v>
      </c>
      <c r="U90" s="7">
        <f>VLOOKUP($L90,'2026-2027 projections'!$B:$AJ,29,FALSE)</f>
        <v>0.83234193114301547</v>
      </c>
      <c r="V90" s="7">
        <f>VLOOKUP($L90,'2026-2027 projections'!$B:$AJ,30,FALSE)</f>
        <v>-0.76869155096677622</v>
      </c>
      <c r="W90" s="7">
        <f>VLOOKUP($L90,'2026-2027 projections'!$B:$AJ,31,FALSE)</f>
        <v>-7.4002349891146874E-2</v>
      </c>
    </row>
    <row r="91" spans="1:23">
      <c r="A91">
        <f t="shared" si="39"/>
        <v>0</v>
      </c>
      <c r="B91" s="9" t="e">
        <f>VLOOKUP($A91,'2026-2027 projections'!$B:$AJ,23,FALSE)</f>
        <v>#N/A</v>
      </c>
      <c r="C91" s="9" t="e">
        <f>VLOOKUP($A91,'2026-2027 projections'!$B:$AJ,24,FALSE)</f>
        <v>#N/A</v>
      </c>
      <c r="D91" s="9" t="e">
        <f>VLOOKUP($A91,'2026-2027 projections'!$B:$AJ,25,FALSE)</f>
        <v>#N/A</v>
      </c>
      <c r="E91" s="9" t="e">
        <f>VLOOKUP($A91,'2026-2027 projections'!$B:$AJ,26,FALSE)</f>
        <v>#N/A</v>
      </c>
      <c r="F91" s="9" t="e">
        <f>VLOOKUP($A91,'2026-2027 projections'!$B:$AJ,27,FALSE)</f>
        <v>#N/A</v>
      </c>
      <c r="G91" s="9" t="e">
        <f>VLOOKUP($A91,'2026-2027 projections'!$B:$AJ,28,FALSE)</f>
        <v>#N/A</v>
      </c>
      <c r="H91" s="9" t="e">
        <f>VLOOKUP($A91,'2026-2027 projections'!$B:$AJ,29,FALSE)</f>
        <v>#N/A</v>
      </c>
      <c r="I91" s="9" t="e">
        <f>VLOOKUP($A91,'2026-2027 projections'!$B:$AJ,30,FALSE)</f>
        <v>#N/A</v>
      </c>
      <c r="J91" s="9" t="e">
        <f>VLOOKUP($A91,'2026-2027 projections'!$B:$AJ,31,FALSE)</f>
        <v>#N/A</v>
      </c>
      <c r="L91" s="19" t="s">
        <v>157</v>
      </c>
      <c r="M91">
        <f>VLOOKUP(L91,'2026-2027 projections'!B:C,2,FALSE)</f>
        <v>180</v>
      </c>
      <c r="N91">
        <f>VLOOKUP(L91,'2026-2027 projections'!B:D,3,FALSE)</f>
        <v>120</v>
      </c>
      <c r="O91" s="7">
        <f>VLOOKUP($L91,'2026-2027 projections'!$B:$AJ,23,FALSE)</f>
        <v>-1.0900392327412152</v>
      </c>
      <c r="P91" s="7">
        <f>VLOOKUP($L91,'2026-2027 projections'!$B:$AJ,24,FALSE)</f>
        <v>0.4896826499138186</v>
      </c>
      <c r="Q91" s="7">
        <f>VLOOKUP($L91,'2026-2027 projections'!$B:$AJ,25,FALSE)</f>
        <v>0.35019513504194433</v>
      </c>
      <c r="R91" s="7">
        <f>VLOOKUP($L91,'2026-2027 projections'!$B:$AJ,26,FALSE)</f>
        <v>-1.8363966243594279E-2</v>
      </c>
      <c r="S91" s="7">
        <f>VLOOKUP($L91,'2026-2027 projections'!$B:$AJ,27,FALSE)</f>
        <v>-0.95129899317516053</v>
      </c>
      <c r="T91" s="7">
        <f>VLOOKUP($L91,'2026-2027 projections'!$B:$AJ,28,FALSE)</f>
        <v>-0.90317684873125736</v>
      </c>
      <c r="U91" s="7">
        <f>VLOOKUP($L91,'2026-2027 projections'!$B:$AJ,29,FALSE)</f>
        <v>-0.92871836527537077</v>
      </c>
      <c r="V91" s="7">
        <f>VLOOKUP($L91,'2026-2027 projections'!$B:$AJ,30,FALSE)</f>
        <v>4.3434608004692253E-2</v>
      </c>
      <c r="W91" s="7">
        <f>VLOOKUP($L91,'2026-2027 projections'!$B:$AJ,31,FALSE)</f>
        <v>0.47184984563621846</v>
      </c>
    </row>
    <row r="92" spans="1:23">
      <c r="A92">
        <f t="shared" si="39"/>
        <v>0</v>
      </c>
      <c r="B92" s="9" t="e">
        <f>VLOOKUP($A92,'2026-2027 projections'!$B:$AJ,23,FALSE)</f>
        <v>#N/A</v>
      </c>
      <c r="C92" s="9" t="e">
        <f>VLOOKUP($A92,'2026-2027 projections'!$B:$AJ,24,FALSE)</f>
        <v>#N/A</v>
      </c>
      <c r="D92" s="9" t="e">
        <f>VLOOKUP($A92,'2026-2027 projections'!$B:$AJ,25,FALSE)</f>
        <v>#N/A</v>
      </c>
      <c r="E92" s="9" t="e">
        <f>VLOOKUP($A92,'2026-2027 projections'!$B:$AJ,26,FALSE)</f>
        <v>#N/A</v>
      </c>
      <c r="F92" s="9" t="e">
        <f>VLOOKUP($A92,'2026-2027 projections'!$B:$AJ,27,FALSE)</f>
        <v>#N/A</v>
      </c>
      <c r="G92" s="9" t="e">
        <f>VLOOKUP($A92,'2026-2027 projections'!$B:$AJ,28,FALSE)</f>
        <v>#N/A</v>
      </c>
      <c r="H92" s="9" t="e">
        <f>VLOOKUP($A92,'2026-2027 projections'!$B:$AJ,29,FALSE)</f>
        <v>#N/A</v>
      </c>
      <c r="I92" s="9" t="e">
        <f>VLOOKUP($A92,'2026-2027 projections'!$B:$AJ,30,FALSE)</f>
        <v>#N/A</v>
      </c>
      <c r="J92" s="9" t="e">
        <f>VLOOKUP($A92,'2026-2027 projections'!$B:$AJ,31,FALSE)</f>
        <v>#N/A</v>
      </c>
      <c r="L92" s="19" t="s">
        <v>145</v>
      </c>
      <c r="M92" t="e">
        <f>VLOOKUP(L92,'2026-2027 projections'!B:C,2,FALSE)</f>
        <v>#N/A</v>
      </c>
      <c r="N92" t="e">
        <f>VLOOKUP(L92,'2026-2027 projections'!B:D,3,FALSE)</f>
        <v>#N/A</v>
      </c>
      <c r="O92" s="7" t="e">
        <f>VLOOKUP($L92,'2026-2027 projections'!$B:$AJ,23,FALSE)</f>
        <v>#N/A</v>
      </c>
      <c r="P92" s="7" t="e">
        <f>VLOOKUP($L92,'2026-2027 projections'!$B:$AJ,24,FALSE)</f>
        <v>#N/A</v>
      </c>
      <c r="Q92" s="7" t="e">
        <f>VLOOKUP($L92,'2026-2027 projections'!$B:$AJ,25,FALSE)</f>
        <v>#N/A</v>
      </c>
      <c r="R92" s="7" t="e">
        <f>VLOOKUP($L92,'2026-2027 projections'!$B:$AJ,26,FALSE)</f>
        <v>#N/A</v>
      </c>
      <c r="S92" s="7" t="e">
        <f>VLOOKUP($L92,'2026-2027 projections'!$B:$AJ,27,FALSE)</f>
        <v>#N/A</v>
      </c>
      <c r="T92" s="7" t="e">
        <f>VLOOKUP($L92,'2026-2027 projections'!$B:$AJ,28,FALSE)</f>
        <v>#N/A</v>
      </c>
      <c r="U92" s="7" t="e">
        <f>VLOOKUP($L92,'2026-2027 projections'!$B:$AJ,29,FALSE)</f>
        <v>#N/A</v>
      </c>
      <c r="V92" s="7" t="e">
        <f>VLOOKUP($L92,'2026-2027 projections'!$B:$AJ,30,FALSE)</f>
        <v>#N/A</v>
      </c>
      <c r="W92" s="7" t="e">
        <f>VLOOKUP($L92,'2026-2027 projections'!$B:$AJ,31,FALSE)</f>
        <v>#N/A</v>
      </c>
    </row>
    <row r="93" spans="1:23">
      <c r="A93">
        <f t="shared" si="39"/>
        <v>0</v>
      </c>
      <c r="B93" s="9" t="e">
        <f>VLOOKUP($A93,'2026-2027 projections'!$B:$AJ,23,FALSE)</f>
        <v>#N/A</v>
      </c>
      <c r="C93" s="9" t="e">
        <f>VLOOKUP($A93,'2026-2027 projections'!$B:$AJ,24,FALSE)</f>
        <v>#N/A</v>
      </c>
      <c r="D93" s="9" t="e">
        <f>VLOOKUP($A93,'2026-2027 projections'!$B:$AJ,25,FALSE)</f>
        <v>#N/A</v>
      </c>
      <c r="E93" s="9" t="e">
        <f>VLOOKUP($A93,'2026-2027 projections'!$B:$AJ,26,FALSE)</f>
        <v>#N/A</v>
      </c>
      <c r="F93" s="9" t="e">
        <f>VLOOKUP($A93,'2026-2027 projections'!$B:$AJ,27,FALSE)</f>
        <v>#N/A</v>
      </c>
      <c r="G93" s="9" t="e">
        <f>VLOOKUP($A93,'2026-2027 projections'!$B:$AJ,28,FALSE)</f>
        <v>#N/A</v>
      </c>
      <c r="H93" s="9" t="e">
        <f>VLOOKUP($A93,'2026-2027 projections'!$B:$AJ,29,FALSE)</f>
        <v>#N/A</v>
      </c>
      <c r="I93" s="9" t="e">
        <f>VLOOKUP($A93,'2026-2027 projections'!$B:$AJ,30,FALSE)</f>
        <v>#N/A</v>
      </c>
      <c r="J93" s="9" t="e">
        <f>VLOOKUP($A93,'2026-2027 projections'!$B:$AJ,31,FALSE)</f>
        <v>#N/A</v>
      </c>
    </row>
    <row r="94" spans="1:23">
      <c r="A94">
        <f t="shared" si="39"/>
        <v>0</v>
      </c>
      <c r="B94" s="9" t="e">
        <f>VLOOKUP($A94,'2026-2027 projections'!$B:$AJ,23,FALSE)</f>
        <v>#N/A</v>
      </c>
      <c r="C94" s="9" t="e">
        <f>VLOOKUP($A94,'2026-2027 projections'!$B:$AJ,24,FALSE)</f>
        <v>#N/A</v>
      </c>
      <c r="D94" s="9" t="e">
        <f>VLOOKUP($A94,'2026-2027 projections'!$B:$AJ,25,FALSE)</f>
        <v>#N/A</v>
      </c>
      <c r="E94" s="9" t="e">
        <f>VLOOKUP($A94,'2026-2027 projections'!$B:$AJ,26,FALSE)</f>
        <v>#N/A</v>
      </c>
      <c r="F94" s="9" t="e">
        <f>VLOOKUP($A94,'2026-2027 projections'!$B:$AJ,27,FALSE)</f>
        <v>#N/A</v>
      </c>
      <c r="G94" s="9" t="e">
        <f>VLOOKUP($A94,'2026-2027 projections'!$B:$AJ,28,FALSE)</f>
        <v>#N/A</v>
      </c>
      <c r="H94" s="9" t="e">
        <f>VLOOKUP($A94,'2026-2027 projections'!$B:$AJ,29,FALSE)</f>
        <v>#N/A</v>
      </c>
      <c r="I94" s="9" t="e">
        <f>VLOOKUP($A94,'2026-2027 projections'!$B:$AJ,30,FALSE)</f>
        <v>#N/A</v>
      </c>
      <c r="J94" s="9" t="e">
        <f>VLOOKUP($A94,'2026-2027 projections'!$B:$AJ,31,FALSE)</f>
        <v>#N/A</v>
      </c>
    </row>
    <row r="95" spans="1:23">
      <c r="A95">
        <f t="shared" si="39"/>
        <v>0</v>
      </c>
      <c r="B95" s="9" t="e">
        <f>VLOOKUP($A95,'2026-2027 projections'!$B:$AJ,23,FALSE)</f>
        <v>#N/A</v>
      </c>
      <c r="C95" s="9" t="e">
        <f>VLOOKUP($A95,'2026-2027 projections'!$B:$AJ,24,FALSE)</f>
        <v>#N/A</v>
      </c>
      <c r="D95" s="9" t="e">
        <f>VLOOKUP($A95,'2026-2027 projections'!$B:$AJ,25,FALSE)</f>
        <v>#N/A</v>
      </c>
      <c r="E95" s="9" t="e">
        <f>VLOOKUP($A95,'2026-2027 projections'!$B:$AJ,26,FALSE)</f>
        <v>#N/A</v>
      </c>
      <c r="F95" s="9" t="e">
        <f>VLOOKUP($A95,'2026-2027 projections'!$B:$AJ,27,FALSE)</f>
        <v>#N/A</v>
      </c>
      <c r="G95" s="9" t="e">
        <f>VLOOKUP($A95,'2026-2027 projections'!$B:$AJ,28,FALSE)</f>
        <v>#N/A</v>
      </c>
      <c r="H95" s="9" t="e">
        <f>VLOOKUP($A95,'2026-2027 projections'!$B:$AJ,29,FALSE)</f>
        <v>#N/A</v>
      </c>
      <c r="I95" s="9" t="e">
        <f>VLOOKUP($A95,'2026-2027 projections'!$B:$AJ,30,FALSE)</f>
        <v>#N/A</v>
      </c>
      <c r="J95" s="9" t="e">
        <f>VLOOKUP($A95,'2026-2027 projections'!$B:$AJ,31,FALSE)</f>
        <v>#N/A</v>
      </c>
      <c r="L95" s="20" t="s">
        <v>404</v>
      </c>
      <c r="M95" t="s">
        <v>420</v>
      </c>
      <c r="N95" t="s">
        <v>397</v>
      </c>
      <c r="O95" s="1" t="s">
        <v>6</v>
      </c>
      <c r="P95" s="1" t="s">
        <v>7</v>
      </c>
      <c r="Q95" s="1" t="s">
        <v>8</v>
      </c>
      <c r="R95" s="1" t="s">
        <v>9</v>
      </c>
      <c r="S95" s="1" t="s">
        <v>10</v>
      </c>
      <c r="T95" s="1" t="s">
        <v>11</v>
      </c>
      <c r="U95" s="1" t="s">
        <v>12</v>
      </c>
      <c r="V95" s="1" t="s">
        <v>13</v>
      </c>
      <c r="W95" s="1" t="s">
        <v>14</v>
      </c>
    </row>
    <row r="96" spans="1:23">
      <c r="A96">
        <f t="shared" si="39"/>
        <v>0</v>
      </c>
      <c r="B96" s="9" t="e">
        <f>VLOOKUP($A96,'2026-2027 projections'!$B:$AJ,23,FALSE)</f>
        <v>#N/A</v>
      </c>
      <c r="C96" s="9" t="e">
        <f>VLOOKUP($A96,'2026-2027 projections'!$B:$AJ,24,FALSE)</f>
        <v>#N/A</v>
      </c>
      <c r="D96" s="9" t="e">
        <f>VLOOKUP($A96,'2026-2027 projections'!$B:$AJ,25,FALSE)</f>
        <v>#N/A</v>
      </c>
      <c r="E96" s="9" t="e">
        <f>VLOOKUP($A96,'2026-2027 projections'!$B:$AJ,26,FALSE)</f>
        <v>#N/A</v>
      </c>
      <c r="F96" s="9" t="e">
        <f>VLOOKUP($A96,'2026-2027 projections'!$B:$AJ,27,FALSE)</f>
        <v>#N/A</v>
      </c>
      <c r="G96" s="9" t="e">
        <f>VLOOKUP($A96,'2026-2027 projections'!$B:$AJ,28,FALSE)</f>
        <v>#N/A</v>
      </c>
      <c r="H96" s="9" t="e">
        <f>VLOOKUP($A96,'2026-2027 projections'!$B:$AJ,29,FALSE)</f>
        <v>#N/A</v>
      </c>
      <c r="I96" s="9" t="e">
        <f>VLOOKUP($A96,'2026-2027 projections'!$B:$AJ,30,FALSE)</f>
        <v>#N/A</v>
      </c>
      <c r="J96" s="9" t="e">
        <f>VLOOKUP($A96,'2026-2027 projections'!$B:$AJ,31,FALSE)</f>
        <v>#N/A</v>
      </c>
      <c r="L96" s="19" t="s">
        <v>230</v>
      </c>
      <c r="M96">
        <f>VLOOKUP(L96,'2026-2027 projections'!B:C,2,FALSE)</f>
        <v>105</v>
      </c>
      <c r="N96">
        <f>VLOOKUP(L96,'2026-2027 projections'!B:D,3,FALSE)</f>
        <v>126</v>
      </c>
      <c r="O96" s="7">
        <f>VLOOKUP($L96,'2026-2027 projections'!$B:$AJ,23,FALSE)</f>
        <v>-0.73458699467202826</v>
      </c>
      <c r="P96" s="7">
        <f>VLOOKUP($L96,'2026-2027 projections'!$B:$AJ,24,FALSE)</f>
        <v>-0.23214054857620806</v>
      </c>
      <c r="Q96" s="7">
        <f>VLOOKUP($L96,'2026-2027 projections'!$B:$AJ,25,FALSE)</f>
        <v>0.45541071373167669</v>
      </c>
      <c r="R96" s="7">
        <f>VLOOKUP($L96,'2026-2027 projections'!$B:$AJ,26,FALSE)</f>
        <v>-0.26444111390777592</v>
      </c>
      <c r="S96" s="7">
        <f>VLOOKUP($L96,'2026-2027 projections'!$B:$AJ,27,FALSE)</f>
        <v>4.7409677788272299E-2</v>
      </c>
      <c r="T96" s="7">
        <f>VLOOKUP($L96,'2026-2027 projections'!$B:$AJ,28,FALSE)</f>
        <v>0.23272987057750841</v>
      </c>
      <c r="U96" s="7">
        <f>VLOOKUP($L96,'2026-2027 projections'!$B:$AJ,29,FALSE)</f>
        <v>0.53883188173995089</v>
      </c>
      <c r="V96" s="7">
        <f>VLOOKUP($L96,'2026-2027 projections'!$B:$AJ,30,FALSE)</f>
        <v>-0.97172309070964324</v>
      </c>
      <c r="W96" s="7">
        <f>VLOOKUP($L96,'2026-2027 projections'!$B:$AJ,31,FALSE)</f>
        <v>0.33538679675437699</v>
      </c>
    </row>
    <row r="97" spans="1:23">
      <c r="A97">
        <f t="shared" si="39"/>
        <v>0</v>
      </c>
      <c r="B97" s="9" t="e">
        <f>VLOOKUP($A97,'2026-2027 projections'!$B:$AJ,23,FALSE)</f>
        <v>#N/A</v>
      </c>
      <c r="C97" s="9" t="e">
        <f>VLOOKUP($A97,'2026-2027 projections'!$B:$AJ,24,FALSE)</f>
        <v>#N/A</v>
      </c>
      <c r="D97" s="9" t="e">
        <f>VLOOKUP($A97,'2026-2027 projections'!$B:$AJ,25,FALSE)</f>
        <v>#N/A</v>
      </c>
      <c r="E97" s="9" t="e">
        <f>VLOOKUP($A97,'2026-2027 projections'!$B:$AJ,26,FALSE)</f>
        <v>#N/A</v>
      </c>
      <c r="F97" s="9" t="e">
        <f>VLOOKUP($A97,'2026-2027 projections'!$B:$AJ,27,FALSE)</f>
        <v>#N/A</v>
      </c>
      <c r="G97" s="9" t="e">
        <f>VLOOKUP($A97,'2026-2027 projections'!$B:$AJ,28,FALSE)</f>
        <v>#N/A</v>
      </c>
      <c r="H97" s="9" t="e">
        <f>VLOOKUP($A97,'2026-2027 projections'!$B:$AJ,29,FALSE)</f>
        <v>#N/A</v>
      </c>
      <c r="I97" s="9" t="e">
        <f>VLOOKUP($A97,'2026-2027 projections'!$B:$AJ,30,FALSE)</f>
        <v>#N/A</v>
      </c>
      <c r="J97" s="9" t="e">
        <f>VLOOKUP($A97,'2026-2027 projections'!$B:$AJ,31,FALSE)</f>
        <v>#N/A</v>
      </c>
      <c r="L97" s="19" t="s">
        <v>273</v>
      </c>
      <c r="M97">
        <f>VLOOKUP(L97,'2026-2027 projections'!B:C,2,FALSE)</f>
        <v>34</v>
      </c>
      <c r="N97">
        <f>VLOOKUP(L97,'2026-2027 projections'!B:D,3,FALSE)</f>
        <v>29</v>
      </c>
      <c r="O97" s="7">
        <f>VLOOKUP($L97,'2026-2027 projections'!$B:$AJ,23,FALSE)</f>
        <v>2.2042741563129105</v>
      </c>
      <c r="P97" s="7">
        <f>VLOOKUP($L97,'2026-2027 projections'!$B:$AJ,24,FALSE)</f>
        <v>-0.15200043845567016</v>
      </c>
      <c r="Q97" s="7">
        <f>VLOOKUP($L97,'2026-2027 projections'!$B:$AJ,25,FALSE)</f>
        <v>-1.4384697026835043</v>
      </c>
      <c r="R97" s="7">
        <f>VLOOKUP($L97,'2026-2027 projections'!$B:$AJ,26,FALSE)</f>
        <v>-0.49158925021317412</v>
      </c>
      <c r="S97" s="7">
        <f>VLOOKUP($L97,'2026-2027 projections'!$B:$AJ,27,FALSE)</f>
        <v>1.9199884358447095</v>
      </c>
      <c r="T97" s="7">
        <f>VLOOKUP($L97,'2026-2027 projections'!$B:$AJ,28,FALSE)</f>
        <v>-1.2646017139658647</v>
      </c>
      <c r="U97" s="7">
        <f>VLOOKUP($L97,'2026-2027 projections'!$B:$AJ,29,FALSE)</f>
        <v>-0.92871836527537077</v>
      </c>
      <c r="V97" s="7">
        <f>VLOOKUP($L97,'2026-2027 projections'!$B:$AJ,30,FALSE)</f>
        <v>2.276781545176231</v>
      </c>
      <c r="W97" s="7">
        <f>VLOOKUP($L97,'2026-2027 projections'!$B:$AJ,31,FALSE)</f>
        <v>6.2460698990694306E-2</v>
      </c>
    </row>
    <row r="98" spans="1:23">
      <c r="A98">
        <f t="shared" si="39"/>
        <v>0</v>
      </c>
      <c r="B98" s="9" t="e">
        <f>VLOOKUP($A98,'2026-2027 projections'!$B:$AJ,23,FALSE)</f>
        <v>#N/A</v>
      </c>
      <c r="C98" s="9" t="e">
        <f>VLOOKUP($A98,'2026-2027 projections'!$B:$AJ,24,FALSE)</f>
        <v>#N/A</v>
      </c>
      <c r="D98" s="9" t="e">
        <f>VLOOKUP($A98,'2026-2027 projections'!$B:$AJ,25,FALSE)</f>
        <v>#N/A</v>
      </c>
      <c r="E98" s="9" t="e">
        <f>VLOOKUP($A98,'2026-2027 projections'!$B:$AJ,26,FALSE)</f>
        <v>#N/A</v>
      </c>
      <c r="F98" s="9" t="e">
        <f>VLOOKUP($A98,'2026-2027 projections'!$B:$AJ,27,FALSE)</f>
        <v>#N/A</v>
      </c>
      <c r="G98" s="9" t="e">
        <f>VLOOKUP($A98,'2026-2027 projections'!$B:$AJ,28,FALSE)</f>
        <v>#N/A</v>
      </c>
      <c r="H98" s="9" t="e">
        <f>VLOOKUP($A98,'2026-2027 projections'!$B:$AJ,29,FALSE)</f>
        <v>#N/A</v>
      </c>
      <c r="I98" s="9" t="e">
        <f>VLOOKUP($A98,'2026-2027 projections'!$B:$AJ,30,FALSE)</f>
        <v>#N/A</v>
      </c>
      <c r="J98" s="9" t="e">
        <f>VLOOKUP($A98,'2026-2027 projections'!$B:$AJ,31,FALSE)</f>
        <v>#N/A</v>
      </c>
      <c r="L98" s="19" t="s">
        <v>192</v>
      </c>
      <c r="M98">
        <f>VLOOKUP(L98,'2026-2027 projections'!B:C,2,FALSE)</f>
        <v>79</v>
      </c>
      <c r="N98">
        <f>VLOOKUP(L98,'2026-2027 projections'!B:D,3,FALSE)</f>
        <v>156</v>
      </c>
      <c r="O98" s="7">
        <f>VLOOKUP($L98,'2026-2027 projections'!$B:$AJ,23,FALSE)</f>
        <v>-1.7302331619509365E-2</v>
      </c>
      <c r="P98" s="7">
        <f>VLOOKUP($L98,'2026-2027 projections'!$B:$AJ,24,FALSE)</f>
        <v>1.095997781520929</v>
      </c>
      <c r="Q98" s="7">
        <f>VLOOKUP($L98,'2026-2027 projections'!$B:$AJ,25,FALSE)</f>
        <v>0.77105744980087332</v>
      </c>
      <c r="R98" s="7">
        <f>VLOOKUP($L98,'2026-2027 projections'!$B:$AJ,26,FALSE)</f>
        <v>-5.6221988961160867E-2</v>
      </c>
      <c r="S98" s="7">
        <f>VLOOKUP($L98,'2026-2027 projections'!$B:$AJ,27,FALSE)</f>
        <v>-0.66000896414415944</v>
      </c>
      <c r="T98" s="7">
        <f>VLOOKUP($L98,'2026-2027 projections'!$B:$AJ,28,FALSE)</f>
        <v>-0.38685561268181834</v>
      </c>
      <c r="U98" s="7">
        <f>VLOOKUP($L98,'2026-2027 projections'!$B:$AJ,29,FALSE)</f>
        <v>-0.6352083158723062</v>
      </c>
      <c r="V98" s="7">
        <f>VLOOKUP($L98,'2026-2027 projections'!$B:$AJ,30,FALSE)</f>
        <v>-0.56566001122390897</v>
      </c>
      <c r="W98" s="7">
        <f>VLOOKUP($L98,'2026-2027 projections'!$B:$AJ,31,FALSE)</f>
        <v>0.74477594339990116</v>
      </c>
    </row>
    <row r="99" spans="1:23">
      <c r="A99">
        <f t="shared" si="39"/>
        <v>0</v>
      </c>
      <c r="B99" s="9" t="e">
        <f>VLOOKUP($A99,'2026-2027 projections'!$B:$AJ,23,FALSE)</f>
        <v>#N/A</v>
      </c>
      <c r="C99" s="9" t="e">
        <f>VLOOKUP($A99,'2026-2027 projections'!$B:$AJ,24,FALSE)</f>
        <v>#N/A</v>
      </c>
      <c r="D99" s="9" t="e">
        <f>VLOOKUP($A99,'2026-2027 projections'!$B:$AJ,25,FALSE)</f>
        <v>#N/A</v>
      </c>
      <c r="E99" s="9" t="e">
        <f>VLOOKUP($A99,'2026-2027 projections'!$B:$AJ,26,FALSE)</f>
        <v>#N/A</v>
      </c>
      <c r="F99" s="9" t="e">
        <f>VLOOKUP($A99,'2026-2027 projections'!$B:$AJ,27,FALSE)</f>
        <v>#N/A</v>
      </c>
      <c r="G99" s="9" t="e">
        <f>VLOOKUP($A99,'2026-2027 projections'!$B:$AJ,28,FALSE)</f>
        <v>#N/A</v>
      </c>
      <c r="H99" s="9" t="e">
        <f>VLOOKUP($A99,'2026-2027 projections'!$B:$AJ,29,FALSE)</f>
        <v>#N/A</v>
      </c>
      <c r="I99" s="9" t="e">
        <f>VLOOKUP($A99,'2026-2027 projections'!$B:$AJ,30,FALSE)</f>
        <v>#N/A</v>
      </c>
      <c r="J99" s="9" t="e">
        <f>VLOOKUP($A99,'2026-2027 projections'!$B:$AJ,31,FALSE)</f>
        <v>#N/A</v>
      </c>
      <c r="L99" s="19" t="s">
        <v>165</v>
      </c>
      <c r="M99">
        <f>VLOOKUP(L99,'2026-2027 projections'!B:C,2,FALSE)</f>
        <v>116</v>
      </c>
      <c r="N99">
        <f>VLOOKUP(L99,'2026-2027 projections'!B:D,3,FALSE)</f>
        <v>35</v>
      </c>
      <c r="O99" s="7">
        <f>VLOOKUP($L99,'2026-2027 projections'!$B:$AJ,23,FALSE)</f>
        <v>-0.4041959469786901</v>
      </c>
      <c r="P99" s="7">
        <f>VLOOKUP($L99,'2026-2027 projections'!$B:$AJ,24,FALSE)</f>
        <v>-1.8808393191566408E-2</v>
      </c>
      <c r="Q99" s="7">
        <f>VLOOKUP($L99,'2026-2027 projections'!$B:$AJ,25,FALSE)</f>
        <v>3.4548398972747453E-2</v>
      </c>
      <c r="R99" s="7">
        <f>VLOOKUP($L99,'2026-2027 projections'!$B:$AJ,26,FALSE)</f>
        <v>0.70093846539016724</v>
      </c>
      <c r="S99" s="7">
        <f>VLOOKUP($L99,'2026-2027 projections'!$B:$AJ,27,FALSE)</f>
        <v>0.46353829068970265</v>
      </c>
      <c r="T99" s="7">
        <f>VLOOKUP($L99,'2026-2027 projections'!$B:$AJ,28,FALSE)</f>
        <v>0.69741898302200378</v>
      </c>
      <c r="U99" s="7">
        <f>VLOOKUP($L99,'2026-2027 projections'!$B:$AJ,29,FALSE)</f>
        <v>-0.34169826646924195</v>
      </c>
      <c r="V99" s="7">
        <f>VLOOKUP($L99,'2026-2027 projections'!$B:$AJ,30,FALSE)</f>
        <v>-0.36262847148104194</v>
      </c>
      <c r="W99" s="7">
        <f>VLOOKUP($L99,'2026-2027 projections'!$B:$AJ,31,FALSE)</f>
        <v>-1.7115589364732435</v>
      </c>
    </row>
    <row r="100" spans="1:23">
      <c r="A100">
        <f t="shared" si="39"/>
        <v>0</v>
      </c>
      <c r="B100" s="9" t="e">
        <f>VLOOKUP($A100,'2026-2027 projections'!$B:$AJ,23,FALSE)</f>
        <v>#N/A</v>
      </c>
      <c r="C100" s="9" t="e">
        <f>VLOOKUP($A100,'2026-2027 projections'!$B:$AJ,24,FALSE)</f>
        <v>#N/A</v>
      </c>
      <c r="D100" s="9" t="e">
        <f>VLOOKUP($A100,'2026-2027 projections'!$B:$AJ,25,FALSE)</f>
        <v>#N/A</v>
      </c>
      <c r="E100" s="9" t="e">
        <f>VLOOKUP($A100,'2026-2027 projections'!$B:$AJ,26,FALSE)</f>
        <v>#N/A</v>
      </c>
      <c r="F100" s="9" t="e">
        <f>VLOOKUP($A100,'2026-2027 projections'!$B:$AJ,27,FALSE)</f>
        <v>#N/A</v>
      </c>
      <c r="G100" s="9" t="e">
        <f>VLOOKUP($A100,'2026-2027 projections'!$B:$AJ,28,FALSE)</f>
        <v>#N/A</v>
      </c>
      <c r="H100" s="9" t="e">
        <f>VLOOKUP($A100,'2026-2027 projections'!$B:$AJ,29,FALSE)</f>
        <v>#N/A</v>
      </c>
      <c r="I100" s="9" t="e">
        <f>VLOOKUP($A100,'2026-2027 projections'!$B:$AJ,30,FALSE)</f>
        <v>#N/A</v>
      </c>
      <c r="J100" s="9" t="e">
        <f>VLOOKUP($A100,'2026-2027 projections'!$B:$AJ,31,FALSE)</f>
        <v>#N/A</v>
      </c>
      <c r="L100" s="20" t="s">
        <v>186</v>
      </c>
      <c r="M100">
        <f>VLOOKUP(L100,'2026-2027 projections'!B:C,2,FALSE)</f>
        <v>80</v>
      </c>
      <c r="N100">
        <f>VLOOKUP(L100,'2026-2027 projections'!B:D,3,FALSE)</f>
        <v>92</v>
      </c>
      <c r="O100" s="7">
        <f>VLOOKUP($L100,'2026-2027 projections'!$B:$AJ,23,FALSE)</f>
        <v>0.38235165756796036</v>
      </c>
      <c r="P100" s="7">
        <f>VLOOKUP($L100,'2026-2027 projections'!$B:$AJ,24,FALSE)</f>
        <v>-0.5173330322959796</v>
      </c>
      <c r="Q100" s="7">
        <f>VLOOKUP($L100,'2026-2027 projections'!$B:$AJ,25,FALSE)</f>
        <v>-0.49152949447591393</v>
      </c>
      <c r="R100" s="7">
        <f>VLOOKUP($L100,'2026-2027 projections'!$B:$AJ,26,FALSE)</f>
        <v>-0.73766639787735577</v>
      </c>
      <c r="S100" s="7">
        <f>VLOOKUP($L100,'2026-2027 projections'!$B:$AJ,27,FALSE)</f>
        <v>0.96289262617141924</v>
      </c>
      <c r="T100" s="7">
        <f>VLOOKUP($L100,'2026-2027 projections'!$B:$AJ,28,FALSE)</f>
        <v>0.69741898302200378</v>
      </c>
      <c r="U100" s="7">
        <f>VLOOKUP($L100,'2026-2027 projections'!$B:$AJ,29,FALSE)</f>
        <v>0.83234193114301547</v>
      </c>
      <c r="V100" s="7">
        <f>VLOOKUP($L100,'2026-2027 projections'!$B:$AJ,30,FALSE)</f>
        <v>-0.76869155096677622</v>
      </c>
      <c r="W100" s="7">
        <f>VLOOKUP($L100,'2026-2027 projections'!$B:$AJ,31,FALSE)</f>
        <v>-7.4002349891146874E-2</v>
      </c>
    </row>
    <row r="101" spans="1:23">
      <c r="A101">
        <f t="shared" si="39"/>
        <v>0</v>
      </c>
      <c r="B101" s="9" t="e">
        <f>VLOOKUP($A101,'2026-2027 projections'!$B:$AJ,23,FALSE)</f>
        <v>#N/A</v>
      </c>
      <c r="C101" s="9" t="e">
        <f>VLOOKUP($A101,'2026-2027 projections'!$B:$AJ,24,FALSE)</f>
        <v>#N/A</v>
      </c>
      <c r="D101" s="9" t="e">
        <f>VLOOKUP($A101,'2026-2027 projections'!$B:$AJ,25,FALSE)</f>
        <v>#N/A</v>
      </c>
      <c r="E101" s="9" t="e">
        <f>VLOOKUP($A101,'2026-2027 projections'!$B:$AJ,26,FALSE)</f>
        <v>#N/A</v>
      </c>
      <c r="F101" s="9" t="e">
        <f>VLOOKUP($A101,'2026-2027 projections'!$B:$AJ,27,FALSE)</f>
        <v>#N/A</v>
      </c>
      <c r="G101" s="9" t="e">
        <f>VLOOKUP($A101,'2026-2027 projections'!$B:$AJ,28,FALSE)</f>
        <v>#N/A</v>
      </c>
      <c r="H101" s="9" t="e">
        <f>VLOOKUP($A101,'2026-2027 projections'!$B:$AJ,29,FALSE)</f>
        <v>#N/A</v>
      </c>
      <c r="I101" s="9" t="e">
        <f>VLOOKUP($A101,'2026-2027 projections'!$B:$AJ,30,FALSE)</f>
        <v>#N/A</v>
      </c>
      <c r="J101" s="9" t="e">
        <f>VLOOKUP($A101,'2026-2027 projections'!$B:$AJ,31,FALSE)</f>
        <v>#N/A</v>
      </c>
      <c r="L101" s="19" t="s">
        <v>412</v>
      </c>
      <c r="M101" t="e">
        <f>VLOOKUP(L101,'2026-2027 projections'!B:C,2,FALSE)</f>
        <v>#N/A</v>
      </c>
      <c r="N101" t="e">
        <f>VLOOKUP(L101,'2026-2027 projections'!B:D,3,FALSE)</f>
        <v>#N/A</v>
      </c>
      <c r="O101" s="7" t="e">
        <f>VLOOKUP($L101,'2026-2027 projections'!$B:$AJ,23,FALSE)</f>
        <v>#N/A</v>
      </c>
      <c r="P101" s="7" t="e">
        <f>VLOOKUP($L101,'2026-2027 projections'!$B:$AJ,24,FALSE)</f>
        <v>#N/A</v>
      </c>
      <c r="Q101" s="7" t="e">
        <f>VLOOKUP($L101,'2026-2027 projections'!$B:$AJ,25,FALSE)</f>
        <v>#N/A</v>
      </c>
      <c r="R101" s="7" t="e">
        <f>VLOOKUP($L101,'2026-2027 projections'!$B:$AJ,26,FALSE)</f>
        <v>#N/A</v>
      </c>
      <c r="S101" s="7" t="e">
        <f>VLOOKUP($L101,'2026-2027 projections'!$B:$AJ,27,FALSE)</f>
        <v>#N/A</v>
      </c>
      <c r="T101" s="7" t="e">
        <f>VLOOKUP($L101,'2026-2027 projections'!$B:$AJ,28,FALSE)</f>
        <v>#N/A</v>
      </c>
      <c r="U101" s="7" t="e">
        <f>VLOOKUP($L101,'2026-2027 projections'!$B:$AJ,29,FALSE)</f>
        <v>#N/A</v>
      </c>
      <c r="V101" s="7" t="e">
        <f>VLOOKUP($L101,'2026-2027 projections'!$B:$AJ,30,FALSE)</f>
        <v>#N/A</v>
      </c>
      <c r="W101" s="7" t="e">
        <f>VLOOKUP($L101,'2026-2027 projections'!$B:$AJ,31,FALSE)</f>
        <v>#N/A</v>
      </c>
    </row>
    <row r="102" spans="1:23">
      <c r="A102">
        <f t="shared" si="39"/>
        <v>0</v>
      </c>
      <c r="B102" s="9" t="e">
        <f>VLOOKUP($A102,'2026-2027 projections'!$B:$AJ,23,FALSE)</f>
        <v>#N/A</v>
      </c>
      <c r="C102" s="9" t="e">
        <f>VLOOKUP($A102,'2026-2027 projections'!$B:$AJ,24,FALSE)</f>
        <v>#N/A</v>
      </c>
      <c r="D102" s="9" t="e">
        <f>VLOOKUP($A102,'2026-2027 projections'!$B:$AJ,25,FALSE)</f>
        <v>#N/A</v>
      </c>
      <c r="E102" s="9" t="e">
        <f>VLOOKUP($A102,'2026-2027 projections'!$B:$AJ,26,FALSE)</f>
        <v>#N/A</v>
      </c>
      <c r="F102" s="9" t="e">
        <f>VLOOKUP($A102,'2026-2027 projections'!$B:$AJ,27,FALSE)</f>
        <v>#N/A</v>
      </c>
      <c r="G102" s="9" t="e">
        <f>VLOOKUP($A102,'2026-2027 projections'!$B:$AJ,28,FALSE)</f>
        <v>#N/A</v>
      </c>
      <c r="H102" s="9" t="e">
        <f>VLOOKUP($A102,'2026-2027 projections'!$B:$AJ,29,FALSE)</f>
        <v>#N/A</v>
      </c>
      <c r="I102" s="9" t="e">
        <f>VLOOKUP($A102,'2026-2027 projections'!$B:$AJ,30,FALSE)</f>
        <v>#N/A</v>
      </c>
      <c r="J102" s="9" t="e">
        <f>VLOOKUP($A102,'2026-2027 projections'!$B:$AJ,31,FALSE)</f>
        <v>#N/A</v>
      </c>
      <c r="L102" s="20" t="s">
        <v>212</v>
      </c>
      <c r="M102">
        <f>VLOOKUP(L102,'2026-2027 projections'!B:C,2,FALSE)</f>
        <v>94</v>
      </c>
      <c r="N102">
        <f>VLOOKUP(L102,'2026-2027 projections'!B:D,3,FALSE)</f>
        <v>74</v>
      </c>
      <c r="O102" s="7">
        <f>VLOOKUP($L102,'2026-2027 projections'!$B:$AJ,23,FALSE)</f>
        <v>-0.25791120523408895</v>
      </c>
      <c r="P102" s="7">
        <f>VLOOKUP($L102,'2026-2027 projections'!$B:$AJ,24,FALSE)</f>
        <v>0.5698227600343545</v>
      </c>
      <c r="Q102" s="7">
        <f>VLOOKUP($L102,'2026-2027 projections'!$B:$AJ,25,FALSE)</f>
        <v>1.0867041858700703</v>
      </c>
      <c r="R102" s="7">
        <f>VLOOKUP($L102,'2026-2027 projections'!$B:$AJ,26,FALSE)</f>
        <v>0.94701561305434823</v>
      </c>
      <c r="S102" s="7">
        <f>VLOOKUP($L102,'2026-2027 projections'!$B:$AJ,27,FALSE)</f>
        <v>-1.0345247157554465</v>
      </c>
      <c r="T102" s="7">
        <f>VLOOKUP($L102,'2026-2027 projections'!$B:$AJ,28,FALSE)</f>
        <v>-0.74828047791642549</v>
      </c>
      <c r="U102" s="7">
        <f>VLOOKUP($L102,'2026-2027 projections'!$B:$AJ,29,FALSE)</f>
        <v>0.24532183233688692</v>
      </c>
      <c r="V102" s="7">
        <f>VLOOKUP($L102,'2026-2027 projections'!$B:$AJ,30,FALSE)</f>
        <v>-0.97172309070964324</v>
      </c>
      <c r="W102" s="7">
        <f>VLOOKUP($L102,'2026-2027 projections'!$B:$AJ,31,FALSE)</f>
        <v>6.2460698990694306E-2</v>
      </c>
    </row>
    <row r="103" spans="1:23">
      <c r="A103">
        <f t="shared" si="39"/>
        <v>0</v>
      </c>
      <c r="B103" s="9" t="e">
        <f>VLOOKUP($A103,'2026-2027 projections'!$B:$AJ,23,FALSE)</f>
        <v>#N/A</v>
      </c>
      <c r="C103" s="9" t="e">
        <f>VLOOKUP($A103,'2026-2027 projections'!$B:$AJ,24,FALSE)</f>
        <v>#N/A</v>
      </c>
      <c r="D103" s="9" t="e">
        <f>VLOOKUP($A103,'2026-2027 projections'!$B:$AJ,25,FALSE)</f>
        <v>#N/A</v>
      </c>
      <c r="E103" s="9" t="e">
        <f>VLOOKUP($A103,'2026-2027 projections'!$B:$AJ,26,FALSE)</f>
        <v>#N/A</v>
      </c>
      <c r="F103" s="9" t="e">
        <f>VLOOKUP($A103,'2026-2027 projections'!$B:$AJ,27,FALSE)</f>
        <v>#N/A</v>
      </c>
      <c r="G103" s="9" t="e">
        <f>VLOOKUP($A103,'2026-2027 projections'!$B:$AJ,28,FALSE)</f>
        <v>#N/A</v>
      </c>
      <c r="H103" s="9" t="e">
        <f>VLOOKUP($A103,'2026-2027 projections'!$B:$AJ,29,FALSE)</f>
        <v>#N/A</v>
      </c>
      <c r="I103" s="9" t="e">
        <f>VLOOKUP($A103,'2026-2027 projections'!$B:$AJ,30,FALSE)</f>
        <v>#N/A</v>
      </c>
      <c r="J103" s="9" t="e">
        <f>VLOOKUP($A103,'2026-2027 projections'!$B:$AJ,31,FALSE)</f>
        <v>#N/A</v>
      </c>
      <c r="L103" s="20" t="s">
        <v>265</v>
      </c>
      <c r="M103" t="e">
        <f>VLOOKUP(L103,'2026-2027 projections'!B:C,2,FALSE)</f>
        <v>#N/A</v>
      </c>
      <c r="N103" t="e">
        <f>VLOOKUP(L103,'2026-2027 projections'!B:D,3,FALSE)</f>
        <v>#N/A</v>
      </c>
      <c r="O103" s="7" t="e">
        <f>VLOOKUP($L103,'2026-2027 projections'!$B:$AJ,23,FALSE)</f>
        <v>#N/A</v>
      </c>
      <c r="P103" s="7" t="e">
        <f>VLOOKUP($L103,'2026-2027 projections'!$B:$AJ,24,FALSE)</f>
        <v>#N/A</v>
      </c>
      <c r="Q103" s="7" t="e">
        <f>VLOOKUP($L103,'2026-2027 projections'!$B:$AJ,25,FALSE)</f>
        <v>#N/A</v>
      </c>
      <c r="R103" s="7" t="e">
        <f>VLOOKUP($L103,'2026-2027 projections'!$B:$AJ,26,FALSE)</f>
        <v>#N/A</v>
      </c>
      <c r="S103" s="7" t="e">
        <f>VLOOKUP($L103,'2026-2027 projections'!$B:$AJ,27,FALSE)</f>
        <v>#N/A</v>
      </c>
      <c r="T103" s="7" t="e">
        <f>VLOOKUP($L103,'2026-2027 projections'!$B:$AJ,28,FALSE)</f>
        <v>#N/A</v>
      </c>
      <c r="U103" s="7" t="e">
        <f>VLOOKUP($L103,'2026-2027 projections'!$B:$AJ,29,FALSE)</f>
        <v>#N/A</v>
      </c>
      <c r="V103" s="7" t="e">
        <f>VLOOKUP($L103,'2026-2027 projections'!$B:$AJ,30,FALSE)</f>
        <v>#N/A</v>
      </c>
      <c r="W103" s="7" t="e">
        <f>VLOOKUP($L103,'2026-2027 projections'!$B:$AJ,31,FALSE)</f>
        <v>#N/A</v>
      </c>
    </row>
    <row r="104" spans="1:23">
      <c r="A104">
        <f t="shared" si="39"/>
        <v>0</v>
      </c>
      <c r="B104" s="9" t="e">
        <f>VLOOKUP($A104,'2026-2027 projections'!$B:$AJ,23,FALSE)</f>
        <v>#N/A</v>
      </c>
      <c r="C104" s="9" t="e">
        <f>VLOOKUP($A104,'2026-2027 projections'!$B:$AJ,24,FALSE)</f>
        <v>#N/A</v>
      </c>
      <c r="D104" s="9" t="e">
        <f>VLOOKUP($A104,'2026-2027 projections'!$B:$AJ,25,FALSE)</f>
        <v>#N/A</v>
      </c>
      <c r="E104" s="9" t="e">
        <f>VLOOKUP($A104,'2026-2027 projections'!$B:$AJ,26,FALSE)</f>
        <v>#N/A</v>
      </c>
      <c r="F104" s="9" t="e">
        <f>VLOOKUP($A104,'2026-2027 projections'!$B:$AJ,27,FALSE)</f>
        <v>#N/A</v>
      </c>
      <c r="G104" s="9" t="e">
        <f>VLOOKUP($A104,'2026-2027 projections'!$B:$AJ,28,FALSE)</f>
        <v>#N/A</v>
      </c>
      <c r="H104" s="9" t="e">
        <f>VLOOKUP($A104,'2026-2027 projections'!$B:$AJ,29,FALSE)</f>
        <v>#N/A</v>
      </c>
      <c r="I104" s="9" t="e">
        <f>VLOOKUP($A104,'2026-2027 projections'!$B:$AJ,30,FALSE)</f>
        <v>#N/A</v>
      </c>
      <c r="J104" s="9" t="e">
        <f>VLOOKUP($A104,'2026-2027 projections'!$B:$AJ,31,FALSE)</f>
        <v>#N/A</v>
      </c>
      <c r="L104" s="19" t="s">
        <v>151</v>
      </c>
      <c r="M104" t="e">
        <f>VLOOKUP(L104,'2026-2027 projections'!B:C,2,FALSE)</f>
        <v>#N/A</v>
      </c>
      <c r="N104" t="e">
        <f>VLOOKUP(L104,'2026-2027 projections'!B:D,3,FALSE)</f>
        <v>#N/A</v>
      </c>
      <c r="O104" s="7" t="e">
        <f>VLOOKUP($L104,'2026-2027 projections'!$B:$AJ,23,FALSE)</f>
        <v>#N/A</v>
      </c>
      <c r="P104" s="7" t="e">
        <f>VLOOKUP($L104,'2026-2027 projections'!$B:$AJ,24,FALSE)</f>
        <v>#N/A</v>
      </c>
      <c r="Q104" s="7" t="e">
        <f>VLOOKUP($L104,'2026-2027 projections'!$B:$AJ,25,FALSE)</f>
        <v>#N/A</v>
      </c>
      <c r="R104" s="7" t="e">
        <f>VLOOKUP($L104,'2026-2027 projections'!$B:$AJ,26,FALSE)</f>
        <v>#N/A</v>
      </c>
      <c r="S104" s="7" t="e">
        <f>VLOOKUP($L104,'2026-2027 projections'!$B:$AJ,27,FALSE)</f>
        <v>#N/A</v>
      </c>
      <c r="T104" s="7" t="e">
        <f>VLOOKUP($L104,'2026-2027 projections'!$B:$AJ,28,FALSE)</f>
        <v>#N/A</v>
      </c>
      <c r="U104" s="7" t="e">
        <f>VLOOKUP($L104,'2026-2027 projections'!$B:$AJ,29,FALSE)</f>
        <v>#N/A</v>
      </c>
      <c r="V104" s="7" t="e">
        <f>VLOOKUP($L104,'2026-2027 projections'!$B:$AJ,30,FALSE)</f>
        <v>#N/A</v>
      </c>
      <c r="W104" s="7" t="e">
        <f>VLOOKUP($L104,'2026-2027 projections'!$B:$AJ,31,FALSE)</f>
        <v>#N/A</v>
      </c>
    </row>
    <row r="105" spans="1:23">
      <c r="A105">
        <f t="shared" si="39"/>
        <v>0</v>
      </c>
      <c r="B105" s="9" t="e">
        <f>VLOOKUP($A105,'2026-2027 projections'!$B:$AJ,23,FALSE)</f>
        <v>#N/A</v>
      </c>
      <c r="C105" s="9" t="e">
        <f>VLOOKUP($A105,'2026-2027 projections'!$B:$AJ,24,FALSE)</f>
        <v>#N/A</v>
      </c>
      <c r="D105" s="9" t="e">
        <f>VLOOKUP($A105,'2026-2027 projections'!$B:$AJ,25,FALSE)</f>
        <v>#N/A</v>
      </c>
      <c r="E105" s="9" t="e">
        <f>VLOOKUP($A105,'2026-2027 projections'!$B:$AJ,26,FALSE)</f>
        <v>#N/A</v>
      </c>
      <c r="F105" s="9" t="e">
        <f>VLOOKUP($A105,'2026-2027 projections'!$B:$AJ,27,FALSE)</f>
        <v>#N/A</v>
      </c>
      <c r="G105" s="9" t="e">
        <f>VLOOKUP($A105,'2026-2027 projections'!$B:$AJ,28,FALSE)</f>
        <v>#N/A</v>
      </c>
      <c r="H105" s="9" t="e">
        <f>VLOOKUP($A105,'2026-2027 projections'!$B:$AJ,29,FALSE)</f>
        <v>#N/A</v>
      </c>
      <c r="I105" s="9" t="e">
        <f>VLOOKUP($A105,'2026-2027 projections'!$B:$AJ,30,FALSE)</f>
        <v>#N/A</v>
      </c>
      <c r="J105" s="9" t="e">
        <f>VLOOKUP($A105,'2026-2027 projections'!$B:$AJ,31,FALSE)</f>
        <v>#N/A</v>
      </c>
      <c r="L105" s="19" t="s">
        <v>221</v>
      </c>
      <c r="M105">
        <f>VLOOKUP(L105,'2026-2027 projections'!B:C,2,FALSE)</f>
        <v>56</v>
      </c>
      <c r="N105">
        <f>VLOOKUP(L105,'2026-2027 projections'!B:D,3,FALSE)</f>
        <v>121</v>
      </c>
      <c r="O105" s="7">
        <f>VLOOKUP($L105,'2026-2027 projections'!$B:$AJ,23,FALSE)</f>
        <v>0.84580751589687997</v>
      </c>
      <c r="P105" s="7">
        <f>VLOOKUP($L105,'2026-2027 projections'!$B:$AJ,24,FALSE)</f>
        <v>-1.7564892630819844</v>
      </c>
      <c r="Q105" s="7">
        <f>VLOOKUP($L105,'2026-2027 projections'!$B:$AJ,25,FALSE)</f>
        <v>-1.5436852813732367</v>
      </c>
      <c r="R105" s="7">
        <f>VLOOKUP($L105,'2026-2027 projections'!$B:$AJ,26,FALSE)</f>
        <v>-0.81338244331248866</v>
      </c>
      <c r="S105" s="7">
        <f>VLOOKUP($L105,'2026-2027 projections'!$B:$AJ,27,FALSE)</f>
        <v>0.29708684552913073</v>
      </c>
      <c r="T105" s="7">
        <f>VLOOKUP($L105,'2026-2027 projections'!$B:$AJ,28,FALSE)</f>
        <v>-0.23195924186698647</v>
      </c>
      <c r="U105" s="7">
        <f>VLOOKUP($L105,'2026-2027 projections'!$B:$AJ,29,FALSE)</f>
        <v>3.4739323757705947</v>
      </c>
      <c r="V105" s="7">
        <f>VLOOKUP($L105,'2026-2027 projections'!$B:$AJ,30,FALSE)</f>
        <v>0.65252922723329376</v>
      </c>
      <c r="W105" s="7">
        <f>VLOOKUP($L105,'2026-2027 projections'!$B:$AJ,31,FALSE)</f>
        <v>0.19892374787253581</v>
      </c>
    </row>
    <row r="106" spans="1:23">
      <c r="L106" s="20" t="s">
        <v>219</v>
      </c>
      <c r="M106" t="e">
        <f>VLOOKUP(L106,'2026-2027 projections'!B:C,2,FALSE)</f>
        <v>#N/A</v>
      </c>
      <c r="N106" t="e">
        <f>VLOOKUP(L106,'2026-2027 projections'!B:D,3,FALSE)</f>
        <v>#N/A</v>
      </c>
      <c r="O106" s="7" t="e">
        <f>VLOOKUP($L106,'2026-2027 projections'!$B:$AJ,23,FALSE)</f>
        <v>#N/A</v>
      </c>
      <c r="P106" s="7" t="e">
        <f>VLOOKUP($L106,'2026-2027 projections'!$B:$AJ,24,FALSE)</f>
        <v>#N/A</v>
      </c>
      <c r="Q106" s="7" t="e">
        <f>VLOOKUP($L106,'2026-2027 projections'!$B:$AJ,25,FALSE)</f>
        <v>#N/A</v>
      </c>
      <c r="R106" s="7" t="e">
        <f>VLOOKUP($L106,'2026-2027 projections'!$B:$AJ,26,FALSE)</f>
        <v>#N/A</v>
      </c>
      <c r="S106" s="7" t="e">
        <f>VLOOKUP($L106,'2026-2027 projections'!$B:$AJ,27,FALSE)</f>
        <v>#N/A</v>
      </c>
      <c r="T106" s="7" t="e">
        <f>VLOOKUP($L106,'2026-2027 projections'!$B:$AJ,28,FALSE)</f>
        <v>#N/A</v>
      </c>
      <c r="U106" s="7" t="e">
        <f>VLOOKUP($L106,'2026-2027 projections'!$B:$AJ,29,FALSE)</f>
        <v>#N/A</v>
      </c>
      <c r="V106" s="7" t="e">
        <f>VLOOKUP($L106,'2026-2027 projections'!$B:$AJ,30,FALSE)</f>
        <v>#N/A</v>
      </c>
      <c r="W106" s="7" t="e">
        <f>VLOOKUP($L106,'2026-2027 projections'!$B:$AJ,31,FALSE)</f>
        <v>#N/A</v>
      </c>
    </row>
    <row r="107" spans="1:23">
      <c r="L107" s="19" t="s">
        <v>190</v>
      </c>
      <c r="M107">
        <f>VLOOKUP(L107,'2026-2027 projections'!B:C,2,FALSE)</f>
        <v>140</v>
      </c>
      <c r="N107">
        <f>VLOOKUP(L107,'2026-2027 projections'!B:D,3,FALSE)</f>
        <v>138</v>
      </c>
      <c r="O107" s="7">
        <f>VLOOKUP($L107,'2026-2027 projections'!$B:$AJ,23,FALSE)</f>
        <v>0.60473908500156837</v>
      </c>
      <c r="P107" s="7">
        <f>VLOOKUP($L107,'2026-2027 projections'!$B:$AJ,24,FALSE)</f>
        <v>-5.6220740518896767E-4</v>
      </c>
      <c r="Q107" s="7">
        <f>VLOOKUP($L107,'2026-2027 projections'!$B:$AJ,25,FALSE)</f>
        <v>-7.066717971698469E-2</v>
      </c>
      <c r="R107" s="7">
        <f>VLOOKUP($L107,'2026-2027 projections'!$B:$AJ,26,FALSE)</f>
        <v>-0.11300902303751025</v>
      </c>
      <c r="S107" s="7">
        <f>VLOOKUP($L107,'2026-2027 projections'!$B:$AJ,27,FALSE)</f>
        <v>-0.20226748995258578</v>
      </c>
      <c r="T107" s="7">
        <f>VLOOKUP($L107,'2026-2027 projections'!$B:$AJ,28,FALSE)</f>
        <v>-0.33522348907687438</v>
      </c>
      <c r="U107" s="7">
        <f>VLOOKUP($L107,'2026-2027 projections'!$B:$AJ,29,FALSE)</f>
        <v>-1.5157384640814993</v>
      </c>
      <c r="V107" s="7">
        <f>VLOOKUP($L107,'2026-2027 projections'!$B:$AJ,30,FALSE)</f>
        <v>-0.76869155096677622</v>
      </c>
      <c r="W107" s="7">
        <f>VLOOKUP($L107,'2026-2027 projections'!$B:$AJ,31,FALSE)</f>
        <v>0.74477594339990116</v>
      </c>
    </row>
    <row r="108" spans="1:23">
      <c r="B108" s="1" t="s">
        <v>6</v>
      </c>
      <c r="C108" s="1" t="s">
        <v>7</v>
      </c>
      <c r="D108" s="1" t="s">
        <v>8</v>
      </c>
      <c r="E108" s="1" t="s">
        <v>9</v>
      </c>
      <c r="F108" s="1" t="s">
        <v>10</v>
      </c>
      <c r="G108" s="1" t="s">
        <v>11</v>
      </c>
      <c r="H108" s="1" t="s">
        <v>12</v>
      </c>
      <c r="I108" s="1" t="s">
        <v>13</v>
      </c>
      <c r="J108" s="1" t="s">
        <v>14</v>
      </c>
      <c r="K108" s="7"/>
      <c r="L108" s="19" t="s">
        <v>180</v>
      </c>
      <c r="M108">
        <f>VLOOKUP(L108,'2026-2027 projections'!B:C,2,FALSE)</f>
        <v>177</v>
      </c>
      <c r="N108" t="e">
        <f>VLOOKUP(L108,'2026-2027 projections'!B:D,3,FALSE)</f>
        <v>#N/A</v>
      </c>
      <c r="O108" s="7">
        <f>VLOOKUP($L108,'2026-2027 projections'!$B:$AJ,23,FALSE)</f>
        <v>-1.0836590458270698</v>
      </c>
      <c r="P108" s="7">
        <f>VLOOKUP($L108,'2026-2027 projections'!$B:$AJ,24,FALSE)</f>
        <v>0.52561281408138338</v>
      </c>
      <c r="Q108" s="7">
        <f>VLOOKUP($L108,'2026-2027 projections'!$B:$AJ,25,FALSE)</f>
        <v>0.35019513504194433</v>
      </c>
      <c r="R108" s="7">
        <f>VLOOKUP($L108,'2026-2027 projections'!$B:$AJ,26,FALSE)</f>
        <v>-0.24551210254899281</v>
      </c>
      <c r="S108" s="7">
        <f>VLOOKUP($L108,'2026-2027 projections'!$B:$AJ,27,FALSE)</f>
        <v>-1.2009761609160188</v>
      </c>
      <c r="T108" s="7">
        <f>VLOOKUP($L108,'2026-2027 projections'!$B:$AJ,28,FALSE)</f>
        <v>0.28436199418245256</v>
      </c>
      <c r="U108" s="7">
        <f>VLOOKUP($L108,'2026-2027 projections'!$B:$AJ,29,FALSE)</f>
        <v>-0.6352083158723062</v>
      </c>
      <c r="V108" s="7">
        <f>VLOOKUP($L108,'2026-2027 projections'!$B:$AJ,30,FALSE)</f>
        <v>-0.36262847148104194</v>
      </c>
      <c r="W108" s="7">
        <f>VLOOKUP($L108,'2026-2027 projections'!$B:$AJ,31,FALSE)</f>
        <v>-7.4002349891146874E-2</v>
      </c>
    </row>
    <row r="109" spans="1:23">
      <c r="B109" s="7">
        <f>AVERAGEIF(B86:B100, "&lt;&gt;#N/A")</f>
        <v>1.373754579288343</v>
      </c>
      <c r="C109" s="7">
        <f>AVERAGEIF(C86:C100, "&lt;&gt;#N/A")</f>
        <v>0.64112088096429776</v>
      </c>
      <c r="D109" s="7">
        <f t="shared" ref="D109:J109" si="40">AVERAGEIF(D86:D100, "&lt;&gt;#N/A")</f>
        <v>0.66584187111114113</v>
      </c>
      <c r="E109" s="7">
        <f t="shared" si="40"/>
        <v>1.3161313345506207</v>
      </c>
      <c r="F109" s="7">
        <f t="shared" si="40"/>
        <v>0.96289262617141902</v>
      </c>
      <c r="G109" s="7">
        <f t="shared" si="40"/>
        <v>3.2790251632691993</v>
      </c>
      <c r="H109" s="7">
        <f t="shared" si="40"/>
        <v>1.2726070052476119</v>
      </c>
      <c r="I109" s="7">
        <f t="shared" si="40"/>
        <v>-5.8081161866741282E-2</v>
      </c>
      <c r="J109" s="7">
        <f t="shared" si="40"/>
        <v>-0.90053812606373207</v>
      </c>
      <c r="K109" s="7">
        <f>AVERAGE(B109:J109)</f>
        <v>0.95030601918579549</v>
      </c>
    </row>
  </sheetData>
  <conditionalFormatting sqref="B2:J20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J24">
    <cfRule type="colorScale" priority="21">
      <colorScale>
        <cfvo type="min"/>
        <cfvo type="num" val="0"/>
        <cfvo type="max"/>
        <color rgb="FFFF0000"/>
        <color theme="0"/>
        <color rgb="FF00B050"/>
      </colorScale>
    </cfRule>
  </conditionalFormatting>
  <conditionalFormatting sqref="B53:J53">
    <cfRule type="colorScale" priority="20">
      <colorScale>
        <cfvo type="min"/>
        <cfvo type="num" val="0"/>
        <cfvo type="max"/>
        <color rgb="FFFF0000"/>
        <color theme="0"/>
        <color rgb="FF00B050"/>
      </colorScale>
    </cfRule>
  </conditionalFormatting>
  <conditionalFormatting sqref="B81:J81">
    <cfRule type="colorScale" priority="19">
      <colorScale>
        <cfvo type="min"/>
        <cfvo type="num" val="0"/>
        <cfvo type="max"/>
        <color rgb="FFFF0000"/>
        <color theme="0"/>
        <color rgb="FF00B050"/>
      </colorScale>
    </cfRule>
  </conditionalFormatting>
  <conditionalFormatting sqref="B109:J109">
    <cfRule type="colorScale" priority="18">
      <colorScale>
        <cfvo type="min"/>
        <cfvo type="num" val="0"/>
        <cfvo type="max"/>
        <color rgb="FFFF0000"/>
        <color theme="0"/>
        <color rgb="FF00B050"/>
      </colorScale>
    </cfRule>
  </conditionalFormatting>
  <conditionalFormatting sqref="O2:W10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4:W44 O57:W5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J49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9:J7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7:J10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4:W2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2:W4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6:W5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59:W7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76:W9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96:W10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6:AK6">
    <cfRule type="cellIs" dxfId="24" priority="3" operator="between">
      <formula>0.1</formula>
      <formula>0.25</formula>
    </cfRule>
    <cfRule type="cellIs" dxfId="23" priority="4" operator="lessThan">
      <formula>-0.25</formula>
    </cfRule>
    <cfRule type="cellIs" dxfId="22" priority="5" operator="greaterThan">
      <formula>0.25</formula>
    </cfRule>
  </conditionalFormatting>
  <conditionalFormatting sqref="AC18:AK18">
    <cfRule type="cellIs" dxfId="21" priority="6" operator="lessThan">
      <formula>-0.25</formula>
    </cfRule>
    <cfRule type="cellIs" dxfId="20" priority="7" operator="greaterThan">
      <formula>0.25</formula>
    </cfRule>
  </conditionalFormatting>
  <conditionalFormatting sqref="AC12:AK12">
    <cfRule type="colorScale" priority="2">
      <colorScale>
        <cfvo type="min"/>
        <cfvo type="num" val="0"/>
        <cfvo type="max"/>
        <color rgb="FFFF0000"/>
        <color theme="0"/>
        <color rgb="FF00B050"/>
      </colorScale>
    </cfRule>
  </conditionalFormatting>
  <conditionalFormatting sqref="B2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B1" r:id="rId1" display="javascript:__doPostBack('ctl00$ContentPlaceHolder1$GridView1','Sort$fgp')" xr:uid="{C4F59869-7211-3C4D-A694-A62CDFEB968D}"/>
    <hyperlink ref="C1" r:id="rId2" display="javascript:__doPostBack('ctl00$ContentPlaceHolder1$GridView1','Sort$ftp')" xr:uid="{AC3B93FF-05A0-174A-9A68-F48BE6538619}"/>
    <hyperlink ref="D1" r:id="rId3" display="javascript:__doPostBack('ctl00$ContentPlaceHolder1$GridView1','Sort$tgm')" xr:uid="{41DB959D-FD26-E148-9B08-114C68D297A6}"/>
    <hyperlink ref="E1" r:id="rId4" display="javascript:__doPostBack('ctl00$ContentPlaceHolder1$GridView1','Sort$pts')" xr:uid="{EF48FD30-8EBF-CC49-924B-2304174721CD}"/>
    <hyperlink ref="F1" r:id="rId5" display="javascript:__doPostBack('ctl00$ContentPlaceHolder1$GridView1','Sort$reb')" xr:uid="{CCCFAA7C-18CD-D945-A174-4E48010F1E8D}"/>
    <hyperlink ref="G1" r:id="rId6" display="javascript:__doPostBack('ctl00$ContentPlaceHolder1$GridView1','Sort$ast')" xr:uid="{BA9537EC-F00C-844D-967B-7707DC86D716}"/>
    <hyperlink ref="H1" r:id="rId7" display="javascript:__doPostBack('ctl00$ContentPlaceHolder1$GridView1','Sort$stl')" xr:uid="{C59C8670-27E9-EC41-A441-509D98C99180}"/>
    <hyperlink ref="I1" r:id="rId8" display="javascript:__doPostBack('ctl00$ContentPlaceHolder1$GridView1','Sort$blk')" xr:uid="{C1E0E114-00A6-DA44-84EB-15BF60F219B2}"/>
    <hyperlink ref="J1" r:id="rId9" display="javascript:__doPostBack('ctl00$ContentPlaceHolder1$GridView1','Sort$tur')" xr:uid="{63A10525-8CE9-6C40-BF00-3C803E640A77}"/>
    <hyperlink ref="O1" r:id="rId10" display="javascript:__doPostBack('ctl00$ContentPlaceHolder1$GridView1','Sort$fgp')" xr:uid="{08558A9C-7976-6446-8CDD-2904CC075EA5}"/>
    <hyperlink ref="P1" r:id="rId11" display="javascript:__doPostBack('ctl00$ContentPlaceHolder1$GridView1','Sort$ftp')" xr:uid="{73BA615E-1674-F842-BB76-FA8C427896B5}"/>
    <hyperlink ref="Q1" r:id="rId12" display="javascript:__doPostBack('ctl00$ContentPlaceHolder1$GridView1','Sort$tgm')" xr:uid="{A24C530B-FE64-C743-901C-AF0B36A723D3}"/>
    <hyperlink ref="R1" r:id="rId13" display="javascript:__doPostBack('ctl00$ContentPlaceHolder1$GridView1','Sort$pts')" xr:uid="{4FF18C14-8C5A-2B42-ACED-716C57FBA7C6}"/>
    <hyperlink ref="S1" r:id="rId14" display="javascript:__doPostBack('ctl00$ContentPlaceHolder1$GridView1','Sort$reb')" xr:uid="{640BE245-1D35-EA44-A452-C54E1A5139FD}"/>
    <hyperlink ref="T1" r:id="rId15" display="javascript:__doPostBack('ctl00$ContentPlaceHolder1$GridView1','Sort$ast')" xr:uid="{BE5138D0-1DEE-5E4B-BCE0-3FA6B918CFAE}"/>
    <hyperlink ref="U1" r:id="rId16" display="javascript:__doPostBack('ctl00$ContentPlaceHolder1$GridView1','Sort$stl')" xr:uid="{B555F454-23DE-B348-861F-9C8298FD1572}"/>
    <hyperlink ref="V1" r:id="rId17" display="javascript:__doPostBack('ctl00$ContentPlaceHolder1$GridView1','Sort$blk')" xr:uid="{0DDD4454-D65E-F24C-9987-962D318E49FB}"/>
    <hyperlink ref="W1" r:id="rId18" display="javascript:__doPostBack('ctl00$ContentPlaceHolder1$GridView1','Sort$tur')" xr:uid="{746327E1-C9EA-B943-8B85-6AAE7A0A44CB}"/>
    <hyperlink ref="O13" r:id="rId19" display="javascript:__doPostBack('ctl00$ContentPlaceHolder1$GridView1','Sort$fgp')" xr:uid="{88BBDDE4-CECB-DB42-83DE-CF14125CB0DE}"/>
    <hyperlink ref="P13" r:id="rId20" display="javascript:__doPostBack('ctl00$ContentPlaceHolder1$GridView1','Sort$ftp')" xr:uid="{6E26668A-4CDE-E64D-BB4A-3D457EAA299E}"/>
    <hyperlink ref="Q13" r:id="rId21" display="javascript:__doPostBack('ctl00$ContentPlaceHolder1$GridView1','Sort$tgm')" xr:uid="{E68412A3-9646-324F-99D8-F6CC79E14019}"/>
    <hyperlink ref="R13" r:id="rId22" display="javascript:__doPostBack('ctl00$ContentPlaceHolder1$GridView1','Sort$pts')" xr:uid="{FEA53C6E-9BA5-A34B-8DD3-8BE0278DBA23}"/>
    <hyperlink ref="S13" r:id="rId23" display="javascript:__doPostBack('ctl00$ContentPlaceHolder1$GridView1','Sort$reb')" xr:uid="{04060907-3955-6346-BDB3-A676BE141102}"/>
    <hyperlink ref="T13" r:id="rId24" display="javascript:__doPostBack('ctl00$ContentPlaceHolder1$GridView1','Sort$ast')" xr:uid="{AB369EF5-1C20-B741-B5E8-45070B7205EB}"/>
    <hyperlink ref="U13" r:id="rId25" display="javascript:__doPostBack('ctl00$ContentPlaceHolder1$GridView1','Sort$stl')" xr:uid="{E1036EE6-B721-B548-A262-2057E785D1BF}"/>
    <hyperlink ref="V13" r:id="rId26" display="javascript:__doPostBack('ctl00$ContentPlaceHolder1$GridView1','Sort$blk')" xr:uid="{0031185F-C1F8-3441-8A86-7E1B2D333E1E}"/>
    <hyperlink ref="W13" r:id="rId27" display="javascript:__doPostBack('ctl00$ContentPlaceHolder1$GridView1','Sort$tur')" xr:uid="{A191085F-3F06-A740-A28F-1EC08FA35743}"/>
    <hyperlink ref="O31" r:id="rId28" display="javascript:__doPostBack('ctl00$ContentPlaceHolder1$GridView1','Sort$fgp')" xr:uid="{963F8A21-4934-8449-AEC1-80C672B6C8A3}"/>
    <hyperlink ref="P31" r:id="rId29" display="javascript:__doPostBack('ctl00$ContentPlaceHolder1$GridView1','Sort$ftp')" xr:uid="{FB646DAC-EF5A-5C42-9145-3BA3148BEB4D}"/>
    <hyperlink ref="Q31" r:id="rId30" display="javascript:__doPostBack('ctl00$ContentPlaceHolder1$GridView1','Sort$tgm')" xr:uid="{FD077536-1157-D04A-9C97-9D49E55B9B01}"/>
    <hyperlink ref="R31" r:id="rId31" display="javascript:__doPostBack('ctl00$ContentPlaceHolder1$GridView1','Sort$pts')" xr:uid="{356BD111-ED1B-BE4D-B907-809302BF729A}"/>
    <hyperlink ref="S31" r:id="rId32" display="javascript:__doPostBack('ctl00$ContentPlaceHolder1$GridView1','Sort$reb')" xr:uid="{7D9558B5-7E87-7442-B44C-0E99621E3F68}"/>
    <hyperlink ref="T31" r:id="rId33" display="javascript:__doPostBack('ctl00$ContentPlaceHolder1$GridView1','Sort$ast')" xr:uid="{1E7692F3-735A-0344-A1C0-D0478631B0D3}"/>
    <hyperlink ref="U31" r:id="rId34" display="javascript:__doPostBack('ctl00$ContentPlaceHolder1$GridView1','Sort$stl')" xr:uid="{2C368842-DEE2-9444-906F-A9BAFA618740}"/>
    <hyperlink ref="V31" r:id="rId35" display="javascript:__doPostBack('ctl00$ContentPlaceHolder1$GridView1','Sort$blk')" xr:uid="{A23F637B-758E-9645-8457-F9692F9245B5}"/>
    <hyperlink ref="W31" r:id="rId36" display="javascript:__doPostBack('ctl00$ContentPlaceHolder1$GridView1','Sort$tur')" xr:uid="{B483A75F-E1DC-C143-B991-5DBC01B60A55}"/>
    <hyperlink ref="O45" r:id="rId37" display="javascript:__doPostBack('ctl00$ContentPlaceHolder1$GridView1','Sort$fgp')" xr:uid="{8F3A0A98-2B71-DC4B-9F6D-8CDE41386E4A}"/>
    <hyperlink ref="P45" r:id="rId38" display="javascript:__doPostBack('ctl00$ContentPlaceHolder1$GridView1','Sort$ftp')" xr:uid="{586E5A43-2C72-A244-9472-B191A9C6283C}"/>
    <hyperlink ref="Q45" r:id="rId39" display="javascript:__doPostBack('ctl00$ContentPlaceHolder1$GridView1','Sort$tgm')" xr:uid="{F7FBC733-0840-9F44-B433-DC460A5150C7}"/>
    <hyperlink ref="R45" r:id="rId40" display="javascript:__doPostBack('ctl00$ContentPlaceHolder1$GridView1','Sort$pts')" xr:uid="{AACC70DE-DE69-6441-A072-238D3328911F}"/>
    <hyperlink ref="S45" r:id="rId41" display="javascript:__doPostBack('ctl00$ContentPlaceHolder1$GridView1','Sort$reb')" xr:uid="{8F49E22F-EA75-9447-B412-3B8B0ED25245}"/>
    <hyperlink ref="T45" r:id="rId42" display="javascript:__doPostBack('ctl00$ContentPlaceHolder1$GridView1','Sort$ast')" xr:uid="{57335269-CB94-7144-9A51-1F832F783D08}"/>
    <hyperlink ref="U45" r:id="rId43" display="javascript:__doPostBack('ctl00$ContentPlaceHolder1$GridView1','Sort$stl')" xr:uid="{7811AAC0-734D-494C-B985-BB8E7CE4E077}"/>
    <hyperlink ref="V45" r:id="rId44" display="javascript:__doPostBack('ctl00$ContentPlaceHolder1$GridView1','Sort$blk')" xr:uid="{DA57C300-4598-D646-AFA3-D40BACA3A3BF}"/>
    <hyperlink ref="W45" r:id="rId45" display="javascript:__doPostBack('ctl00$ContentPlaceHolder1$GridView1','Sort$tur')" xr:uid="{F617375C-B1C3-9940-BD2A-799602848FFF}"/>
    <hyperlink ref="O58" r:id="rId46" display="javascript:__doPostBack('ctl00$ContentPlaceHolder1$GridView1','Sort$fgp')" xr:uid="{05081F88-60D4-6545-8A85-750F7987B06C}"/>
    <hyperlink ref="P58" r:id="rId47" display="javascript:__doPostBack('ctl00$ContentPlaceHolder1$GridView1','Sort$ftp')" xr:uid="{0226EE9C-B5F5-6349-9777-2C265FEF05BF}"/>
    <hyperlink ref="Q58" r:id="rId48" display="javascript:__doPostBack('ctl00$ContentPlaceHolder1$GridView1','Sort$tgm')" xr:uid="{DC9AD7D1-2911-6341-B369-BB44F9427ADE}"/>
    <hyperlink ref="R58" r:id="rId49" display="javascript:__doPostBack('ctl00$ContentPlaceHolder1$GridView1','Sort$pts')" xr:uid="{EE65A5EB-A360-204F-8412-24083BCD45ED}"/>
    <hyperlink ref="S58" r:id="rId50" display="javascript:__doPostBack('ctl00$ContentPlaceHolder1$GridView1','Sort$reb')" xr:uid="{98AC15AD-67C6-B340-95D2-DB930DFE69FC}"/>
    <hyperlink ref="T58" r:id="rId51" display="javascript:__doPostBack('ctl00$ContentPlaceHolder1$GridView1','Sort$ast')" xr:uid="{52F4439B-E613-EF4B-BC0C-596D73597D12}"/>
    <hyperlink ref="U58" r:id="rId52" display="javascript:__doPostBack('ctl00$ContentPlaceHolder1$GridView1','Sort$stl')" xr:uid="{E6B682CA-2C9A-9847-BAF5-DDCE02EBC7AF}"/>
    <hyperlink ref="V58" r:id="rId53" display="javascript:__doPostBack('ctl00$ContentPlaceHolder1$GridView1','Sort$blk')" xr:uid="{860E6C29-723B-A448-B00E-41AED10740D0}"/>
    <hyperlink ref="W58" r:id="rId54" display="javascript:__doPostBack('ctl00$ContentPlaceHolder1$GridView1','Sort$tur')" xr:uid="{6F8E2A63-6B15-4542-8D2B-99B4122EDA2D}"/>
    <hyperlink ref="O75" r:id="rId55" display="javascript:__doPostBack('ctl00$ContentPlaceHolder1$GridView1','Sort$fgp')" xr:uid="{EF94CF07-0E2E-EB4E-80A2-4B5F673ED0CD}"/>
    <hyperlink ref="P75" r:id="rId56" display="javascript:__doPostBack('ctl00$ContentPlaceHolder1$GridView1','Sort$ftp')" xr:uid="{CB04FCE1-5D82-C64E-8D92-84DF5E5F4AB4}"/>
    <hyperlink ref="Q75" r:id="rId57" display="javascript:__doPostBack('ctl00$ContentPlaceHolder1$GridView1','Sort$tgm')" xr:uid="{018C7EF2-8F82-0644-847C-7AC730F94511}"/>
    <hyperlink ref="R75" r:id="rId58" display="javascript:__doPostBack('ctl00$ContentPlaceHolder1$GridView1','Sort$pts')" xr:uid="{DAEF3FE0-35B1-3643-AF48-79EB7DD71497}"/>
    <hyperlink ref="S75" r:id="rId59" display="javascript:__doPostBack('ctl00$ContentPlaceHolder1$GridView1','Sort$reb')" xr:uid="{6D2F07B4-99F7-A34A-B1E7-B5EFC833E5B0}"/>
    <hyperlink ref="T75" r:id="rId60" display="javascript:__doPostBack('ctl00$ContentPlaceHolder1$GridView1','Sort$ast')" xr:uid="{91A334C5-E5B6-4B43-B332-84492C3A76BC}"/>
    <hyperlink ref="U75" r:id="rId61" display="javascript:__doPostBack('ctl00$ContentPlaceHolder1$GridView1','Sort$stl')" xr:uid="{F7EBF464-BD97-1B4F-92AC-BB2BC51750E6}"/>
    <hyperlink ref="V75" r:id="rId62" display="javascript:__doPostBack('ctl00$ContentPlaceHolder1$GridView1','Sort$blk')" xr:uid="{726709EE-C5CB-1247-A761-764639E8AA4F}"/>
    <hyperlink ref="W75" r:id="rId63" display="javascript:__doPostBack('ctl00$ContentPlaceHolder1$GridView1','Sort$tur')" xr:uid="{C7B83FD2-2F90-4449-8750-C7A13B20A4BD}"/>
    <hyperlink ref="O95" r:id="rId64" display="javascript:__doPostBack('ctl00$ContentPlaceHolder1$GridView1','Sort$fgp')" xr:uid="{F8F2429E-CCCA-CF41-81C4-B0D3F78AD6BF}"/>
    <hyperlink ref="P95" r:id="rId65" display="javascript:__doPostBack('ctl00$ContentPlaceHolder1$GridView1','Sort$ftp')" xr:uid="{FFF35115-05CA-CC46-BE13-6D3A540E120F}"/>
    <hyperlink ref="Q95" r:id="rId66" display="javascript:__doPostBack('ctl00$ContentPlaceHolder1$GridView1','Sort$tgm')" xr:uid="{CE094B53-DDAC-3E41-BBB4-A85A460F3341}"/>
    <hyperlink ref="R95" r:id="rId67" display="javascript:__doPostBack('ctl00$ContentPlaceHolder1$GridView1','Sort$pts')" xr:uid="{060D927A-44FE-8344-8448-99B33897096E}"/>
    <hyperlink ref="S95" r:id="rId68" display="javascript:__doPostBack('ctl00$ContentPlaceHolder1$GridView1','Sort$reb')" xr:uid="{4E69A62C-9B02-9F47-A776-21689460E907}"/>
    <hyperlink ref="T95" r:id="rId69" display="javascript:__doPostBack('ctl00$ContentPlaceHolder1$GridView1','Sort$ast')" xr:uid="{FB933D80-7BA0-2A48-92DA-3CBCE9B02D9F}"/>
    <hyperlink ref="U95" r:id="rId70" display="javascript:__doPostBack('ctl00$ContentPlaceHolder1$GridView1','Sort$stl')" xr:uid="{5BD5943B-1938-6C49-A856-853B000F0DF1}"/>
    <hyperlink ref="V95" r:id="rId71" display="javascript:__doPostBack('ctl00$ContentPlaceHolder1$GridView1','Sort$blk')" xr:uid="{2910A0DB-6B17-EA49-93FD-603FC69AD401}"/>
    <hyperlink ref="W95" r:id="rId72" display="javascript:__doPostBack('ctl00$ContentPlaceHolder1$GridView1','Sort$tur')" xr:uid="{DD51AE55-BB91-5543-A40A-335139F79679}"/>
    <hyperlink ref="B30" r:id="rId73" display="javascript:__doPostBack('ctl00$ContentPlaceHolder1$GridView1','Sort$fgp')" xr:uid="{4B26BAD2-223F-BB4F-B5B7-8F6D1301519D}"/>
    <hyperlink ref="C30" r:id="rId74" display="javascript:__doPostBack('ctl00$ContentPlaceHolder1$GridView1','Sort$ftp')" xr:uid="{C85942ED-D8DE-9045-960C-DBE0809111BA}"/>
    <hyperlink ref="D30" r:id="rId75" display="javascript:__doPostBack('ctl00$ContentPlaceHolder1$GridView1','Sort$tgm')" xr:uid="{FD7772FE-3D68-BD4B-8DEA-3A56B763FAF3}"/>
    <hyperlink ref="E30" r:id="rId76" display="javascript:__doPostBack('ctl00$ContentPlaceHolder1$GridView1','Sort$pts')" xr:uid="{3970757F-0739-534C-B34F-89028390441C}"/>
    <hyperlink ref="F30" r:id="rId77" display="javascript:__doPostBack('ctl00$ContentPlaceHolder1$GridView1','Sort$reb')" xr:uid="{34CB7E8A-CCF5-A244-8ECC-AB687AE24945}"/>
    <hyperlink ref="G30" r:id="rId78" display="javascript:__doPostBack('ctl00$ContentPlaceHolder1$GridView1','Sort$ast')" xr:uid="{E4BDD188-419A-4C42-B880-D04F92FE12FB}"/>
    <hyperlink ref="H30" r:id="rId79" display="javascript:__doPostBack('ctl00$ContentPlaceHolder1$GridView1','Sort$stl')" xr:uid="{503F2ACE-1706-9849-A6A7-8C9B629CCD4C}"/>
    <hyperlink ref="I30" r:id="rId80" display="javascript:__doPostBack('ctl00$ContentPlaceHolder1$GridView1','Sort$blk')" xr:uid="{889FB4C1-8FF7-7A4E-A03B-423990D4D4DC}"/>
    <hyperlink ref="J30" r:id="rId81" display="javascript:__doPostBack('ctl00$ContentPlaceHolder1$GridView1','Sort$tur')" xr:uid="{40E1FB15-4AA9-4049-A12C-080D04CB855D}"/>
    <hyperlink ref="B58" r:id="rId82" display="javascript:__doPostBack('ctl00$ContentPlaceHolder1$GridView1','Sort$fgp')" xr:uid="{24C11AF5-7EA1-C84D-A65E-BED2F3361611}"/>
    <hyperlink ref="C58" r:id="rId83" display="javascript:__doPostBack('ctl00$ContentPlaceHolder1$GridView1','Sort$ftp')" xr:uid="{548E99A7-BBB5-BD43-B172-B493C991D6F3}"/>
    <hyperlink ref="D58" r:id="rId84" display="javascript:__doPostBack('ctl00$ContentPlaceHolder1$GridView1','Sort$tgm')" xr:uid="{60FB5321-25EE-524B-B030-97C84B52B8C7}"/>
    <hyperlink ref="E58" r:id="rId85" display="javascript:__doPostBack('ctl00$ContentPlaceHolder1$GridView1','Sort$pts')" xr:uid="{AC18EE30-7857-CD40-92C2-69D87B979A2F}"/>
    <hyperlink ref="F58" r:id="rId86" display="javascript:__doPostBack('ctl00$ContentPlaceHolder1$GridView1','Sort$reb')" xr:uid="{29A69390-8E71-EA41-AB83-F422637DD585}"/>
    <hyperlink ref="G58" r:id="rId87" display="javascript:__doPostBack('ctl00$ContentPlaceHolder1$GridView1','Sort$ast')" xr:uid="{E9767070-AA90-9C4E-94DF-0328B5B19DB8}"/>
    <hyperlink ref="H58" r:id="rId88" display="javascript:__doPostBack('ctl00$ContentPlaceHolder1$GridView1','Sort$stl')" xr:uid="{C5C39CF9-8C39-DA4B-A2FD-9A6668AF07E9}"/>
    <hyperlink ref="I58" r:id="rId89" display="javascript:__doPostBack('ctl00$ContentPlaceHolder1$GridView1','Sort$blk')" xr:uid="{A3275ED5-287D-D540-AE1F-D871278FAF35}"/>
    <hyperlink ref="J58" r:id="rId90" display="javascript:__doPostBack('ctl00$ContentPlaceHolder1$GridView1','Sort$tur')" xr:uid="{A5E6D001-8081-C74E-BBE6-E4AD487D04D3}"/>
    <hyperlink ref="B86" r:id="rId91" display="javascript:__doPostBack('ctl00$ContentPlaceHolder1$GridView1','Sort$fgp')" xr:uid="{D66B507C-EDD8-2F45-9F62-0A32FDEB2186}"/>
    <hyperlink ref="C86" r:id="rId92" display="javascript:__doPostBack('ctl00$ContentPlaceHolder1$GridView1','Sort$ftp')" xr:uid="{1AB5470D-D88D-9E46-9154-AF83058947D6}"/>
    <hyperlink ref="D86" r:id="rId93" display="javascript:__doPostBack('ctl00$ContentPlaceHolder1$GridView1','Sort$tgm')" xr:uid="{5FAA2840-50CF-754B-95B7-E0A07B7B65B1}"/>
    <hyperlink ref="E86" r:id="rId94" display="javascript:__doPostBack('ctl00$ContentPlaceHolder1$GridView1','Sort$pts')" xr:uid="{1701AF10-27FB-D147-B9D3-ECDE60E51F91}"/>
    <hyperlink ref="F86" r:id="rId95" display="javascript:__doPostBack('ctl00$ContentPlaceHolder1$GridView1','Sort$reb')" xr:uid="{CB5E819E-B6AE-5B42-9485-70E65798DB72}"/>
    <hyperlink ref="G86" r:id="rId96" display="javascript:__doPostBack('ctl00$ContentPlaceHolder1$GridView1','Sort$ast')" xr:uid="{8F2002AF-730E-7540-94A2-D979CFFDF045}"/>
    <hyperlink ref="H86" r:id="rId97" display="javascript:__doPostBack('ctl00$ContentPlaceHolder1$GridView1','Sort$stl')" xr:uid="{C55B8466-0E3D-8C4F-B1B1-2F346864A7D1}"/>
    <hyperlink ref="I86" r:id="rId98" display="javascript:__doPostBack('ctl00$ContentPlaceHolder1$GridView1','Sort$blk')" xr:uid="{01C5B5A4-4B35-A446-89B5-179EF8C2F5B5}"/>
    <hyperlink ref="J86" r:id="rId99" display="javascript:__doPostBack('ctl00$ContentPlaceHolder1$GridView1','Sort$tur')" xr:uid="{F410598E-80D7-A74F-A38B-6D0605F89C35}"/>
    <hyperlink ref="B23" r:id="rId100" display="javascript:__doPostBack('ctl00$ContentPlaceHolder1$GridView1','Sort$fgp')" xr:uid="{BA02EE32-A668-A34D-92D7-735735BEB3D2}"/>
    <hyperlink ref="C23" r:id="rId101" display="javascript:__doPostBack('ctl00$ContentPlaceHolder1$GridView1','Sort$ftp')" xr:uid="{AD055673-933A-E749-8759-F01237902D56}"/>
    <hyperlink ref="D23" r:id="rId102" display="javascript:__doPostBack('ctl00$ContentPlaceHolder1$GridView1','Sort$tgm')" xr:uid="{2D8CCA8E-C819-D04A-8B43-972C22BBC306}"/>
    <hyperlink ref="E23" r:id="rId103" display="javascript:__doPostBack('ctl00$ContentPlaceHolder1$GridView1','Sort$pts')" xr:uid="{1A7FEB56-985C-1C41-9F32-A7EF5076EE63}"/>
    <hyperlink ref="F23" r:id="rId104" display="javascript:__doPostBack('ctl00$ContentPlaceHolder1$GridView1','Sort$reb')" xr:uid="{16F5B432-CEC5-A344-849A-A1190C330D5D}"/>
    <hyperlink ref="G23" r:id="rId105" display="javascript:__doPostBack('ctl00$ContentPlaceHolder1$GridView1','Sort$ast')" xr:uid="{962CAB62-AA05-F044-BA7A-FDC90CBE10AE}"/>
    <hyperlink ref="H23" r:id="rId106" display="javascript:__doPostBack('ctl00$ContentPlaceHolder1$GridView1','Sort$stl')" xr:uid="{FB01F77E-DCDF-D645-8031-993E2DA3D502}"/>
    <hyperlink ref="I23" r:id="rId107" display="javascript:__doPostBack('ctl00$ContentPlaceHolder1$GridView1','Sort$blk')" xr:uid="{793A161B-523B-DD48-90C5-DD9258D135A5}"/>
    <hyperlink ref="J23" r:id="rId108" display="javascript:__doPostBack('ctl00$ContentPlaceHolder1$GridView1','Sort$tur')" xr:uid="{5993C6C2-DE69-9D4B-AC10-76C34EB005BF}"/>
    <hyperlink ref="B52" r:id="rId109" display="javascript:__doPostBack('ctl00$ContentPlaceHolder1$GridView1','Sort$fgp')" xr:uid="{FBE32504-65DD-8A41-A6B0-3174CF9BC4CB}"/>
    <hyperlink ref="C52" r:id="rId110" display="javascript:__doPostBack('ctl00$ContentPlaceHolder1$GridView1','Sort$ftp')" xr:uid="{B3F2EEED-58BC-D647-A7C0-76F7E4414688}"/>
    <hyperlink ref="D52" r:id="rId111" display="javascript:__doPostBack('ctl00$ContentPlaceHolder1$GridView1','Sort$tgm')" xr:uid="{397FFED0-F309-5D4E-BCB2-FE8775CF041E}"/>
    <hyperlink ref="E52" r:id="rId112" display="javascript:__doPostBack('ctl00$ContentPlaceHolder1$GridView1','Sort$pts')" xr:uid="{A38B4BA2-E31C-354C-92C7-75C3A5B2647B}"/>
    <hyperlink ref="F52" r:id="rId113" display="javascript:__doPostBack('ctl00$ContentPlaceHolder1$GridView1','Sort$reb')" xr:uid="{45986A8B-533F-9C4D-A87F-FBF5F52F7B7B}"/>
    <hyperlink ref="G52" r:id="rId114" display="javascript:__doPostBack('ctl00$ContentPlaceHolder1$GridView1','Sort$ast')" xr:uid="{9E91AB39-2192-CD48-BA03-FAACFC9E581C}"/>
    <hyperlink ref="H52" r:id="rId115" display="javascript:__doPostBack('ctl00$ContentPlaceHolder1$GridView1','Sort$stl')" xr:uid="{8B655240-3EF9-4A40-B948-E7628CE220AF}"/>
    <hyperlink ref="I52" r:id="rId116" display="javascript:__doPostBack('ctl00$ContentPlaceHolder1$GridView1','Sort$blk')" xr:uid="{632F589E-8CE3-4E40-B808-C504FFB2D67A}"/>
    <hyperlink ref="J52" r:id="rId117" display="javascript:__doPostBack('ctl00$ContentPlaceHolder1$GridView1','Sort$tur')" xr:uid="{5C65AA9F-A097-F348-96F3-D9618E32D951}"/>
    <hyperlink ref="B80" r:id="rId118" display="javascript:__doPostBack('ctl00$ContentPlaceHolder1$GridView1','Sort$fgp')" xr:uid="{2374033B-7919-5945-9D90-9E38C6168C21}"/>
    <hyperlink ref="C80" r:id="rId119" display="javascript:__doPostBack('ctl00$ContentPlaceHolder1$GridView1','Sort$ftp')" xr:uid="{1A44EA35-5658-CC48-93BB-2133B835ACE3}"/>
    <hyperlink ref="D80" r:id="rId120" display="javascript:__doPostBack('ctl00$ContentPlaceHolder1$GridView1','Sort$tgm')" xr:uid="{940F33F4-4CD6-DA47-813C-3CDFE6B71A07}"/>
    <hyperlink ref="E80" r:id="rId121" display="javascript:__doPostBack('ctl00$ContentPlaceHolder1$GridView1','Sort$pts')" xr:uid="{83C685EE-94B1-DA40-9B33-90D455CE5AA1}"/>
    <hyperlink ref="F80" r:id="rId122" display="javascript:__doPostBack('ctl00$ContentPlaceHolder1$GridView1','Sort$reb')" xr:uid="{CD4CAFE8-D2B1-C341-AF84-DF5B39CD8C81}"/>
    <hyperlink ref="G80" r:id="rId123" display="javascript:__doPostBack('ctl00$ContentPlaceHolder1$GridView1','Sort$ast')" xr:uid="{70F17760-6213-7C4F-A958-C31C1F67CD6A}"/>
    <hyperlink ref="H80" r:id="rId124" display="javascript:__doPostBack('ctl00$ContentPlaceHolder1$GridView1','Sort$stl')" xr:uid="{09924741-DA46-3743-A07D-BBA0ACF9A030}"/>
    <hyperlink ref="I80" r:id="rId125" display="javascript:__doPostBack('ctl00$ContentPlaceHolder1$GridView1','Sort$blk')" xr:uid="{3DED63FE-FD15-B94C-91C0-D355C9FD0495}"/>
    <hyperlink ref="J80" r:id="rId126" display="javascript:__doPostBack('ctl00$ContentPlaceHolder1$GridView1','Sort$tur')" xr:uid="{767C186A-08A4-F74D-B15C-CD5AE928BB42}"/>
    <hyperlink ref="B108" r:id="rId127" display="javascript:__doPostBack('ctl00$ContentPlaceHolder1$GridView1','Sort$fgp')" xr:uid="{DDAACBA8-2CD1-B542-BE16-7EC486233459}"/>
    <hyperlink ref="C108" r:id="rId128" display="javascript:__doPostBack('ctl00$ContentPlaceHolder1$GridView1','Sort$ftp')" xr:uid="{4CC1E271-00BD-0848-9AC7-DC572A7195FC}"/>
    <hyperlink ref="D108" r:id="rId129" display="javascript:__doPostBack('ctl00$ContentPlaceHolder1$GridView1','Sort$tgm')" xr:uid="{7FB7A3BC-F467-9F4D-81EB-5DD939F30900}"/>
    <hyperlink ref="E108" r:id="rId130" display="javascript:__doPostBack('ctl00$ContentPlaceHolder1$GridView1','Sort$pts')" xr:uid="{ACBBABE5-5AC7-2C48-9039-7CEF5CE2EDF2}"/>
    <hyperlink ref="F108" r:id="rId131" display="javascript:__doPostBack('ctl00$ContentPlaceHolder1$GridView1','Sort$reb')" xr:uid="{B250E4AF-EC53-8949-ABC0-650C1534F108}"/>
    <hyperlink ref="G108" r:id="rId132" display="javascript:__doPostBack('ctl00$ContentPlaceHolder1$GridView1','Sort$ast')" xr:uid="{EEC4DCBF-2619-E54E-B9B0-50A31D96E26B}"/>
    <hyperlink ref="H108" r:id="rId133" display="javascript:__doPostBack('ctl00$ContentPlaceHolder1$GridView1','Sort$stl')" xr:uid="{8677A063-15FD-D04C-A708-82669E27356B}"/>
    <hyperlink ref="I108" r:id="rId134" display="javascript:__doPostBack('ctl00$ContentPlaceHolder1$GridView1','Sort$blk')" xr:uid="{9700EEAF-F5B2-DA4E-A63E-6D9C824F0C3F}"/>
    <hyperlink ref="J108" r:id="rId135" display="javascript:__doPostBack('ctl00$ContentPlaceHolder1$GridView1','Sort$tur')" xr:uid="{B83A088E-4555-8D4D-B3BB-0DF3EEB4AE63}"/>
    <hyperlink ref="AC11" r:id="rId136" display="javascript:__doPostBack('ctl00$ContentPlaceHolder1$GridView1','Sort$fgp')" xr:uid="{F720197A-E401-B746-AAC9-EDE2A02AF40E}"/>
    <hyperlink ref="AD11" r:id="rId137" display="javascript:__doPostBack('ctl00$ContentPlaceHolder1$GridView1','Sort$ftp')" xr:uid="{A7A93687-D8DB-9640-ABBC-174B86CEC54F}"/>
    <hyperlink ref="AE11" r:id="rId138" display="javascript:__doPostBack('ctl00$ContentPlaceHolder1$GridView1','Sort$tgm')" xr:uid="{3D4A44F2-816E-9A4C-B041-D03C87D2756A}"/>
    <hyperlink ref="AF11" r:id="rId139" display="javascript:__doPostBack('ctl00$ContentPlaceHolder1$GridView1','Sort$pts')" xr:uid="{E597B619-C913-254D-9292-B0DB45FBCA58}"/>
    <hyperlink ref="AG11" r:id="rId140" display="javascript:__doPostBack('ctl00$ContentPlaceHolder1$GridView1','Sort$reb')" xr:uid="{B3DC7800-ACDC-C547-BE02-45764E1F43BD}"/>
    <hyperlink ref="AH11" r:id="rId141" display="javascript:__doPostBack('ctl00$ContentPlaceHolder1$GridView1','Sort$ast')" xr:uid="{1D59B5DC-F7A7-6648-840B-ED356B2AA8A5}"/>
    <hyperlink ref="AI11" r:id="rId142" display="javascript:__doPostBack('ctl00$ContentPlaceHolder1$GridView1','Sort$stl')" xr:uid="{3F8E1AA6-CE33-B340-80FF-58D1D66F127E}"/>
    <hyperlink ref="AJ11" r:id="rId143" display="javascript:__doPostBack('ctl00$ContentPlaceHolder1$GridView1','Sort$blk')" xr:uid="{33BFC796-8152-F64F-A61C-52347FD0238A}"/>
    <hyperlink ref="AK11" r:id="rId144" display="javascript:__doPostBack('ctl00$ContentPlaceHolder1$GridView1','Sort$tur')" xr:uid="{D7C979B0-698D-5545-B5E1-1D3167F4397E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15CD7942-4963-6441-A5A5-2EFB1E346186}">
            <x14:iconSet iconSet="3Arrows" custom="1">
              <x14:cfvo type="percent">
                <xm:f>0</xm:f>
              </x14:cfvo>
              <x14:cfvo type="num">
                <xm:f>-0.05</xm:f>
              </x14:cfvo>
              <x14:cfvo type="num">
                <xm:f>0.05</xm:f>
              </x14:cfvo>
              <x14:cfIcon iconSet="3Arrows" iconId="0"/>
              <x14:cfIcon iconSet="NoIcons" iconId="0"/>
              <x14:cfIcon iconSet="3Arrows" iconId="2"/>
            </x14:iconSet>
          </x14:cfRule>
          <xm:sqref>AC17:AK17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D94A-6255-E04D-8E1E-1FBFDC14CEDA}">
  <dimension ref="A1:Z2"/>
  <sheetViews>
    <sheetView topLeftCell="K1" workbookViewId="0">
      <selection activeCell="R1" sqref="R1:Z2"/>
    </sheetView>
  </sheetViews>
  <sheetFormatPr baseColWidth="10" defaultRowHeight="16"/>
  <sheetData>
    <row r="1" spans="1:26">
      <c r="A1" t="s">
        <v>281</v>
      </c>
      <c r="B1" t="s">
        <v>282</v>
      </c>
      <c r="C1" t="s">
        <v>283</v>
      </c>
      <c r="D1" t="s">
        <v>284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t="s">
        <v>381</v>
      </c>
      <c r="O1" t="s">
        <v>382</v>
      </c>
      <c r="P1" t="s">
        <v>383</v>
      </c>
      <c r="Q1" t="s">
        <v>384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376</v>
      </c>
      <c r="W1" s="1" t="s">
        <v>377</v>
      </c>
      <c r="X1" s="1" t="s">
        <v>378</v>
      </c>
      <c r="Y1" s="1" t="s">
        <v>379</v>
      </c>
      <c r="Z1" s="1" t="s">
        <v>380</v>
      </c>
    </row>
    <row r="2" spans="1:26" ht="18">
      <c r="A2" s="9">
        <f>AVERAGE('2026-2027 projections'!R:R)</f>
        <v>5.7721393034825876</v>
      </c>
      <c r="B2" s="9">
        <f>AVERAGE('2026-2027 projections'!S:S)</f>
        <v>11.958706467661695</v>
      </c>
      <c r="C2" s="9">
        <f>AVERAGE('2026-2027 projections'!U:U)</f>
        <v>2.6900497512437807</v>
      </c>
      <c r="D2" s="9">
        <f>AVERAGE('2026-2027 projections'!V:V)</f>
        <v>3.384079601990047</v>
      </c>
      <c r="E2" s="5">
        <f>A2/B2</f>
        <v>0.48267254649082653</v>
      </c>
      <c r="F2" s="4">
        <f>C2/D2</f>
        <v>0.79491326080564595</v>
      </c>
      <c r="G2" s="7">
        <f>AVERAGE('2026-2027 projections'!J:J)</f>
        <v>1.667164179104478</v>
      </c>
      <c r="H2" s="7">
        <f>AVERAGE('2026-2027 projections'!K:K)</f>
        <v>15.897014925373128</v>
      </c>
      <c r="I2" s="7">
        <f>AVERAGE('2026-2027 projections'!L:L)</f>
        <v>5.6860696517412936</v>
      </c>
      <c r="J2" s="7">
        <f>AVERAGE('2026-2027 projections'!M:M)</f>
        <v>3.6492537313432831</v>
      </c>
      <c r="K2" s="7">
        <f>AVERAGE('2026-2027 projections'!N:N)</f>
        <v>1.0164179104477622</v>
      </c>
      <c r="L2" s="7">
        <f>AVERAGE('2026-2027 projections'!O:O)</f>
        <v>0.67860696517412966</v>
      </c>
      <c r="M2" s="7">
        <f>AVERAGE('2026-2027 projections'!P:P)</f>
        <v>1.8457711442786076</v>
      </c>
      <c r="N2" s="7">
        <f>STDEV('2026-2027 projections'!R:R)</f>
        <v>1.794859298245272</v>
      </c>
      <c r="O2" s="7">
        <f>STDEV('2026-2027 projections'!S:S)</f>
        <v>3.8571150253016588</v>
      </c>
      <c r="P2" s="7">
        <f>STDEV('2026-2027 projections'!U:U)</f>
        <v>1.481350902896557</v>
      </c>
      <c r="Q2" s="7">
        <f>STDEV('2026-2027 projections'!V:V)</f>
        <v>1.7994569385322481</v>
      </c>
      <c r="R2" s="10">
        <v>2.2710000000000001E-2</v>
      </c>
      <c r="S2" s="10">
        <v>8.5000000000000006E-2</v>
      </c>
      <c r="T2" s="6">
        <f>STDEV('2026-2027 projections'!J:J)</f>
        <v>0.9504295965038374</v>
      </c>
      <c r="U2" s="6">
        <f>STDEV('2026-2027 projections'!K:K)</f>
        <v>5.2828960849875184</v>
      </c>
      <c r="V2" s="6">
        <f>STDEV('2026-2027 projections'!L:L)</f>
        <v>2.4031031969360708</v>
      </c>
      <c r="W2" s="6">
        <f>STDEV('2026-2027 projections'!M:M)</f>
        <v>1.9367787535747367</v>
      </c>
      <c r="X2" s="6">
        <f>STDEV('2026-2027 projections'!N:N)</f>
        <v>0.34070383689886691</v>
      </c>
      <c r="Y2" s="6">
        <f>STDEV('2026-2027 projections'!O:O)</f>
        <v>0.49253431327293662</v>
      </c>
      <c r="Z2" s="6">
        <f>STDEV('2026-2027 projections'!P:P)</f>
        <v>0.73279910436843998</v>
      </c>
    </row>
  </sheetData>
  <hyperlinks>
    <hyperlink ref="E1" r:id="rId1" display="javascript:__doPostBack('ctl00$ContentPlaceHolder1$GridView1','Sort$fgp')" xr:uid="{502301B7-AC1B-7E44-8A51-32937AD5CA5D}"/>
    <hyperlink ref="F1" r:id="rId2" display="javascript:__doPostBack('ctl00$ContentPlaceHolder1$GridView1','Sort$ftp')" xr:uid="{0CC5EA5A-CDA9-E24A-A99D-6FA5BB443285}"/>
    <hyperlink ref="G1" r:id="rId3" display="javascript:__doPostBack('ctl00$ContentPlaceHolder1$GridView1','Sort$tgm')" xr:uid="{92D2FD5B-D2F0-0A45-BB4E-8958ABA18913}"/>
    <hyperlink ref="H1" r:id="rId4" display="javascript:__doPostBack('ctl00$ContentPlaceHolder1$GridView1','Sort$pts')" xr:uid="{A812DAC8-70C4-B647-AE18-A467024A1072}"/>
    <hyperlink ref="I1" r:id="rId5" display="javascript:__doPostBack('ctl00$ContentPlaceHolder1$GridView1','Sort$reb')" xr:uid="{EEE9480A-431A-694F-B179-301322E9AF2B}"/>
    <hyperlink ref="J1" r:id="rId6" display="javascript:__doPostBack('ctl00$ContentPlaceHolder1$GridView1','Sort$ast')" xr:uid="{0F7AA16F-0E2A-3647-9E6A-FE92EF18E76F}"/>
    <hyperlink ref="K1" r:id="rId7" display="javascript:__doPostBack('ctl00$ContentPlaceHolder1$GridView1','Sort$stl')" xr:uid="{733FB227-CA7A-B14A-B0E5-C8285850F50C}"/>
    <hyperlink ref="L1" r:id="rId8" display="javascript:__doPostBack('ctl00$ContentPlaceHolder1$GridView1','Sort$blk')" xr:uid="{80EB99F3-B721-094D-96E9-AA752A9E1077}"/>
    <hyperlink ref="M1" r:id="rId9" display="javascript:__doPostBack('ctl00$ContentPlaceHolder1$GridView1','Sort$tur')" xr:uid="{71E20A2D-7E35-A948-982F-F684E4511CDD}"/>
    <hyperlink ref="R1" r:id="rId10" display="javascript:__doPostBack('ctl00$ContentPlaceHolder1$GridView1','Sort$fgp')" xr:uid="{DB145AD2-4F6E-104E-B1F8-1505FEE5B26C}"/>
    <hyperlink ref="S1" r:id="rId11" display="javascript:__doPostBack('ctl00$ContentPlaceHolder1$GridView1','Sort$ftp')" xr:uid="{ED6F93E1-9972-1B4F-A086-01D5E2EC2CF8}"/>
    <hyperlink ref="T1" r:id="rId12" display="javascript:__doPostBack('ctl00$ContentPlaceHolder1$GridView1','Sort$tgm')" xr:uid="{7C76EAE8-DD95-CE41-A1C7-BE3D653024C2}"/>
    <hyperlink ref="U1" r:id="rId13" display="javascript:__doPostBack('ctl00$ContentPlaceHolder1$GridView1','Sort$pts')" xr:uid="{EDB8862E-698D-D44F-A20A-5345439C8F60}"/>
    <hyperlink ref="V1" r:id="rId14" display="javascript:__doPostBack('ctl00$ContentPlaceHolder1$GridView1','Sort$reb')" xr:uid="{AC7C0EB7-1BB9-D043-A445-4154728D728D}"/>
    <hyperlink ref="W1" r:id="rId15" display="javascript:__doPostBack('ctl00$ContentPlaceHolder1$GridView1','Sort$ast')" xr:uid="{68AB0628-29BA-F34A-AFC3-8776D2F608CC}"/>
    <hyperlink ref="X1" r:id="rId16" display="javascript:__doPostBack('ctl00$ContentPlaceHolder1$GridView1','Sort$stl')" xr:uid="{FDA082AF-4894-4E43-B19A-9D27AE833DF5}"/>
    <hyperlink ref="Y1" r:id="rId17" display="javascript:__doPostBack('ctl00$ContentPlaceHolder1$GridView1','Sort$blk')" xr:uid="{A9E71FAC-97A7-5F4B-9F9C-BD3511329FFF}"/>
    <hyperlink ref="Z1" r:id="rId18" display="javascript:__doPostBack('ctl00$ContentPlaceHolder1$GridView1','Sort$tur')" xr:uid="{BE8160C3-4A24-1A47-A28D-6890392F57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89BA-DCA3-AF4B-9B9A-1B39662CD0E8}">
  <sheetPr filterMode="1"/>
  <dimension ref="A1:AR202"/>
  <sheetViews>
    <sheetView zoomScale="115" zoomScaleNormal="96" workbookViewId="0">
      <pane ySplit="1" topLeftCell="A2" activePane="bottomLeft" state="frozen"/>
      <selection pane="bottomLeft" activeCell="C2" sqref="C2"/>
    </sheetView>
  </sheetViews>
  <sheetFormatPr baseColWidth="10" defaultRowHeight="16"/>
  <cols>
    <col min="1" max="1" width="8.6640625" customWidth="1"/>
    <col min="2" max="2" width="18.33203125" customWidth="1"/>
    <col min="3" max="3" width="15.33203125" customWidth="1"/>
    <col min="4" max="4" width="10" bestFit="1" customWidth="1"/>
    <col min="5" max="5" width="8.33203125" customWidth="1"/>
    <col min="6" max="7" width="13" customWidth="1"/>
    <col min="8" max="9" width="10.83203125" customWidth="1"/>
    <col min="33" max="33" width="14.5" hidden="1" customWidth="1"/>
    <col min="34" max="34" width="19.6640625" hidden="1" customWidth="1"/>
    <col min="35" max="35" width="0" hidden="1" customWidth="1"/>
    <col min="36" max="38" width="39.33203125" hidden="1" customWidth="1"/>
    <col min="39" max="39" width="23.83203125" hidden="1" customWidth="1"/>
    <col min="40" max="40" width="23" hidden="1" customWidth="1"/>
    <col min="41" max="41" width="23.5" hidden="1" customWidth="1"/>
  </cols>
  <sheetData>
    <row r="1" spans="1:44" ht="18">
      <c r="A1" s="3" t="s">
        <v>366</v>
      </c>
      <c r="B1" s="1" t="s">
        <v>1</v>
      </c>
      <c r="C1" s="1" t="s">
        <v>366</v>
      </c>
      <c r="D1" s="1" t="s">
        <v>397</v>
      </c>
      <c r="E1" s="1" t="s">
        <v>367</v>
      </c>
      <c r="F1" s="1" t="s">
        <v>249</v>
      </c>
      <c r="G1" s="1" t="s">
        <v>368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t="s">
        <v>281</v>
      </c>
      <c r="S1" t="s">
        <v>282</v>
      </c>
      <c r="T1" t="s">
        <v>370</v>
      </c>
      <c r="U1" t="s">
        <v>283</v>
      </c>
      <c r="V1" t="s">
        <v>284</v>
      </c>
      <c r="W1" t="s">
        <v>371</v>
      </c>
      <c r="X1" s="1" t="s">
        <v>372</v>
      </c>
      <c r="Y1" s="1" t="s">
        <v>373</v>
      </c>
      <c r="Z1" s="1" t="s">
        <v>374</v>
      </c>
      <c r="AA1" s="1" t="s">
        <v>375</v>
      </c>
      <c r="AB1" s="1" t="s">
        <v>376</v>
      </c>
      <c r="AC1" s="1" t="s">
        <v>377</v>
      </c>
      <c r="AD1" s="1" t="s">
        <v>378</v>
      </c>
      <c r="AE1" s="1" t="s">
        <v>379</v>
      </c>
      <c r="AF1" s="1" t="s">
        <v>380</v>
      </c>
      <c r="AG1" t="s">
        <v>387</v>
      </c>
      <c r="AH1" t="s">
        <v>388</v>
      </c>
      <c r="AI1" t="s">
        <v>389</v>
      </c>
      <c r="AJ1" t="s">
        <v>395</v>
      </c>
      <c r="AK1" t="s">
        <v>396</v>
      </c>
      <c r="AL1" t="s">
        <v>392</v>
      </c>
      <c r="AM1" t="s">
        <v>393</v>
      </c>
      <c r="AN1" t="s">
        <v>394</v>
      </c>
      <c r="AO1" t="s">
        <v>391</v>
      </c>
      <c r="AP1" t="s">
        <v>397</v>
      </c>
      <c r="AQ1" t="s">
        <v>421</v>
      </c>
      <c r="AR1" t="s">
        <v>422</v>
      </c>
    </row>
    <row r="2" spans="1:44" ht="18">
      <c r="A2" s="3">
        <f>C2</f>
        <v>1</v>
      </c>
      <c r="B2" s="41" t="s">
        <v>19</v>
      </c>
      <c r="C2" s="1">
        <f>AR2</f>
        <v>1</v>
      </c>
      <c r="D2" s="1">
        <f>AP2</f>
        <v>1</v>
      </c>
      <c r="E2" s="1">
        <f>VLOOKUP(B2,'2026-2027 adp'!A:C,3,FALSE)</f>
        <v>1.5</v>
      </c>
      <c r="F2" s="1">
        <f t="shared" ref="F2:F65" si="0">E2-A2</f>
        <v>0.5</v>
      </c>
      <c r="G2" s="1"/>
      <c r="H2" s="22" t="s">
        <v>427</v>
      </c>
      <c r="I2" s="22" t="s">
        <v>428</v>
      </c>
      <c r="J2" s="42">
        <v>1.8</v>
      </c>
      <c r="K2" s="42">
        <v>28.4</v>
      </c>
      <c r="L2" s="42">
        <v>12.7</v>
      </c>
      <c r="M2" s="42">
        <v>10.4</v>
      </c>
      <c r="N2" s="42">
        <v>1.6</v>
      </c>
      <c r="O2" s="42">
        <v>0.7</v>
      </c>
      <c r="P2" s="42">
        <v>3.5</v>
      </c>
      <c r="Q2" s="43">
        <v>15.89</v>
      </c>
      <c r="R2" s="42">
        <v>10.5</v>
      </c>
      <c r="S2" s="42">
        <v>18.3</v>
      </c>
      <c r="T2">
        <f t="shared" ref="T2:T65" si="1">R2/S2</f>
        <v>0.57377049180327866</v>
      </c>
      <c r="U2" s="42">
        <v>5.6</v>
      </c>
      <c r="V2" s="42">
        <v>6.8</v>
      </c>
      <c r="W2">
        <f t="shared" ref="W2:W65" si="2">U2/V2</f>
        <v>0.82352941176470584</v>
      </c>
      <c r="X2" s="7">
        <f>IF(((T2 - '2026-2027 means'!E$2) / '2026-2027 means'!R$2) * (S2 / '2026-2027 means'!B$2) / 2 &lt; -2, -2, ((T2 - '2026-2027 means'!E$2) / '2026-2027 means'!R$2) * (S2 / '2026-2027 means'!B$2) / 2)</f>
        <v>3.0692222329522236</v>
      </c>
      <c r="Y2" s="11">
        <f>IF(((W2 - '2026-2027 means'!F$2) / '2026-2027 means'!S$2) * (V2 / '2026-2027 means'!D$2) &lt; -2, -2, ((W2 - '2026-2027 means'!F$2) / '2026-2027 means'!S$2) * (V2 / '2026-2027 means'!D$2))</f>
        <v>0.67648883772667356</v>
      </c>
      <c r="Z2" s="7">
        <f>(J2-'2026-2027 means'!G$2)/'2026-2027 means'!T$2</f>
        <v>0.13976397766247983</v>
      </c>
      <c r="AA2" s="7">
        <f>(K2-'2026-2027 means'!H$2)/'2026-2027 means'!U$2</f>
        <v>2.3666914649630879</v>
      </c>
      <c r="AB2" s="7">
        <f>(L2-'2026-2027 means'!I$2)/'2026-2027 means'!V$2</f>
        <v>2.9186971068081418</v>
      </c>
      <c r="AC2" s="7">
        <f>(M2-'2026-2027 means'!J$2)/'2026-2027 means'!W$2</f>
        <v>3.4855536576889752</v>
      </c>
      <c r="AD2" s="7">
        <f>(N2-'2026-2027 means'!K$2)/'2026-2027 means'!X$2</f>
        <v>1.7128720793522085</v>
      </c>
      <c r="AE2" s="7">
        <f>(O2-'2026-2027 means'!L$2)/'2026-2027 means'!Y$2</f>
        <v>4.3434608004692253E-2</v>
      </c>
      <c r="AF2" s="7">
        <f>IF(((P2 - '2026-2027 means'!M$2) / '2026-2027 means'!Z$2 * -1) &lt; -2, -2, (P2 - '2026-2027 means'!M$2) / '2026-2027 means'!Z$2 * -1)</f>
        <v>-2</v>
      </c>
      <c r="AG2" s="7" t="e">
        <f>IF(((Q2 - '2026-2027 means'!N$2) / '2026-2027 means'!AA$2 * -1) &lt; -2, -2, (Q2 - '2026-2027 means'!N$2) / '2026-2027 means'!AA$2 * -1)</f>
        <v>#DIV/0!</v>
      </c>
      <c r="AH2" s="7" t="e">
        <f>IF(((R2 - '2026-2027 means'!O$2) / '2026-2027 means'!AB$2 * -1) &lt; -2, -2, (R2 - '2026-2027 means'!O$2) / '2026-2027 means'!AB$2 * -1)</f>
        <v>#DIV/0!</v>
      </c>
      <c r="AI2" s="7" t="e">
        <f>IF(((S2 - '2026-2027 means'!P$2) / '2026-2027 means'!AC$2 * -1) &lt; -2, -2, (S2 - '2026-2027 means'!P$2) / '2026-2027 means'!AC$2 * -1)</f>
        <v>#DIV/0!</v>
      </c>
      <c r="AJ2" s="7" t="e">
        <f>IF(((T2 - '2026-2027 means'!Q$2) / '2026-2027 means'!AD$2 * -1) &lt; -2, -2, (T2 - '2026-2027 means'!Q$2) / '2026-2027 means'!AD$2 * -1)</f>
        <v>#DIV/0!</v>
      </c>
      <c r="AK2" s="7" t="e">
        <f>IF(((U2 - '2026-2027 means'!R$2) / '2026-2027 means'!AE$2 * -1) &lt; -2, -2, (U2 - '2026-2027 means'!R$2) / '2026-2027 means'!AE$2 * -1)</f>
        <v>#DIV/0!</v>
      </c>
      <c r="AL2" s="7" t="e">
        <f>IF(((V2 - '2026-2027 means'!S$2) / '2026-2027 means'!AF$2 * -1) &lt; -2, -2, (V2 - '2026-2027 means'!S$2) / '2026-2027 means'!AF$2 * -1)</f>
        <v>#DIV/0!</v>
      </c>
      <c r="AM2" s="7" t="e">
        <f>IF(((W2 - '2026-2027 means'!T$2) / '2026-2027 means'!AG$2 * -1) &lt; -2, -2, (W2 - '2026-2027 means'!T$2) / '2026-2027 means'!AG$2 * -1)</f>
        <v>#DIV/0!</v>
      </c>
      <c r="AN2" s="7" t="e">
        <f>IF(((X2 - '2026-2027 means'!U$2) / '2026-2027 means'!AH$2 * -1) &lt; -2, -2, (X2 - '2026-2027 means'!U$2) / '2026-2027 means'!AH$2 * -1)</f>
        <v>#DIV/0!</v>
      </c>
      <c r="AO2" s="7" t="e">
        <f>IF(((Y2 - '2026-2027 means'!V$2) / '2026-2027 means'!AI$2 * -1) &lt; -2, -2, (Y2 - '2026-2027 means'!V$2) / '2026-2027 means'!AI$2 * -1)</f>
        <v>#DIV/0!</v>
      </c>
      <c r="AP2">
        <f>VLOOKUP(B2,'2025-2026 actuals'!B:Q,16,FALSE)</f>
        <v>1</v>
      </c>
      <c r="AQ2" s="7">
        <f>SUM(X2:AF2)</f>
        <v>12.412723965158481</v>
      </c>
      <c r="AR2">
        <f>RANK(AQ2,AQ:AQ)</f>
        <v>1</v>
      </c>
    </row>
    <row r="3" spans="1:44" ht="18">
      <c r="A3" s="3">
        <f t="shared" ref="A3:A66" si="3">C3</f>
        <v>3</v>
      </c>
      <c r="B3" s="41" t="s">
        <v>30</v>
      </c>
      <c r="C3" s="1">
        <f t="shared" ref="C3:C66" si="4">AR3</f>
        <v>3</v>
      </c>
      <c r="D3" s="1">
        <f t="shared" ref="D3:D13" si="5">AP3</f>
        <v>2</v>
      </c>
      <c r="E3" s="1">
        <f>VLOOKUP(B3,'2026-2027 adp'!A:C,3,FALSE)</f>
        <v>1.9</v>
      </c>
      <c r="F3" s="1">
        <f t="shared" si="0"/>
        <v>-1.1000000000000001</v>
      </c>
      <c r="G3" s="1"/>
      <c r="H3" s="22" t="s">
        <v>429</v>
      </c>
      <c r="I3" s="22" t="s">
        <v>430</v>
      </c>
      <c r="J3" s="42">
        <v>2.2000000000000002</v>
      </c>
      <c r="K3" s="42">
        <v>25.6</v>
      </c>
      <c r="L3" s="42">
        <v>11.8</v>
      </c>
      <c r="M3" s="42">
        <v>3.6</v>
      </c>
      <c r="N3" s="42">
        <v>1.1000000000000001</v>
      </c>
      <c r="O3" s="42">
        <v>3.2</v>
      </c>
      <c r="P3" s="42">
        <v>2.9</v>
      </c>
      <c r="Q3" s="43">
        <v>14.22</v>
      </c>
      <c r="R3" s="42">
        <v>9.1999999999999993</v>
      </c>
      <c r="S3" s="42">
        <v>18.3</v>
      </c>
      <c r="T3">
        <f t="shared" si="1"/>
        <v>0.50273224043715836</v>
      </c>
      <c r="U3" s="42">
        <v>5.0999999999999996</v>
      </c>
      <c r="V3" s="42">
        <v>6.1</v>
      </c>
      <c r="W3">
        <f t="shared" si="2"/>
        <v>0.83606557377049184</v>
      </c>
      <c r="X3" s="7">
        <f>IF(((T3 - '2026-2027 means'!E$2) / '2026-2027 means'!R$2) * (S3 / '2026-2027 means'!B$2) / 2 &lt; -2, -2, ((T3 - '2026-2027 means'!E$2) / '2026-2027 means'!R$2) * (S3 / '2026-2027 means'!B$2) / 2)</f>
        <v>0.67584025561862093</v>
      </c>
      <c r="Y3" s="11">
        <f>IF(((W3 - '2026-2027 means'!F$2) / '2026-2027 means'!S$2) * (V3 / '2026-2027 means'!D$2) &lt; -2, -2, ((W3 - '2026-2027 means'!F$2) / '2026-2027 means'!S$2) * (V3 / '2026-2027 means'!D$2))</f>
        <v>0.87269922213531625</v>
      </c>
      <c r="Z3" s="7">
        <f>(J3-'2026-2027 means'!G$2)/'2026-2027 means'!T$2</f>
        <v>0.56062629242140904</v>
      </c>
      <c r="AA3" s="7">
        <f>(K3-'2026-2027 means'!H$2)/'2026-2027 means'!U$2</f>
        <v>1.8366791469171588</v>
      </c>
      <c r="AB3" s="7">
        <f>(L3-'2026-2027 means'!I$2)/'2026-2027 means'!V$2</f>
        <v>2.5441813551968551</v>
      </c>
      <c r="AC3" s="7">
        <f>(M3-'2026-2027 means'!J$2)/'2026-2027 means'!W$2</f>
        <v>-2.5430747447210897E-2</v>
      </c>
      <c r="AD3" s="7">
        <f>(N3-'2026-2027 means'!K$2)/'2026-2027 means'!X$2</f>
        <v>0.24532183233688692</v>
      </c>
      <c r="AE3" s="7">
        <f>(O3-'2026-2027 means'!L$2)/'2026-2027 means'!Y$2</f>
        <v>5.1192231015763703</v>
      </c>
      <c r="AF3" s="7">
        <f>IF(((P3 - '2026-2027 means'!M$2) / '2026-2027 means'!Z$2 * -1) &lt; -2, -2, (P3 - '2026-2027 means'!M$2) / '2026-2027 means'!Z$2 * -1)</f>
        <v>-1.4386328387095606</v>
      </c>
      <c r="AG3">
        <f t="shared" ref="AG2:AG65" si="6">COUNTIFS(X3:AE3,"&gt;="&amp;1)</f>
        <v>3</v>
      </c>
      <c r="AH3">
        <f t="shared" ref="AH2:AH65" si="7">COUNTIFS(X3:AE3,"&lt;="&amp;-0.25)</f>
        <v>0</v>
      </c>
      <c r="AI3" s="8" t="e">
        <f t="shared" ref="AI2:AI65" si="8">AG3/AH3</f>
        <v>#DIV/0!</v>
      </c>
      <c r="AJ3" s="8" t="e" vm="1">
        <f t="shared" ref="AJ2:AJ65" ca="1" si="9">_xlfn.CONCAT(AL3,AM3,AN3)</f>
        <v>#NAME?</v>
      </c>
      <c r="AK3" s="8" t="str">
        <f t="shared" ref="AK2:AK65" si="10">AO3</f>
        <v>, AST, TO</v>
      </c>
      <c r="AL3" t="str">
        <f t="shared" ref="AL2:AL65" si="11">IF(X3&gt;2, "FG%", "") &amp; IF(Y3&gt;2, ", FT%", "") &amp; IF(Z3&gt;2, ", 3PM", "") &amp; IF(AA3&gt;2, ", PTS", "") &amp; IF(AB3&gt;2, ", TREB", "") &amp; IF(AC3&gt;2, ", AST", "") &amp; IF(AD3&gt;2, ", STL", "") &amp; IF(AE3&gt;2, ", BLK", "") &amp; IF(AF3&gt;2, ", TO", "")</f>
        <v>, TREB, BLK</v>
      </c>
      <c r="AM3" t="str">
        <f t="shared" ref="AM2:AM65" si="12">IF(AND(X3&gt;=1, X3&lt;2), "FG%", "") &amp; IF(AND(Y3&gt;=1, Y3&lt;2), IF(X3="", "FT%", ", FT%"), "") &amp; IF(AND(Z3&gt;=1, Z3&lt;2), IF(OR(X3="", Y3=""), "3PM", ", 3PM"), "") &amp; IF(AND(AA3&gt;=1, AA3&lt;2), IF(OR(X3="", Y3="", Z3=""), "PTS", ", PTS"), "") &amp; IF(AND(AB3&gt;=1, AB3&lt;2), IF(OR(X3="", Y3="", Z3="", AA3=""), "TREB", ", TREB"), "") &amp; IF(AND(AC3&gt;=1, AC3&lt;2), IF(OR(X3="", Y3="", Z3="", AA3="", AB3=""), "AST", ", AST"), "") &amp; IF(AND(AD3&gt;=1, AD3&lt;2), IF(OR(X3="", Y3="", Z3="", AA3="", AB3="", AC3=""), "STL", ", STL"), "") &amp; IF(AND(AE3&gt;=1, AE3&lt;2), IF(OR(X3="", Y3="", Z3="", AA3="", AB3="", AC3="", AD3=""), "BLK", ", BLK"), "") &amp; IF(AND(AF3&gt;=1, AF3&lt;2), IF(OR(X3="", Y3="", Z3="", AA3="", AB3="", AC3="", AD3="", AE3=""), "TO", ", TO"), "")</f>
        <v>, PTS</v>
      </c>
      <c r="AN3" t="str">
        <f t="shared" ref="AN2:AN65" si="13">IF(AND(X3&gt;=0, X3&lt;1), "FG%", "") &amp; IF(AND(Y3&gt;=0, Y3&lt;1), IF(X3="", "FT%", ", FT%"), "") &amp; IF(AND(Z3&gt;=0, Z3&lt;1), IF(AND(X3="", Y3=""), "3PM", ", 3PM"), "") &amp; IF(AND(AA3&gt;=0, AA3&lt;1), IF(AND(X3="", Y3="", Z3=""), "PTS", ", PTS"), "") &amp; IF(AND(AB3&gt;=0, AB3&lt;1), IF(AND(X3="", Y3="", Z3="", AA3=""), "TREB", ", TREB"), "") &amp; IF(AND(AC3&gt;=0, AC3&lt;1), IF(AND(X3="", Y3="", Z3="", AA3="", AB3=""), "AST", ", AST"), "") &amp; IF(AND(AD3&gt;=0, AD3&lt;1), IF(AND(X3="", Y3="", Z3="", AA3="", AB3="", AC3=""), "STL", ", STL"), "") &amp; IF(AND(AE3&gt;=0, AE3&lt;1), IF(AND(X3="", Y3="", Z3="", AA3="", AB3="", AC3="", AD3=""), "BLK", ", BLK"), "") &amp; IF(AND(AF3&gt;=0, AF3&lt;1), IF(AND(X3="", Y3="", Z3="", AA3="", AB3="", AC3="", AD3="", AE3=""), "TO", ", TO"), "")</f>
        <v>FG%, FT%, 3PM, STL</v>
      </c>
      <c r="AO3" t="str">
        <f t="shared" ref="AO2:AO65" si="14">IF(X3&lt;0, "FG%", "") &amp; IF(Y3&lt;0, IF(X3="", "FT%", ", FT%"), "") &amp; IF(Z3&lt;0, IF(AND(X3="", Y3=""), "3PM", ", 3PM"), "") &amp; IF(AA3&lt;0, IF(AND(X3="", Y3="", Z3=""), "PTS", ", PTS"), "") &amp; IF(AB3&lt;0, IF(AND(X3="", Y3="", Z3="", AA3=""), "TREB", ", TREB"), "") &amp; IF(AC3&lt;0, IF(AND(X3="", Y3="", Z3="", AA3="", AB3=""), "AST", ", AST"), "") &amp; IF(AD3&lt;0, IF(AND(X3="", Y3="", Z3="", AA3="", AB3="", AC3=""), "STL", ", STL"), "") &amp; IF(AE3&lt;0, IF(AND(X3="", Y3="", Z3="", AA3="", AB3="", AC3="", AD3=""), "BLK", ", BLK"), "") &amp; IF(AF3&lt;0, IF(AND(X3="", Y3="", Z3="", AA3="", AB3="", AC3="", AD3="", AE3=""), "TO", ", TO"), "")</f>
        <v>, AST, TO</v>
      </c>
      <c r="AP3">
        <f>VLOOKUP(B3,'2025-2026 actuals'!B:Q,16,FALSE)</f>
        <v>2</v>
      </c>
      <c r="AQ3" s="7">
        <f t="shared" ref="AQ3:AQ53" si="15">SUM(X3:AF3)</f>
        <v>10.390507620045847</v>
      </c>
      <c r="AR3">
        <f t="shared" ref="AR3:AR54" si="16">RANK(AQ3,AQ:AQ)</f>
        <v>3</v>
      </c>
    </row>
    <row r="4" spans="1:44" ht="18">
      <c r="A4" s="3">
        <f t="shared" si="3"/>
        <v>2</v>
      </c>
      <c r="B4" s="41" t="s">
        <v>21</v>
      </c>
      <c r="C4" s="1">
        <f t="shared" si="4"/>
        <v>2</v>
      </c>
      <c r="D4" s="1">
        <f t="shared" si="5"/>
        <v>3</v>
      </c>
      <c r="E4" s="1">
        <f>VLOOKUP(B4,'2026-2027 adp'!A:C,3,FALSE)</f>
        <v>3.9</v>
      </c>
      <c r="F4" s="1">
        <f t="shared" si="0"/>
        <v>1.9</v>
      </c>
      <c r="G4" s="1"/>
      <c r="H4" s="22" t="s">
        <v>431</v>
      </c>
      <c r="I4" s="22" t="s">
        <v>432</v>
      </c>
      <c r="J4" s="42">
        <v>1.9</v>
      </c>
      <c r="K4" s="42">
        <v>32.1</v>
      </c>
      <c r="L4" s="42">
        <v>4.7</v>
      </c>
      <c r="M4" s="42">
        <v>6.5</v>
      </c>
      <c r="N4" s="42">
        <v>1.6</v>
      </c>
      <c r="O4" s="42">
        <v>0.9</v>
      </c>
      <c r="P4" s="42">
        <v>2.2999999999999998</v>
      </c>
      <c r="Q4" s="43">
        <v>14.07</v>
      </c>
      <c r="R4" s="42">
        <v>11.1</v>
      </c>
      <c r="S4" s="42">
        <v>20.7</v>
      </c>
      <c r="T4">
        <f t="shared" si="1"/>
        <v>0.53623188405797106</v>
      </c>
      <c r="U4" s="42">
        <v>8</v>
      </c>
      <c r="V4" s="42">
        <v>8.9</v>
      </c>
      <c r="W4">
        <f t="shared" si="2"/>
        <v>0.898876404494382</v>
      </c>
      <c r="X4" s="7">
        <f>IF(((T4 - '2026-2027 means'!E$2) / '2026-2027 means'!R$2) * (S4 / '2026-2027 means'!B$2) / 2 &lt; -2, -2, ((T4 - '2026-2027 means'!E$2) / '2026-2027 means'!R$2) * (S4 / '2026-2027 means'!B$2) / 2)</f>
        <v>2.0411466402295342</v>
      </c>
      <c r="Y4" s="11">
        <f>IF(((W4 - '2026-2027 means'!F$2) / '2026-2027 means'!S$2) * (V4 / '2026-2027 means'!D$2) &lt; -2, -2, ((W4 - '2026-2027 means'!F$2) / '2026-2027 means'!S$2) * (V4 / '2026-2027 means'!D$2))</f>
        <v>3.216695223632843</v>
      </c>
      <c r="Z4" s="7">
        <f>(J4-'2026-2027 means'!G$2)/'2026-2027 means'!T$2</f>
        <v>0.24497955635221194</v>
      </c>
      <c r="AA4" s="7">
        <f>(K4-'2026-2027 means'!H$2)/'2026-2027 means'!U$2</f>
        <v>3.0670648852380666</v>
      </c>
      <c r="AB4" s="7">
        <f>(L4-'2026-2027 means'!I$2)/'2026-2027 means'!V$2</f>
        <v>-0.41033179640330097</v>
      </c>
      <c r="AC4" s="7">
        <f>(M4-'2026-2027 means'!J$2)/'2026-2027 means'!W$2</f>
        <v>1.4719008370961624</v>
      </c>
      <c r="AD4" s="7">
        <f>(N4-'2026-2027 means'!K$2)/'2026-2027 means'!X$2</f>
        <v>1.7128720793522085</v>
      </c>
      <c r="AE4" s="7">
        <f>(O4-'2026-2027 means'!L$2)/'2026-2027 means'!Y$2</f>
        <v>0.44949768749042662</v>
      </c>
      <c r="AF4" s="7">
        <f>IF(((P4 - '2026-2027 means'!M$2) / '2026-2027 means'!Z$2 * -1) &lt; -2, -2, (P4 - '2026-2027 means'!M$2) / '2026-2027 means'!Z$2 * -1)</f>
        <v>-0.61985454541851226</v>
      </c>
      <c r="AG4">
        <f t="shared" si="6"/>
        <v>5</v>
      </c>
      <c r="AH4">
        <f t="shared" si="7"/>
        <v>1</v>
      </c>
      <c r="AI4" s="8">
        <f t="shared" si="8"/>
        <v>5</v>
      </c>
      <c r="AJ4" s="8" t="e" vm="1">
        <f t="shared" ca="1" si="9"/>
        <v>#NAME?</v>
      </c>
      <c r="AK4" s="8" t="str">
        <f t="shared" si="10"/>
        <v>, TREB, TO</v>
      </c>
      <c r="AL4" t="str">
        <f t="shared" si="11"/>
        <v>FG%, FT%, PTS</v>
      </c>
      <c r="AM4" t="str">
        <f t="shared" si="12"/>
        <v>, AST, STL</v>
      </c>
      <c r="AN4" t="str">
        <f t="shared" si="13"/>
        <v>, 3PM, BLK</v>
      </c>
      <c r="AO4" t="str">
        <f t="shared" si="14"/>
        <v>, TREB, TO</v>
      </c>
      <c r="AP4">
        <f>VLOOKUP(B4,'2025-2026 actuals'!B:Q,16,FALSE)</f>
        <v>3</v>
      </c>
      <c r="AQ4" s="7">
        <f t="shared" si="15"/>
        <v>11.17397056756964</v>
      </c>
      <c r="AR4">
        <f t="shared" si="16"/>
        <v>2</v>
      </c>
    </row>
    <row r="5" spans="1:44" ht="18">
      <c r="A5" s="3">
        <f t="shared" si="3"/>
        <v>4</v>
      </c>
      <c r="B5" s="41" t="s">
        <v>27</v>
      </c>
      <c r="C5" s="1">
        <f t="shared" si="4"/>
        <v>4</v>
      </c>
      <c r="D5" s="1">
        <f t="shared" si="5"/>
        <v>5</v>
      </c>
      <c r="E5" s="1">
        <f>VLOOKUP(B5,'2026-2027 adp'!A:C,3,FALSE)</f>
        <v>3.4</v>
      </c>
      <c r="F5" s="1">
        <f t="shared" si="0"/>
        <v>-0.60000000000000009</v>
      </c>
      <c r="G5" s="1"/>
      <c r="H5" s="22" t="s">
        <v>433</v>
      </c>
      <c r="I5" s="22" t="s">
        <v>434</v>
      </c>
      <c r="J5" s="42">
        <v>4.0999999999999996</v>
      </c>
      <c r="K5" s="42">
        <v>33.6</v>
      </c>
      <c r="L5" s="42">
        <v>8.6999999999999993</v>
      </c>
      <c r="M5" s="42">
        <v>9.1</v>
      </c>
      <c r="N5" s="42">
        <v>1.7</v>
      </c>
      <c r="O5" s="42">
        <v>0.5</v>
      </c>
      <c r="P5" s="42">
        <v>4</v>
      </c>
      <c r="Q5" s="43">
        <v>11.48</v>
      </c>
      <c r="R5" s="42">
        <v>11</v>
      </c>
      <c r="S5" s="42">
        <v>23.5</v>
      </c>
      <c r="T5">
        <f t="shared" si="1"/>
        <v>0.46808510638297873</v>
      </c>
      <c r="U5" s="42">
        <v>7.5</v>
      </c>
      <c r="V5" s="42">
        <v>9.6</v>
      </c>
      <c r="W5">
        <f t="shared" si="2"/>
        <v>0.78125</v>
      </c>
      <c r="X5" s="7">
        <f>IF(((T5 - '2026-2027 means'!E$2) / '2026-2027 means'!R$2) * (S5 / '2026-2027 means'!B$2) / 2 &lt; -2, -2, ((T5 - '2026-2027 means'!E$2) / '2026-2027 means'!R$2) * (S5 / '2026-2027 means'!B$2) / 2)</f>
        <v>-0.63112533220351619</v>
      </c>
      <c r="Y5" s="11">
        <f>IF(((W5 - '2026-2027 means'!F$2) / '2026-2027 means'!S$2) * (V5 / '2026-2027 means'!D$2) &lt; -2, -2, ((W5 - '2026-2027 means'!F$2) / '2026-2027 means'!S$2) * (V5 / '2026-2027 means'!D$2))</f>
        <v>-0.45600131536701044</v>
      </c>
      <c r="Z5" s="7">
        <f>(J5-'2026-2027 means'!G$2)/'2026-2027 means'!T$2</f>
        <v>2.5597222875263217</v>
      </c>
      <c r="AA5" s="7">
        <f>(K5-'2026-2027 means'!H$2)/'2026-2027 means'!U$2</f>
        <v>3.3510000556198145</v>
      </c>
      <c r="AB5" s="7">
        <f>(L5-'2026-2027 means'!I$2)/'2026-2027 means'!V$2</f>
        <v>1.2541826552024202</v>
      </c>
      <c r="AC5" s="7">
        <f>(M5-'2026-2027 means'!J$2)/'2026-2027 means'!W$2</f>
        <v>2.8143360508247039</v>
      </c>
      <c r="AD5" s="7">
        <f>(N5-'2026-2027 means'!K$2)/'2026-2027 means'!X$2</f>
        <v>2.0063821287552726</v>
      </c>
      <c r="AE5" s="7">
        <f>(O5-'2026-2027 means'!L$2)/'2026-2027 means'!Y$2</f>
        <v>-0.36262847148104194</v>
      </c>
      <c r="AF5" s="7">
        <f>IF(((P5 - '2026-2027 means'!M$2) / '2026-2027 means'!Z$2 * -1) &lt; -2, -2, (P5 - '2026-2027 means'!M$2) / '2026-2027 means'!Z$2 * -1)</f>
        <v>-2</v>
      </c>
      <c r="AG5">
        <f t="shared" si="6"/>
        <v>5</v>
      </c>
      <c r="AH5">
        <f t="shared" si="7"/>
        <v>3</v>
      </c>
      <c r="AI5" s="8">
        <f t="shared" si="8"/>
        <v>1.6666666666666667</v>
      </c>
      <c r="AJ5" s="8" t="e" vm="1">
        <f t="shared" ca="1" si="9"/>
        <v>#NAME?</v>
      </c>
      <c r="AK5" s="8" t="str">
        <f t="shared" si="10"/>
        <v>FG%, FT%, BLK, TO</v>
      </c>
      <c r="AL5" t="str">
        <f t="shared" si="11"/>
        <v>, 3PM, PTS, AST, STL</v>
      </c>
      <c r="AM5" t="str">
        <f t="shared" si="12"/>
        <v>, TREB</v>
      </c>
      <c r="AN5" t="str">
        <f t="shared" si="13"/>
        <v/>
      </c>
      <c r="AO5" t="str">
        <f t="shared" si="14"/>
        <v>FG%, FT%, BLK, TO</v>
      </c>
      <c r="AP5">
        <f>VLOOKUP(B5,'2025-2026 actuals'!B:Q,16,FALSE)</f>
        <v>5</v>
      </c>
      <c r="AQ5" s="7">
        <f t="shared" si="15"/>
        <v>8.5358680588769644</v>
      </c>
      <c r="AR5">
        <f t="shared" si="16"/>
        <v>4</v>
      </c>
    </row>
    <row r="6" spans="1:44" ht="18">
      <c r="A6" s="3">
        <f t="shared" si="3"/>
        <v>5</v>
      </c>
      <c r="B6" s="41" t="s">
        <v>65</v>
      </c>
      <c r="C6" s="1">
        <f t="shared" si="4"/>
        <v>5</v>
      </c>
      <c r="D6" s="1">
        <f t="shared" si="5"/>
        <v>18</v>
      </c>
      <c r="E6" s="1">
        <f>VLOOKUP(B6,'2026-2027 adp'!A:C,3,FALSE)</f>
        <v>6.4</v>
      </c>
      <c r="F6" s="1">
        <f t="shared" si="0"/>
        <v>1.4000000000000004</v>
      </c>
      <c r="G6" s="1"/>
      <c r="H6" s="22" t="s">
        <v>435</v>
      </c>
      <c r="I6" s="22" t="s">
        <v>436</v>
      </c>
      <c r="J6" s="42">
        <v>0.3</v>
      </c>
      <c r="K6" s="42">
        <v>31.4</v>
      </c>
      <c r="L6" s="42">
        <v>11.9</v>
      </c>
      <c r="M6" s="42">
        <v>6.5</v>
      </c>
      <c r="N6" s="42">
        <v>1</v>
      </c>
      <c r="O6" s="42">
        <v>1.1000000000000001</v>
      </c>
      <c r="P6" s="42">
        <v>3.3</v>
      </c>
      <c r="Q6" s="43">
        <v>10.24</v>
      </c>
      <c r="R6" s="42">
        <v>12.1</v>
      </c>
      <c r="S6" s="42">
        <v>19.899999999999999</v>
      </c>
      <c r="T6">
        <f t="shared" si="1"/>
        <v>0.6080402010050252</v>
      </c>
      <c r="U6" s="42">
        <v>6.9</v>
      </c>
      <c r="V6" s="42">
        <v>11</v>
      </c>
      <c r="W6">
        <f t="shared" si="2"/>
        <v>0.62727272727272732</v>
      </c>
      <c r="X6" s="7">
        <f>IF(((T6 - '2026-2027 means'!E$2) / '2026-2027 means'!R$2) * (S6 / '2026-2027 means'!B$2) / 2 &lt; -2, -2, ((T6 - '2026-2027 means'!E$2) / '2026-2027 means'!R$2) * (S6 / '2026-2027 means'!B$2) / 2)</f>
        <v>4.5931141758552938</v>
      </c>
      <c r="Y6" s="11">
        <f>IF(((W6 - '2026-2027 means'!F$2) / '2026-2027 means'!S$2) * (V6 / '2026-2027 means'!D$2) &lt; -2, -2, ((W6 - '2026-2027 means'!F$2) / '2026-2027 means'!S$2) * (V6 / '2026-2027 means'!D$2))</f>
        <v>-2</v>
      </c>
      <c r="Z6" s="7">
        <f>(J6-'2026-2027 means'!G$2)/'2026-2027 means'!T$2</f>
        <v>-1.4384697026835043</v>
      </c>
      <c r="AA6" s="7">
        <f>(K6-'2026-2027 means'!H$2)/'2026-2027 means'!U$2</f>
        <v>2.9345618057265836</v>
      </c>
      <c r="AB6" s="7">
        <f>(L6-'2026-2027 means'!I$2)/'2026-2027 means'!V$2</f>
        <v>2.5857942164869976</v>
      </c>
      <c r="AC6" s="7">
        <f>(M6-'2026-2027 means'!J$2)/'2026-2027 means'!W$2</f>
        <v>1.4719008370961624</v>
      </c>
      <c r="AD6" s="7">
        <f>(N6-'2026-2027 means'!K$2)/'2026-2027 means'!X$2</f>
        <v>-4.818821706617768E-2</v>
      </c>
      <c r="AE6" s="7">
        <f>(O6-'2026-2027 means'!L$2)/'2026-2027 means'!Y$2</f>
        <v>0.85556076697616101</v>
      </c>
      <c r="AF6" s="7">
        <f>IF(((P6 - '2026-2027 means'!M$2) / '2026-2027 means'!Z$2 * -1) &lt; -2, -2, (P6 - '2026-2027 means'!M$2) / '2026-2027 means'!Z$2 * -1)</f>
        <v>-1.984485034236926</v>
      </c>
      <c r="AG6">
        <f t="shared" si="6"/>
        <v>4</v>
      </c>
      <c r="AH6">
        <f t="shared" si="7"/>
        <v>2</v>
      </c>
      <c r="AI6" s="8">
        <f t="shared" si="8"/>
        <v>2</v>
      </c>
      <c r="AJ6" s="8" t="e" vm="1">
        <f t="shared" ca="1" si="9"/>
        <v>#NAME?</v>
      </c>
      <c r="AK6" s="8" t="str">
        <f t="shared" si="10"/>
        <v>, FT%, 3PM, STL, TO</v>
      </c>
      <c r="AL6" t="str">
        <f t="shared" si="11"/>
        <v>FG%, PTS, TREB</v>
      </c>
      <c r="AM6" t="str">
        <f t="shared" si="12"/>
        <v>, AST</v>
      </c>
      <c r="AN6" t="str">
        <f t="shared" si="13"/>
        <v>, BLK</v>
      </c>
      <c r="AO6" t="str">
        <f t="shared" si="14"/>
        <v>, FT%, 3PM, STL, TO</v>
      </c>
      <c r="AP6">
        <f>VLOOKUP(B6,'2025-2026 actuals'!B:Q,16,FALSE)</f>
        <v>18</v>
      </c>
      <c r="AQ6" s="7">
        <f t="shared" si="15"/>
        <v>6.9697888481545913</v>
      </c>
      <c r="AR6">
        <f t="shared" si="16"/>
        <v>5</v>
      </c>
    </row>
    <row r="7" spans="1:44" ht="18">
      <c r="A7" s="3">
        <f t="shared" si="3"/>
        <v>10</v>
      </c>
      <c r="B7" s="41" t="s">
        <v>97</v>
      </c>
      <c r="C7" s="1">
        <f t="shared" si="4"/>
        <v>10</v>
      </c>
      <c r="D7" s="1">
        <f t="shared" si="5"/>
        <v>13</v>
      </c>
      <c r="E7" s="1">
        <f>VLOOKUP(B7,'2026-2027 adp'!A:C,3,FALSE)</f>
        <v>6</v>
      </c>
      <c r="F7" s="1">
        <f t="shared" si="0"/>
        <v>-4</v>
      </c>
      <c r="G7" s="1"/>
      <c r="H7" s="22" t="s">
        <v>437</v>
      </c>
      <c r="I7" s="22" t="s">
        <v>438</v>
      </c>
      <c r="J7" s="42">
        <v>2</v>
      </c>
      <c r="K7" s="42">
        <v>25</v>
      </c>
      <c r="L7" s="42">
        <v>5.8</v>
      </c>
      <c r="M7" s="42">
        <v>9.8000000000000007</v>
      </c>
      <c r="N7" s="42">
        <v>1.3</v>
      </c>
      <c r="O7" s="42">
        <v>0.8</v>
      </c>
      <c r="P7" s="42">
        <v>4.0999999999999996</v>
      </c>
      <c r="Q7" s="43">
        <v>7.69</v>
      </c>
      <c r="R7" s="42">
        <v>9.1999999999999993</v>
      </c>
      <c r="S7" s="42">
        <v>19.7</v>
      </c>
      <c r="T7">
        <f t="shared" si="1"/>
        <v>0.46700507614213194</v>
      </c>
      <c r="U7" s="42">
        <v>4.5999999999999996</v>
      </c>
      <c r="V7" s="42">
        <v>5.6</v>
      </c>
      <c r="W7">
        <f t="shared" si="2"/>
        <v>0.8214285714285714</v>
      </c>
      <c r="X7" s="7">
        <f>IF(((T7 - '2026-2027 means'!E$2) / '2026-2027 means'!R$2) * (S7 / '2026-2027 means'!B$2) / 2 &lt; -2, -2, ((T7 - '2026-2027 means'!E$2) / '2026-2027 means'!R$2) * (S7 / '2026-2027 means'!B$2) / 2)</f>
        <v>-0.56824257762353225</v>
      </c>
      <c r="Y7" s="11">
        <f>IF(((W7 - '2026-2027 means'!F$2) / '2026-2027 means'!S$2) * (V7 / '2026-2027 means'!D$2) &lt; -2, -2, ((W7 - '2026-2027 means'!F$2) / '2026-2027 means'!S$2) * (V7 / '2026-2027 means'!D$2))</f>
        <v>0.51620861748559954</v>
      </c>
      <c r="Z7" s="7">
        <f>(J7-'2026-2027 means'!G$2)/'2026-2027 means'!T$2</f>
        <v>0.35019513504194433</v>
      </c>
      <c r="AA7" s="7">
        <f>(K7-'2026-2027 means'!H$2)/'2026-2027 means'!U$2</f>
        <v>1.7231050787644595</v>
      </c>
      <c r="AB7" s="7">
        <f>(L7-'2026-2027 means'!I$2)/'2026-2027 means'!V$2</f>
        <v>4.7409677788272299E-2</v>
      </c>
      <c r="AC7" s="7">
        <f>(M7-'2026-2027 means'!J$2)/'2026-2027 means'!W$2</f>
        <v>3.1757609160593119</v>
      </c>
      <c r="AD7" s="7">
        <f>(N7-'2026-2027 means'!K$2)/'2026-2027 means'!X$2</f>
        <v>0.83234193114301547</v>
      </c>
      <c r="AE7" s="7">
        <f>(O7-'2026-2027 means'!L$2)/'2026-2027 means'!Y$2</f>
        <v>0.24646614774755957</v>
      </c>
      <c r="AF7" s="7">
        <f>IF(((P7 - '2026-2027 means'!M$2) / '2026-2027 means'!Z$2 * -1) &lt; -2, -2, (P7 - '2026-2027 means'!M$2) / '2026-2027 means'!Z$2 * -1)</f>
        <v>-2</v>
      </c>
      <c r="AG7">
        <f t="shared" si="6"/>
        <v>2</v>
      </c>
      <c r="AH7">
        <f t="shared" si="7"/>
        <v>1</v>
      </c>
      <c r="AI7" s="8">
        <f t="shared" si="8"/>
        <v>2</v>
      </c>
      <c r="AJ7" s="8" t="e" vm="1">
        <f t="shared" ca="1" si="9"/>
        <v>#NAME?</v>
      </c>
      <c r="AK7" s="8" t="str">
        <f t="shared" si="10"/>
        <v>FG%, TO</v>
      </c>
      <c r="AL7" t="str">
        <f t="shared" si="11"/>
        <v>, AST</v>
      </c>
      <c r="AM7" t="str">
        <f t="shared" si="12"/>
        <v>, PTS</v>
      </c>
      <c r="AN7" t="str">
        <f t="shared" si="13"/>
        <v>, FT%, 3PM, TREB, STL, BLK</v>
      </c>
      <c r="AO7" t="str">
        <f t="shared" si="14"/>
        <v>FG%, TO</v>
      </c>
      <c r="AP7">
        <f>VLOOKUP(B7,'2025-2026 actuals'!B:Q,16,FALSE)</f>
        <v>13</v>
      </c>
      <c r="AQ7" s="7">
        <f t="shared" si="15"/>
        <v>4.3232449264066304</v>
      </c>
      <c r="AR7">
        <f t="shared" si="16"/>
        <v>10</v>
      </c>
    </row>
    <row r="8" spans="1:44" ht="18">
      <c r="A8" s="3">
        <f t="shared" si="3"/>
        <v>7</v>
      </c>
      <c r="B8" s="41" t="s">
        <v>46</v>
      </c>
      <c r="C8" s="1">
        <f t="shared" si="4"/>
        <v>7</v>
      </c>
      <c r="D8" s="1">
        <f t="shared" si="5"/>
        <v>30</v>
      </c>
      <c r="E8" s="1">
        <f>VLOOKUP(B8,'2026-2027 adp'!A:C,3,FALSE)</f>
        <v>8.5</v>
      </c>
      <c r="F8" s="1">
        <f t="shared" si="0"/>
        <v>1.5</v>
      </c>
      <c r="G8" s="1"/>
      <c r="H8" s="22" t="s">
        <v>439</v>
      </c>
      <c r="I8" s="22" t="s">
        <v>440</v>
      </c>
      <c r="J8" s="42">
        <v>3.3</v>
      </c>
      <c r="K8" s="42">
        <v>26.1</v>
      </c>
      <c r="L8" s="42">
        <v>8.8000000000000007</v>
      </c>
      <c r="M8" s="42">
        <v>6.1</v>
      </c>
      <c r="N8" s="42">
        <v>1.2</v>
      </c>
      <c r="O8" s="42">
        <v>0.5</v>
      </c>
      <c r="P8" s="42">
        <v>2.8</v>
      </c>
      <c r="Q8" s="43">
        <v>7.59</v>
      </c>
      <c r="R8" s="42">
        <v>9</v>
      </c>
      <c r="S8" s="42">
        <v>19.399999999999999</v>
      </c>
      <c r="T8">
        <f t="shared" si="1"/>
        <v>0.46391752577319589</v>
      </c>
      <c r="U8" s="42">
        <v>4.8</v>
      </c>
      <c r="V8" s="42">
        <v>5.8</v>
      </c>
      <c r="W8">
        <f t="shared" si="2"/>
        <v>0.82758620689655171</v>
      </c>
      <c r="X8" s="7">
        <f>IF(((T8 - '2026-2027 means'!E$2) / '2026-2027 means'!R$2) * (S8 / '2026-2027 means'!B$2) / 2 &lt; -2, -2, ((T8 - '2026-2027 means'!E$2) / '2026-2027 means'!R$2) * (S8 / '2026-2027 means'!B$2) / 2)</f>
        <v>-0.66986601096911658</v>
      </c>
      <c r="Y8" s="11">
        <f>IF(((W8 - '2026-2027 means'!F$2) / '2026-2027 means'!S$2) * (V8 / '2026-2027 means'!D$2) &lt; -2, -2, ((W8 - '2026-2027 means'!F$2) / '2026-2027 means'!S$2) * (V8 / '2026-2027 means'!D$2))</f>
        <v>0.65880485934548605</v>
      </c>
      <c r="Z8" s="7">
        <f>(J8-'2026-2027 means'!G$2)/'2026-2027 means'!T$2</f>
        <v>1.7179976580084637</v>
      </c>
      <c r="AA8" s="7">
        <f>(K8-'2026-2027 means'!H$2)/'2026-2027 means'!U$2</f>
        <v>1.9313242037110747</v>
      </c>
      <c r="AB8" s="7">
        <f>(L8-'2026-2027 means'!I$2)/'2026-2027 means'!V$2</f>
        <v>1.2957955164925639</v>
      </c>
      <c r="AC8" s="7">
        <f>(M8-'2026-2027 means'!J$2)/'2026-2027 means'!W$2</f>
        <v>1.2653723426763865</v>
      </c>
      <c r="AD8" s="7">
        <f>(N8-'2026-2027 means'!K$2)/'2026-2027 means'!X$2</f>
        <v>0.53883188173995089</v>
      </c>
      <c r="AE8" s="7">
        <f>(O8-'2026-2027 means'!L$2)/'2026-2027 means'!Y$2</f>
        <v>-0.36262847148104194</v>
      </c>
      <c r="AF8" s="7">
        <f>IF(((P8 - '2026-2027 means'!M$2) / '2026-2027 means'!Z$2 * -1) &lt; -2, -2, (P8 - '2026-2027 means'!M$2) / '2026-2027 means'!Z$2 * -1)</f>
        <v>-1.3021697898277191</v>
      </c>
      <c r="AG8">
        <f t="shared" si="6"/>
        <v>4</v>
      </c>
      <c r="AH8">
        <f t="shared" si="7"/>
        <v>2</v>
      </c>
      <c r="AI8" s="8">
        <f t="shared" si="8"/>
        <v>2</v>
      </c>
      <c r="AJ8" s="8" t="e" vm="1">
        <f t="shared" ca="1" si="9"/>
        <v>#NAME?</v>
      </c>
      <c r="AK8" s="8" t="str">
        <f t="shared" si="10"/>
        <v>FG%, BLK, TO</v>
      </c>
      <c r="AL8" t="str">
        <f t="shared" si="11"/>
        <v/>
      </c>
      <c r="AM8" t="str">
        <f t="shared" si="12"/>
        <v>, 3PM, PTS, TREB, AST</v>
      </c>
      <c r="AN8" t="str">
        <f t="shared" si="13"/>
        <v>, FT%, STL</v>
      </c>
      <c r="AO8" t="str">
        <f t="shared" si="14"/>
        <v>FG%, BLK, TO</v>
      </c>
      <c r="AP8">
        <f>VLOOKUP(B8,'2025-2026 actuals'!B:Q,16,FALSE)</f>
        <v>30</v>
      </c>
      <c r="AQ8" s="7">
        <f t="shared" si="15"/>
        <v>5.0734621896960483</v>
      </c>
      <c r="AR8">
        <f t="shared" si="16"/>
        <v>7</v>
      </c>
    </row>
    <row r="9" spans="1:44" ht="18">
      <c r="A9" s="3">
        <f t="shared" si="3"/>
        <v>13</v>
      </c>
      <c r="B9" s="41" t="s">
        <v>74</v>
      </c>
      <c r="C9" s="1">
        <f t="shared" si="4"/>
        <v>13</v>
      </c>
      <c r="D9" s="1">
        <f t="shared" si="5"/>
        <v>15</v>
      </c>
      <c r="E9" s="1">
        <f>VLOOKUP(B9,'2026-2027 adp'!A:C,3,FALSE)</f>
        <v>7.8</v>
      </c>
      <c r="F9" s="1">
        <f t="shared" si="0"/>
        <v>-5.2</v>
      </c>
      <c r="G9" s="1"/>
      <c r="H9" s="22" t="s">
        <v>441</v>
      </c>
      <c r="I9" s="22" t="s">
        <v>442</v>
      </c>
      <c r="J9" s="42">
        <v>3.7</v>
      </c>
      <c r="K9" s="42">
        <v>28.7</v>
      </c>
      <c r="L9" s="42">
        <v>5.6</v>
      </c>
      <c r="M9" s="42">
        <v>3.5</v>
      </c>
      <c r="N9" s="42">
        <v>1.2</v>
      </c>
      <c r="O9" s="42">
        <v>0.7</v>
      </c>
      <c r="P9" s="42">
        <v>3</v>
      </c>
      <c r="Q9" s="43">
        <v>7.51</v>
      </c>
      <c r="R9" s="42">
        <v>9.6999999999999993</v>
      </c>
      <c r="S9" s="42">
        <v>20</v>
      </c>
      <c r="T9">
        <f t="shared" si="1"/>
        <v>0.48499999999999999</v>
      </c>
      <c r="U9" s="42">
        <v>5.4</v>
      </c>
      <c r="V9" s="42">
        <v>6.6</v>
      </c>
      <c r="W9">
        <f t="shared" si="2"/>
        <v>0.81818181818181823</v>
      </c>
      <c r="X9" s="7">
        <f>IF(((T9 - '2026-2027 means'!E$2) / '2026-2027 means'!R$2) * (S9 / '2026-2027 means'!B$2) / 2 &lt; -2, -2, ((T9 - '2026-2027 means'!E$2) / '2026-2027 means'!R$2) * (S9 / '2026-2027 means'!B$2) / 2)</f>
        <v>8.5699773568270812E-2</v>
      </c>
      <c r="Y9" s="11">
        <f>IF(((W9 - '2026-2027 means'!F$2) / '2026-2027 means'!S$2) * (V9 / '2026-2027 means'!D$2) &lt; -2, -2, ((W9 - '2026-2027 means'!F$2) / '2026-2027 means'!S$2) * (V9 / '2026-2027 means'!D$2))</f>
        <v>0.53389259586678961</v>
      </c>
      <c r="Z9" s="7">
        <f>(J9-'2026-2027 means'!G$2)/'2026-2027 means'!T$2</f>
        <v>2.1388599727673934</v>
      </c>
      <c r="AA9" s="7">
        <f>(K9-'2026-2027 means'!H$2)/'2026-2027 means'!U$2</f>
        <v>2.4234784990394376</v>
      </c>
      <c r="AB9" s="7">
        <f>(L9-'2026-2027 means'!I$2)/'2026-2027 means'!V$2</f>
        <v>-3.5816044792013849E-2</v>
      </c>
      <c r="AC9" s="7">
        <f>(M9-'2026-2027 means'!J$2)/'2026-2027 means'!W$2</f>
        <v>-7.7062871052154841E-2</v>
      </c>
      <c r="AD9" s="7">
        <f>(N9-'2026-2027 means'!K$2)/'2026-2027 means'!X$2</f>
        <v>0.53883188173995089</v>
      </c>
      <c r="AE9" s="7">
        <f>(O9-'2026-2027 means'!L$2)/'2026-2027 means'!Y$2</f>
        <v>4.3434608004692253E-2</v>
      </c>
      <c r="AF9" s="7">
        <f>IF(((P9 - '2026-2027 means'!M$2) / '2026-2027 means'!Z$2 * -1) &lt; -2, -2, (P9 - '2026-2027 means'!M$2) / '2026-2027 means'!Z$2 * -1)</f>
        <v>-1.5750958875914021</v>
      </c>
      <c r="AG9">
        <f t="shared" si="6"/>
        <v>2</v>
      </c>
      <c r="AH9">
        <f t="shared" si="7"/>
        <v>0</v>
      </c>
      <c r="AI9" s="8" t="e">
        <f t="shared" si="8"/>
        <v>#DIV/0!</v>
      </c>
      <c r="AJ9" s="8" t="e" vm="1">
        <f t="shared" ca="1" si="9"/>
        <v>#NAME?</v>
      </c>
      <c r="AK9" s="8" t="str">
        <f t="shared" si="10"/>
        <v>, TREB, AST, TO</v>
      </c>
      <c r="AL9" t="str">
        <f t="shared" si="11"/>
        <v>, 3PM, PTS</v>
      </c>
      <c r="AM9" t="str">
        <f t="shared" si="12"/>
        <v/>
      </c>
      <c r="AN9" t="str">
        <f t="shared" si="13"/>
        <v>FG%, FT%, STL, BLK</v>
      </c>
      <c r="AO9" t="str">
        <f t="shared" si="14"/>
        <v>, TREB, AST, TO</v>
      </c>
      <c r="AP9">
        <f>VLOOKUP(B9,'2025-2026 actuals'!B:Q,16,FALSE)</f>
        <v>15</v>
      </c>
      <c r="AQ9" s="7">
        <f t="shared" si="15"/>
        <v>4.0762225275509634</v>
      </c>
      <c r="AR9">
        <f t="shared" si="16"/>
        <v>13</v>
      </c>
    </row>
    <row r="10" spans="1:44" ht="18">
      <c r="A10" s="3">
        <f t="shared" si="3"/>
        <v>6</v>
      </c>
      <c r="B10" s="41" t="s">
        <v>69</v>
      </c>
      <c r="C10" s="1">
        <f t="shared" si="4"/>
        <v>6</v>
      </c>
      <c r="D10" s="1">
        <f t="shared" si="5"/>
        <v>4</v>
      </c>
      <c r="E10" s="1">
        <f>VLOOKUP(B10,'2026-2027 adp'!A:C,3,FALSE)</f>
        <v>9.6999999999999993</v>
      </c>
      <c r="F10" s="1">
        <f t="shared" si="0"/>
        <v>3.6999999999999993</v>
      </c>
      <c r="G10" s="1"/>
      <c r="H10" s="22" t="s">
        <v>443</v>
      </c>
      <c r="I10" s="22" t="s">
        <v>444</v>
      </c>
      <c r="J10" s="42">
        <v>2.8</v>
      </c>
      <c r="K10" s="42">
        <v>24.2</v>
      </c>
      <c r="L10" s="42">
        <v>3.4</v>
      </c>
      <c r="M10" s="42">
        <v>5.8</v>
      </c>
      <c r="N10" s="42">
        <v>1.8</v>
      </c>
      <c r="O10" s="42">
        <v>0.5</v>
      </c>
      <c r="P10" s="42">
        <v>2.2000000000000002</v>
      </c>
      <c r="Q10" s="43">
        <v>7.48</v>
      </c>
      <c r="R10" s="42">
        <v>8.4</v>
      </c>
      <c r="S10" s="42">
        <v>18.2</v>
      </c>
      <c r="T10">
        <f t="shared" si="1"/>
        <v>0.46153846153846156</v>
      </c>
      <c r="U10" s="42">
        <v>4.5999999999999996</v>
      </c>
      <c r="V10" s="42">
        <v>5.2</v>
      </c>
      <c r="W10">
        <f t="shared" si="2"/>
        <v>0.88461538461538447</v>
      </c>
      <c r="X10" s="7">
        <f>IF(((T10 - '2026-2027 means'!E$2) / '2026-2027 means'!R$2) * (S10 / '2026-2027 means'!B$2) / 2 &lt; -2, -2, ((T10 - '2026-2027 means'!E$2) / '2026-2027 means'!R$2) * (S10 / '2026-2027 means'!B$2) / 2)</f>
        <v>-0.70814713245398553</v>
      </c>
      <c r="Y10" s="11">
        <f>IF(((W10 - '2026-2027 means'!F$2) / '2026-2027 means'!S$2) * (V10 / '2026-2027 means'!D$2) &lt; -2, -2, ((W10 - '2026-2027 means'!F$2) / '2026-2027 means'!S$2) * (V10 / '2026-2027 means'!D$2))</f>
        <v>1.6216105956023106</v>
      </c>
      <c r="Z10" s="7">
        <f>(J10-'2026-2027 means'!G$2)/'2026-2027 means'!T$2</f>
        <v>1.1919197645598023</v>
      </c>
      <c r="AA10" s="7">
        <f>(K10-'2026-2027 means'!H$2)/'2026-2027 means'!U$2</f>
        <v>1.5716729878941937</v>
      </c>
      <c r="AB10" s="7">
        <f>(L10-'2026-2027 means'!I$2)/'2026-2027 means'!V$2</f>
        <v>-0.95129899317516053</v>
      </c>
      <c r="AC10" s="7">
        <f>(M10-'2026-2027 means'!J$2)/'2026-2027 means'!W$2</f>
        <v>1.1104759718615549</v>
      </c>
      <c r="AD10" s="7">
        <f>(N10-'2026-2027 means'!K$2)/'2026-2027 means'!X$2</f>
        <v>2.2998921781583372</v>
      </c>
      <c r="AE10" s="7">
        <f>(O10-'2026-2027 means'!L$2)/'2026-2027 means'!Y$2</f>
        <v>-0.36262847148104194</v>
      </c>
      <c r="AF10" s="7">
        <f>IF(((P10 - '2026-2027 means'!M$2) / '2026-2027 means'!Z$2 * -1) &lt; -2, -2, (P10 - '2026-2027 means'!M$2) / '2026-2027 means'!Z$2 * -1)</f>
        <v>-0.48339149653667135</v>
      </c>
      <c r="AG10">
        <f t="shared" si="6"/>
        <v>5</v>
      </c>
      <c r="AH10">
        <f t="shared" si="7"/>
        <v>3</v>
      </c>
      <c r="AI10" s="8">
        <f t="shared" si="8"/>
        <v>1.6666666666666667</v>
      </c>
      <c r="AJ10" s="8" t="e" vm="1">
        <f t="shared" ca="1" si="9"/>
        <v>#NAME?</v>
      </c>
      <c r="AK10" s="8" t="str">
        <f t="shared" si="10"/>
        <v>FG%, TREB, BLK, TO</v>
      </c>
      <c r="AL10" t="str">
        <f t="shared" si="11"/>
        <v>, STL</v>
      </c>
      <c r="AM10" t="str">
        <f t="shared" si="12"/>
        <v>, FT%, 3PM, PTS, AST</v>
      </c>
      <c r="AN10" t="str">
        <f t="shared" si="13"/>
        <v/>
      </c>
      <c r="AO10" t="str">
        <f t="shared" si="14"/>
        <v>FG%, TREB, BLK, TO</v>
      </c>
      <c r="AP10">
        <f>VLOOKUP(B10,'2025-2026 actuals'!B:Q,16,FALSE)</f>
        <v>4</v>
      </c>
      <c r="AQ10" s="7">
        <f t="shared" si="15"/>
        <v>5.2901054044293394</v>
      </c>
      <c r="AR10">
        <f t="shared" si="16"/>
        <v>6</v>
      </c>
    </row>
    <row r="11" spans="1:44" ht="18">
      <c r="A11" s="3">
        <f t="shared" si="3"/>
        <v>14</v>
      </c>
      <c r="B11" s="41" t="s">
        <v>49</v>
      </c>
      <c r="C11" s="1">
        <f t="shared" si="4"/>
        <v>14</v>
      </c>
      <c r="D11" s="1">
        <f t="shared" si="5"/>
        <v>8</v>
      </c>
      <c r="E11" s="1">
        <f>VLOOKUP(B11,'2026-2027 adp'!A:C,3,FALSE)</f>
        <v>23.1</v>
      </c>
      <c r="F11" s="1">
        <f t="shared" si="0"/>
        <v>9.1000000000000014</v>
      </c>
      <c r="G11" s="1"/>
      <c r="H11" s="22" t="s">
        <v>445</v>
      </c>
      <c r="I11" s="22" t="s">
        <v>446</v>
      </c>
      <c r="J11" s="42">
        <v>4.4000000000000004</v>
      </c>
      <c r="K11" s="42">
        <v>25.4</v>
      </c>
      <c r="L11" s="42">
        <v>3.6</v>
      </c>
      <c r="M11" s="42">
        <v>5.2</v>
      </c>
      <c r="N11" s="42">
        <v>1</v>
      </c>
      <c r="O11" s="42">
        <v>0.4</v>
      </c>
      <c r="P11" s="42">
        <v>2.9</v>
      </c>
      <c r="Q11" s="43">
        <v>7.39</v>
      </c>
      <c r="R11" s="42">
        <v>8.4</v>
      </c>
      <c r="S11" s="42">
        <v>18.3</v>
      </c>
      <c r="T11">
        <f t="shared" si="1"/>
        <v>0.45901639344262296</v>
      </c>
      <c r="U11" s="42">
        <v>4.3</v>
      </c>
      <c r="V11" s="42">
        <v>4.5999999999999996</v>
      </c>
      <c r="W11">
        <f t="shared" si="2"/>
        <v>0.93478260869565222</v>
      </c>
      <c r="X11" s="7">
        <f>IF(((T11 - '2026-2027 means'!E$2) / '2026-2027 means'!R$2) * (S11 / '2026-2027 means'!B$2) / 2 &lt; -2, -2, ((T11 - '2026-2027 means'!E$2) / '2026-2027 means'!R$2) * (S11 / '2026-2027 means'!B$2) / 2)</f>
        <v>-0.79701019197128298</v>
      </c>
      <c r="Y11" s="11">
        <f>IF(((W11 - '2026-2027 means'!F$2) / '2026-2027 means'!S$2) * (V11 / '2026-2027 means'!D$2) &lt; -2, -2, ((W11 - '2026-2027 means'!F$2) / '2026-2027 means'!S$2) * (V11 / '2026-2027 means'!D$2))</f>
        <v>2.2367677164000188</v>
      </c>
      <c r="Z11" s="7">
        <f>(J11-'2026-2027 means'!G$2)/'2026-2027 means'!T$2</f>
        <v>2.8753690235955194</v>
      </c>
      <c r="AA11" s="7">
        <f>(K11-'2026-2027 means'!H$2)/'2026-2027 means'!U$2</f>
        <v>1.7988211241995919</v>
      </c>
      <c r="AB11" s="7">
        <f>(L11-'2026-2027 means'!I$2)/'2026-2027 means'!V$2</f>
        <v>-0.86807327059487438</v>
      </c>
      <c r="AC11" s="7">
        <f>(M11-'2026-2027 means'!J$2)/'2026-2027 means'!W$2</f>
        <v>0.8006832302318917</v>
      </c>
      <c r="AD11" s="7">
        <f>(N11-'2026-2027 means'!K$2)/'2026-2027 means'!X$2</f>
        <v>-4.818821706617768E-2</v>
      </c>
      <c r="AE11" s="7">
        <f>(O11-'2026-2027 means'!L$2)/'2026-2027 means'!Y$2</f>
        <v>-0.56566001122390897</v>
      </c>
      <c r="AF11" s="7">
        <f>IF(((P11 - '2026-2027 means'!M$2) / '2026-2027 means'!Z$2 * -1) &lt; -2, -2, (P11 - '2026-2027 means'!M$2) / '2026-2027 means'!Z$2 * -1)</f>
        <v>-1.4386328387095606</v>
      </c>
      <c r="AG11">
        <f t="shared" si="6"/>
        <v>3</v>
      </c>
      <c r="AH11">
        <f t="shared" si="7"/>
        <v>3</v>
      </c>
      <c r="AI11" s="8">
        <f t="shared" si="8"/>
        <v>1</v>
      </c>
      <c r="AJ11" s="8" t="e" vm="1">
        <f t="shared" ca="1" si="9"/>
        <v>#NAME?</v>
      </c>
      <c r="AK11" s="8" t="str">
        <f t="shared" si="10"/>
        <v>FG%, TREB, STL, BLK, TO</v>
      </c>
      <c r="AL11" t="str">
        <f t="shared" si="11"/>
        <v>, FT%, 3PM</v>
      </c>
      <c r="AM11" t="str">
        <f t="shared" si="12"/>
        <v>, PTS</v>
      </c>
      <c r="AN11" t="str">
        <f t="shared" si="13"/>
        <v>, AST</v>
      </c>
      <c r="AO11" t="str">
        <f t="shared" si="14"/>
        <v>FG%, TREB, STL, BLK, TO</v>
      </c>
      <c r="AP11">
        <f>VLOOKUP(B11,'2025-2026 actuals'!B:Q,16,FALSE)</f>
        <v>8</v>
      </c>
      <c r="AQ11" s="7">
        <f t="shared" si="15"/>
        <v>3.9940765648612162</v>
      </c>
      <c r="AR11">
        <f t="shared" si="16"/>
        <v>14</v>
      </c>
    </row>
    <row r="12" spans="1:44" ht="18">
      <c r="A12" s="3">
        <f t="shared" si="3"/>
        <v>18</v>
      </c>
      <c r="B12" s="41" t="s">
        <v>32</v>
      </c>
      <c r="C12" s="1">
        <f t="shared" si="4"/>
        <v>18</v>
      </c>
      <c r="D12" s="1">
        <f t="shared" si="5"/>
        <v>9</v>
      </c>
      <c r="E12" s="1">
        <f>VLOOKUP(B12,'2026-2027 adp'!A:C,3,FALSE)</f>
        <v>16</v>
      </c>
      <c r="F12" s="1">
        <f t="shared" si="0"/>
        <v>-2</v>
      </c>
      <c r="G12" s="1"/>
      <c r="H12" s="22" t="s">
        <v>447</v>
      </c>
      <c r="I12" s="22" t="s">
        <v>448</v>
      </c>
      <c r="J12" s="42">
        <v>2.2999999999999998</v>
      </c>
      <c r="K12" s="42">
        <v>24.7</v>
      </c>
      <c r="L12" s="42">
        <v>5.4</v>
      </c>
      <c r="M12" s="42">
        <v>4.3</v>
      </c>
      <c r="N12" s="42">
        <v>0.8</v>
      </c>
      <c r="O12" s="42">
        <v>1</v>
      </c>
      <c r="P12" s="42">
        <v>2.9</v>
      </c>
      <c r="Q12" s="43">
        <v>7.13</v>
      </c>
      <c r="R12" s="42">
        <v>8.8000000000000007</v>
      </c>
      <c r="S12" s="42">
        <v>16.8</v>
      </c>
      <c r="T12">
        <f t="shared" si="1"/>
        <v>0.52380952380952384</v>
      </c>
      <c r="U12" s="42">
        <v>4.8</v>
      </c>
      <c r="V12" s="42">
        <v>5.6</v>
      </c>
      <c r="W12">
        <f t="shared" si="2"/>
        <v>0.85714285714285721</v>
      </c>
      <c r="X12" s="7">
        <f>IF(((T12 - '2026-2027 means'!E$2) / '2026-2027 means'!R$2) * (S12 / '2026-2027 means'!B$2) / 2 &lt; -2, -2, ((T12 - '2026-2027 means'!E$2) / '2026-2027 means'!R$2) * (S12 / '2026-2027 means'!B$2) / 2)</f>
        <v>1.2723609245831236</v>
      </c>
      <c r="Y12" s="11">
        <f>IF(((W12 - '2026-2027 means'!F$2) / '2026-2027 means'!S$2) * (V12 / '2026-2027 means'!D$2) &lt; -2, -2, ((W12 - '2026-2027 means'!F$2) / '2026-2027 means'!S$2) * (V12 / '2026-2027 means'!D$2))</f>
        <v>1.2115058484038439</v>
      </c>
      <c r="Z12" s="7">
        <f>(J12-'2026-2027 means'!G$2)/'2026-2027 means'!T$2</f>
        <v>0.66584187111114101</v>
      </c>
      <c r="AA12" s="7">
        <f>(K12-'2026-2027 means'!H$2)/'2026-2027 means'!U$2</f>
        <v>1.6663180446881096</v>
      </c>
      <c r="AB12" s="7">
        <f>(L12-'2026-2027 means'!I$2)/'2026-2027 means'!V$2</f>
        <v>-0.11904176737229963</v>
      </c>
      <c r="AC12" s="7">
        <f>(M12-'2026-2027 means'!J$2)/'2026-2027 means'!W$2</f>
        <v>0.3359941177873963</v>
      </c>
      <c r="AD12" s="7">
        <f>(N12-'2026-2027 means'!K$2)/'2026-2027 means'!X$2</f>
        <v>-0.6352083158723062</v>
      </c>
      <c r="AE12" s="7">
        <f>(O12-'2026-2027 means'!L$2)/'2026-2027 means'!Y$2</f>
        <v>0.65252922723329376</v>
      </c>
      <c r="AF12" s="7">
        <f>IF(((P12 - '2026-2027 means'!M$2) / '2026-2027 means'!Z$2 * -1) &lt; -2, -2, (P12 - '2026-2027 means'!M$2) / '2026-2027 means'!Z$2 * -1)</f>
        <v>-1.4386328387095606</v>
      </c>
      <c r="AG12">
        <f t="shared" si="6"/>
        <v>3</v>
      </c>
      <c r="AH12">
        <f t="shared" si="7"/>
        <v>1</v>
      </c>
      <c r="AI12" s="8">
        <f t="shared" si="8"/>
        <v>3</v>
      </c>
      <c r="AJ12" s="8" t="e" vm="1">
        <f t="shared" ca="1" si="9"/>
        <v>#NAME?</v>
      </c>
      <c r="AK12" s="8" t="str">
        <f t="shared" si="10"/>
        <v>, TREB, STL, TO</v>
      </c>
      <c r="AL12" t="str">
        <f t="shared" si="11"/>
        <v/>
      </c>
      <c r="AM12" t="str">
        <f t="shared" si="12"/>
        <v>FG%, FT%, PTS</v>
      </c>
      <c r="AN12" t="str">
        <f t="shared" si="13"/>
        <v>, 3PM, AST, BLK</v>
      </c>
      <c r="AO12" t="str">
        <f t="shared" si="14"/>
        <v>, TREB, STL, TO</v>
      </c>
      <c r="AP12">
        <f>VLOOKUP(B12,'2025-2026 actuals'!B:Q,16,FALSE)</f>
        <v>9</v>
      </c>
      <c r="AQ12" s="7">
        <f t="shared" si="15"/>
        <v>3.6116671118527419</v>
      </c>
      <c r="AR12">
        <f t="shared" si="16"/>
        <v>18</v>
      </c>
    </row>
    <row r="13" spans="1:44" ht="18">
      <c r="A13" s="3">
        <f t="shared" si="3"/>
        <v>11</v>
      </c>
      <c r="B13" s="41" t="s">
        <v>35</v>
      </c>
      <c r="C13" s="1">
        <f t="shared" si="4"/>
        <v>11</v>
      </c>
      <c r="D13" s="1">
        <f t="shared" si="5"/>
        <v>7</v>
      </c>
      <c r="E13" s="1">
        <f>VLOOKUP(B13,'2026-2027 adp'!A:C,3,FALSE)</f>
        <v>13.8</v>
      </c>
      <c r="F13" s="1">
        <f t="shared" si="0"/>
        <v>2.8000000000000007</v>
      </c>
      <c r="G13" s="1"/>
      <c r="H13" s="22" t="s">
        <v>449</v>
      </c>
      <c r="I13" s="22" t="s">
        <v>450</v>
      </c>
      <c r="J13" s="42">
        <v>3.3</v>
      </c>
      <c r="K13" s="42">
        <v>26.9</v>
      </c>
      <c r="L13" s="42">
        <v>4.7</v>
      </c>
      <c r="M13" s="42">
        <v>5.4</v>
      </c>
      <c r="N13" s="42">
        <v>1.5</v>
      </c>
      <c r="O13" s="42">
        <v>0.3</v>
      </c>
      <c r="P13" s="42">
        <v>2.6</v>
      </c>
      <c r="Q13" s="43">
        <v>6.74</v>
      </c>
      <c r="R13" s="42">
        <v>9.3000000000000007</v>
      </c>
      <c r="S13" s="42">
        <v>20.100000000000001</v>
      </c>
      <c r="T13">
        <f t="shared" si="1"/>
        <v>0.46268656716417911</v>
      </c>
      <c r="U13" s="42">
        <v>4.9000000000000004</v>
      </c>
      <c r="V13" s="42">
        <v>5.8</v>
      </c>
      <c r="W13">
        <f t="shared" si="2"/>
        <v>0.84482758620689669</v>
      </c>
      <c r="X13" s="7">
        <f>IF(((T13 - '2026-2027 means'!E$2) / '2026-2027 means'!R$2) * (S13 / '2026-2027 means'!B$2) / 2 &lt; -2, -2, ((T13 - '2026-2027 means'!E$2) / '2026-2027 means'!R$2) * (S13 / '2026-2027 means'!B$2) / 2)</f>
        <v>-0.73958850974397927</v>
      </c>
      <c r="Y13" s="11">
        <f>IF(((W13 - '2026-2027 means'!F$2) / '2026-2027 means'!S$2) * (V13 / '2026-2027 means'!D$2) &lt; -2, -2, ((W13 - '2026-2027 means'!F$2) / '2026-2027 means'!S$2) * (V13 / '2026-2027 means'!D$2))</f>
        <v>1.0064534748046103</v>
      </c>
      <c r="Z13" s="7">
        <f>(J13-'2026-2027 means'!G$2)/'2026-2027 means'!T$2</f>
        <v>1.7179976580084637</v>
      </c>
      <c r="AA13" s="7">
        <f>(K13-'2026-2027 means'!H$2)/'2026-2027 means'!U$2</f>
        <v>2.08275629458134</v>
      </c>
      <c r="AB13" s="7">
        <f>(L13-'2026-2027 means'!I$2)/'2026-2027 means'!V$2</f>
        <v>-0.41033179640330097</v>
      </c>
      <c r="AC13" s="7">
        <f>(M13-'2026-2027 means'!J$2)/'2026-2027 means'!W$2</f>
        <v>0.9039474774417795</v>
      </c>
      <c r="AD13" s="7">
        <f>(N13-'2026-2027 means'!K$2)/'2026-2027 means'!X$2</f>
        <v>1.4193620299491441</v>
      </c>
      <c r="AE13" s="7">
        <f>(O13-'2026-2027 means'!L$2)/'2026-2027 means'!Y$2</f>
        <v>-0.76869155096677622</v>
      </c>
      <c r="AF13" s="7">
        <f>IF(((P13 - '2026-2027 means'!M$2) / '2026-2027 means'!Z$2 * -1) &lt; -2, -2, (P13 - '2026-2027 means'!M$2) / '2026-2027 means'!Z$2 * -1)</f>
        <v>-1.0292436920640367</v>
      </c>
      <c r="AG13">
        <f t="shared" si="6"/>
        <v>4</v>
      </c>
      <c r="AH13">
        <f t="shared" si="7"/>
        <v>3</v>
      </c>
      <c r="AI13" s="8">
        <f t="shared" si="8"/>
        <v>1.3333333333333333</v>
      </c>
      <c r="AJ13" s="8" t="e" vm="1">
        <f t="shared" ca="1" si="9"/>
        <v>#NAME?</v>
      </c>
      <c r="AK13" s="8" t="str">
        <f t="shared" si="10"/>
        <v>FG%, TREB, BLK, TO</v>
      </c>
      <c r="AL13" t="str">
        <f t="shared" si="11"/>
        <v>, PTS</v>
      </c>
      <c r="AM13" t="str">
        <f t="shared" si="12"/>
        <v>, FT%, 3PM, STL</v>
      </c>
      <c r="AN13" t="str">
        <f t="shared" si="13"/>
        <v>, AST</v>
      </c>
      <c r="AO13" t="str">
        <f t="shared" si="14"/>
        <v>FG%, TREB, BLK, TO</v>
      </c>
      <c r="AP13">
        <f>VLOOKUP(B13,'2025-2026 actuals'!B:Q,16,FALSE)</f>
        <v>7</v>
      </c>
      <c r="AQ13" s="7">
        <f t="shared" si="15"/>
        <v>4.1826613856072461</v>
      </c>
      <c r="AR13">
        <f t="shared" si="16"/>
        <v>11</v>
      </c>
    </row>
    <row r="14" spans="1:44" ht="18">
      <c r="A14" s="3">
        <f t="shared" si="3"/>
        <v>12</v>
      </c>
      <c r="B14" s="41" t="s">
        <v>72</v>
      </c>
      <c r="C14" s="1">
        <f t="shared" si="4"/>
        <v>12</v>
      </c>
      <c r="D14" s="1">
        <f>AP14</f>
        <v>23</v>
      </c>
      <c r="E14" s="1">
        <f>VLOOKUP(B14,'2026-2027 adp'!A:C,3,FALSE)</f>
        <v>15.6</v>
      </c>
      <c r="F14" s="1">
        <f t="shared" si="0"/>
        <v>3.5999999999999996</v>
      </c>
      <c r="G14" s="1"/>
      <c r="H14" s="22" t="s">
        <v>451</v>
      </c>
      <c r="I14" s="22" t="s">
        <v>452</v>
      </c>
      <c r="J14" s="42">
        <v>1.7</v>
      </c>
      <c r="K14" s="42">
        <v>21.3</v>
      </c>
      <c r="L14" s="42">
        <v>11.8</v>
      </c>
      <c r="M14" s="42">
        <v>3.5</v>
      </c>
      <c r="N14" s="42">
        <v>0.9</v>
      </c>
      <c r="O14" s="42">
        <v>0.6</v>
      </c>
      <c r="P14" s="42">
        <v>2.5</v>
      </c>
      <c r="Q14" s="43">
        <v>6.66</v>
      </c>
      <c r="R14" s="42">
        <v>7.6</v>
      </c>
      <c r="S14" s="42">
        <v>14.7</v>
      </c>
      <c r="T14">
        <f t="shared" si="1"/>
        <v>0.51700680272108845</v>
      </c>
      <c r="U14" s="42">
        <v>4.5999999999999996</v>
      </c>
      <c r="V14" s="42">
        <v>5.4</v>
      </c>
      <c r="W14">
        <f t="shared" si="2"/>
        <v>0.85185185185185175</v>
      </c>
      <c r="X14" s="7">
        <f>IF(((T14 - '2026-2027 means'!E$2) / '2026-2027 means'!R$2) * (S14 / '2026-2027 means'!B$2) / 2 &lt; -2, -2, ((T14 - '2026-2027 means'!E$2) / '2026-2027 means'!R$2) * (S14 / '2026-2027 means'!B$2) / 2)</f>
        <v>0.9292095030614943</v>
      </c>
      <c r="Y14" s="11">
        <f>IF(((W14 - '2026-2027 means'!F$2) / '2026-2027 means'!S$2) * (V14 / '2026-2027 means'!D$2) &lt; -2, -2, ((W14 - '2026-2027 means'!F$2) / '2026-2027 means'!S$2) * (V14 / '2026-2027 means'!D$2))</f>
        <v>1.0689096065439547</v>
      </c>
      <c r="Z14" s="7">
        <f>(J14-'2026-2027 means'!G$2)/'2026-2027 means'!T$2</f>
        <v>3.4548398972747453E-2</v>
      </c>
      <c r="AA14" s="7">
        <f>(K14-'2026-2027 means'!H$2)/'2026-2027 means'!U$2</f>
        <v>1.0227316584894814</v>
      </c>
      <c r="AB14" s="7">
        <f>(L14-'2026-2027 means'!I$2)/'2026-2027 means'!V$2</f>
        <v>2.5441813551968551</v>
      </c>
      <c r="AC14" s="7">
        <f>(M14-'2026-2027 means'!J$2)/'2026-2027 means'!W$2</f>
        <v>-7.7062871052154841E-2</v>
      </c>
      <c r="AD14" s="7">
        <f>(N14-'2026-2027 means'!K$2)/'2026-2027 means'!X$2</f>
        <v>-0.34169826646924195</v>
      </c>
      <c r="AE14" s="7">
        <f>(O14-'2026-2027 means'!L$2)/'2026-2027 means'!Y$2</f>
        <v>-0.15959693173817482</v>
      </c>
      <c r="AF14" s="7">
        <f>IF(((P14 - '2026-2027 means'!M$2) / '2026-2027 means'!Z$2 * -1) &lt; -2, -2, (P14 - '2026-2027 means'!M$2) / '2026-2027 means'!Z$2 * -1)</f>
        <v>-0.89278064318219519</v>
      </c>
      <c r="AG14">
        <f t="shared" si="6"/>
        <v>3</v>
      </c>
      <c r="AH14">
        <f t="shared" si="7"/>
        <v>1</v>
      </c>
      <c r="AI14" s="8">
        <f t="shared" si="8"/>
        <v>3</v>
      </c>
      <c r="AJ14" s="8" t="e" vm="1">
        <f t="shared" ca="1" si="9"/>
        <v>#NAME?</v>
      </c>
      <c r="AK14" s="8" t="str">
        <f t="shared" si="10"/>
        <v>, AST, STL, BLK, TO</v>
      </c>
      <c r="AL14" t="str">
        <f t="shared" si="11"/>
        <v>, TREB</v>
      </c>
      <c r="AM14" t="str">
        <f t="shared" si="12"/>
        <v>, FT%, PTS</v>
      </c>
      <c r="AN14" t="str">
        <f t="shared" si="13"/>
        <v>FG%, 3PM</v>
      </c>
      <c r="AO14" t="str">
        <f t="shared" si="14"/>
        <v>, AST, STL, BLK, TO</v>
      </c>
      <c r="AP14">
        <f>VLOOKUP(B14,'2025-2026 actuals'!B:Q,16,FALSE)</f>
        <v>23</v>
      </c>
      <c r="AQ14" s="7">
        <f t="shared" si="15"/>
        <v>4.1284418098227658</v>
      </c>
      <c r="AR14">
        <f t="shared" si="16"/>
        <v>12</v>
      </c>
    </row>
    <row r="15" spans="1:44" ht="18">
      <c r="A15" s="3">
        <f t="shared" si="3"/>
        <v>15</v>
      </c>
      <c r="B15" s="41" t="s">
        <v>80</v>
      </c>
      <c r="C15" s="1">
        <f t="shared" si="4"/>
        <v>15</v>
      </c>
      <c r="D15" s="1">
        <f t="shared" ref="D15:D39" si="17">AP15</f>
        <v>10</v>
      </c>
      <c r="E15" s="1">
        <f>VLOOKUP(B15,'2026-2027 adp'!A:C,3,FALSE)</f>
        <v>20.8</v>
      </c>
      <c r="F15" s="23">
        <f t="shared" si="0"/>
        <v>5.8000000000000007</v>
      </c>
      <c r="G15" s="1"/>
      <c r="H15" s="22" t="s">
        <v>453</v>
      </c>
      <c r="I15" s="22" t="s">
        <v>454</v>
      </c>
      <c r="J15" s="42">
        <v>2.8</v>
      </c>
      <c r="K15" s="42">
        <v>23.2</v>
      </c>
      <c r="L15" s="42">
        <v>4.0999999999999996</v>
      </c>
      <c r="M15" s="42">
        <v>6.5</v>
      </c>
      <c r="N15" s="42">
        <v>1.1000000000000001</v>
      </c>
      <c r="O15" s="42">
        <v>0.4</v>
      </c>
      <c r="P15" s="42">
        <v>2.1</v>
      </c>
      <c r="Q15" s="43">
        <v>6.42</v>
      </c>
      <c r="R15" s="42">
        <v>8.1999999999999993</v>
      </c>
      <c r="S15" s="42">
        <v>17.2</v>
      </c>
      <c r="T15">
        <f t="shared" si="1"/>
        <v>0.47674418604651159</v>
      </c>
      <c r="U15" s="42">
        <v>3.9</v>
      </c>
      <c r="V15" s="42">
        <v>4.4000000000000004</v>
      </c>
      <c r="W15">
        <f t="shared" si="2"/>
        <v>0.88636363636363624</v>
      </c>
      <c r="X15" s="7">
        <f>IF(((T15 - '2026-2027 means'!E$2) / '2026-2027 means'!R$2) * (S15 / '2026-2027 means'!B$2) / 2 &lt; -2, -2, ((T15 - '2026-2027 means'!E$2) / '2026-2027 means'!R$2) * (S15 / '2026-2027 means'!B$2) / 2)</f>
        <v>-0.18772914917849662</v>
      </c>
      <c r="Y15" s="11">
        <f>IF(((W15 - '2026-2027 means'!F$2) / '2026-2027 means'!S$2) * (V15 / '2026-2027 means'!D$2) &lt; -2, -2, ((W15 - '2026-2027 means'!F$2) / '2026-2027 means'!S$2) * (V15 / '2026-2027 means'!D$2))</f>
        <v>1.3988742436218877</v>
      </c>
      <c r="Z15" s="7">
        <f>(J15-'2026-2027 means'!G$2)/'2026-2027 means'!T$2</f>
        <v>1.1919197645598023</v>
      </c>
      <c r="AA15" s="7">
        <f>(K15-'2026-2027 means'!H$2)/'2026-2027 means'!U$2</f>
        <v>1.3823828743063618</v>
      </c>
      <c r="AB15" s="7">
        <f>(L15-'2026-2027 means'!I$2)/'2026-2027 means'!V$2</f>
        <v>-0.66000896414415944</v>
      </c>
      <c r="AC15" s="7">
        <f>(M15-'2026-2027 means'!J$2)/'2026-2027 means'!W$2</f>
        <v>1.4719008370961624</v>
      </c>
      <c r="AD15" s="7">
        <f>(N15-'2026-2027 means'!K$2)/'2026-2027 means'!X$2</f>
        <v>0.24532183233688692</v>
      </c>
      <c r="AE15" s="7">
        <f>(O15-'2026-2027 means'!L$2)/'2026-2027 means'!Y$2</f>
        <v>-0.56566001122390897</v>
      </c>
      <c r="AF15" s="7">
        <f>IF(((P15 - '2026-2027 means'!M$2) / '2026-2027 means'!Z$2 * -1) &lt; -2, -2, (P15 - '2026-2027 means'!M$2) / '2026-2027 means'!Z$2 * -1)</f>
        <v>-0.34692844765482989</v>
      </c>
      <c r="AG15">
        <f t="shared" si="6"/>
        <v>4</v>
      </c>
      <c r="AH15">
        <f t="shared" si="7"/>
        <v>2</v>
      </c>
      <c r="AI15" s="8">
        <f t="shared" si="8"/>
        <v>2</v>
      </c>
      <c r="AJ15" s="8" t="e" vm="1">
        <f t="shared" ca="1" si="9"/>
        <v>#NAME?</v>
      </c>
      <c r="AK15" s="8" t="str">
        <f t="shared" si="10"/>
        <v>FG%, TREB, BLK, TO</v>
      </c>
      <c r="AL15" t="str">
        <f t="shared" si="11"/>
        <v/>
      </c>
      <c r="AM15" t="str">
        <f t="shared" si="12"/>
        <v>, FT%, 3PM, PTS, AST</v>
      </c>
      <c r="AN15" t="str">
        <f t="shared" si="13"/>
        <v>, STL</v>
      </c>
      <c r="AO15" t="str">
        <f t="shared" si="14"/>
        <v>FG%, TREB, BLK, TO</v>
      </c>
      <c r="AP15">
        <f>VLOOKUP(B15,'2025-2026 actuals'!B:Q,16,FALSE)</f>
        <v>10</v>
      </c>
      <c r="AQ15" s="7">
        <f t="shared" si="15"/>
        <v>3.9300729797197063</v>
      </c>
      <c r="AR15">
        <f t="shared" si="16"/>
        <v>15</v>
      </c>
    </row>
    <row r="16" spans="1:44" ht="18">
      <c r="A16" s="3">
        <f t="shared" si="3"/>
        <v>21</v>
      </c>
      <c r="B16" s="41" t="s">
        <v>102</v>
      </c>
      <c r="C16" s="1">
        <f t="shared" si="4"/>
        <v>21</v>
      </c>
      <c r="D16" s="1">
        <f t="shared" si="17"/>
        <v>19</v>
      </c>
      <c r="E16" s="1">
        <f>VLOOKUP(B16,'2026-2027 adp'!A:C,3,FALSE)</f>
        <v>12.1</v>
      </c>
      <c r="F16" s="1">
        <f t="shared" si="0"/>
        <v>-8.9</v>
      </c>
      <c r="G16" s="1"/>
      <c r="H16" s="22" t="s">
        <v>455</v>
      </c>
      <c r="I16" s="22" t="s">
        <v>456</v>
      </c>
      <c r="J16" s="42">
        <v>1.5</v>
      </c>
      <c r="K16" s="42">
        <v>21.4</v>
      </c>
      <c r="L16" s="42">
        <v>10.199999999999999</v>
      </c>
      <c r="M16" s="42">
        <v>6.9</v>
      </c>
      <c r="N16" s="42">
        <v>1.4</v>
      </c>
      <c r="O16" s="42">
        <v>0.6</v>
      </c>
      <c r="P16" s="42">
        <v>3.3</v>
      </c>
      <c r="Q16" s="43">
        <v>6.28</v>
      </c>
      <c r="R16" s="42">
        <v>8.1</v>
      </c>
      <c r="S16" s="42">
        <v>16.8</v>
      </c>
      <c r="T16">
        <f t="shared" si="1"/>
        <v>0.4821428571428571</v>
      </c>
      <c r="U16" s="42">
        <v>3.7</v>
      </c>
      <c r="V16" s="42">
        <v>4.7</v>
      </c>
      <c r="W16">
        <f t="shared" si="2"/>
        <v>0.78723404255319152</v>
      </c>
      <c r="X16" s="7">
        <f>IF(((T16 - '2026-2027 means'!E$2) / '2026-2027 means'!R$2) * (S16 / '2026-2027 means'!B$2) / 2 &lt; -2, -2, ((T16 - '2026-2027 means'!E$2) / '2026-2027 means'!R$2) * (S16 / '2026-2027 means'!B$2) / 2)</f>
        <v>-1.6383217058048037E-2</v>
      </c>
      <c r="Y16" s="11">
        <f>IF(((W16 - '2026-2027 means'!F$2) / '2026-2027 means'!S$2) * (V16 / '2026-2027 means'!D$2) &lt; -2, -2, ((W16 - '2026-2027 means'!F$2) / '2026-2027 means'!S$2) * (V16 / '2026-2027 means'!D$2))</f>
        <v>-0.12547447088388725</v>
      </c>
      <c r="Z16" s="7">
        <f>(J16-'2026-2027 means'!G$2)/'2026-2027 means'!T$2</f>
        <v>-0.17588275840671705</v>
      </c>
      <c r="AA16" s="7">
        <f>(K16-'2026-2027 means'!H$2)/'2026-2027 means'!U$2</f>
        <v>1.0416606698482642</v>
      </c>
      <c r="AB16" s="7">
        <f>(L16-'2026-2027 means'!I$2)/'2026-2027 means'!V$2</f>
        <v>1.8783755745545658</v>
      </c>
      <c r="AC16" s="7">
        <f>(M16-'2026-2027 means'!J$2)/'2026-2027 means'!W$2</f>
        <v>1.6784293315159382</v>
      </c>
      <c r="AD16" s="7">
        <f>(N16-'2026-2027 means'!K$2)/'2026-2027 means'!X$2</f>
        <v>1.1258519805460794</v>
      </c>
      <c r="AE16" s="7">
        <f>(O16-'2026-2027 means'!L$2)/'2026-2027 means'!Y$2</f>
        <v>-0.15959693173817482</v>
      </c>
      <c r="AF16" s="7">
        <f>IF(((P16 - '2026-2027 means'!M$2) / '2026-2027 means'!Z$2 * -1) &lt; -2, -2, (P16 - '2026-2027 means'!M$2) / '2026-2027 means'!Z$2 * -1)</f>
        <v>-1.984485034236926</v>
      </c>
      <c r="AG16">
        <f t="shared" si="6"/>
        <v>4</v>
      </c>
      <c r="AH16">
        <f t="shared" si="7"/>
        <v>0</v>
      </c>
      <c r="AI16" s="8" t="e">
        <f t="shared" si="8"/>
        <v>#DIV/0!</v>
      </c>
      <c r="AJ16" s="8" t="e" vm="1">
        <f t="shared" ca="1" si="9"/>
        <v>#NAME?</v>
      </c>
      <c r="AK16" s="8" t="str">
        <f t="shared" si="10"/>
        <v>FG%, FT%, 3PM, BLK, TO</v>
      </c>
      <c r="AL16" t="str">
        <f t="shared" si="11"/>
        <v/>
      </c>
      <c r="AM16" t="str">
        <f t="shared" si="12"/>
        <v>, PTS, TREB, AST, STL</v>
      </c>
      <c r="AN16" t="str">
        <f t="shared" si="13"/>
        <v/>
      </c>
      <c r="AO16" t="str">
        <f t="shared" si="14"/>
        <v>FG%, FT%, 3PM, BLK, TO</v>
      </c>
      <c r="AP16">
        <f>VLOOKUP(B16,'2025-2026 actuals'!B:Q,16,FALSE)</f>
        <v>19</v>
      </c>
      <c r="AQ16" s="7">
        <f t="shared" si="15"/>
        <v>3.2624951441410945</v>
      </c>
      <c r="AR16">
        <f t="shared" si="16"/>
        <v>21</v>
      </c>
    </row>
    <row r="17" spans="1:44" ht="18">
      <c r="A17" s="3">
        <f t="shared" si="3"/>
        <v>9</v>
      </c>
      <c r="B17" s="41" t="s">
        <v>37</v>
      </c>
      <c r="C17" s="1">
        <f t="shared" si="4"/>
        <v>9</v>
      </c>
      <c r="D17" s="1">
        <f t="shared" si="17"/>
        <v>6</v>
      </c>
      <c r="E17" s="1">
        <f>VLOOKUP(B17,'2026-2027 adp'!A:C,3,FALSE)</f>
        <v>34.200000000000003</v>
      </c>
      <c r="F17" s="1">
        <f t="shared" si="0"/>
        <v>25.200000000000003</v>
      </c>
      <c r="G17" s="1"/>
      <c r="H17" s="22" t="s">
        <v>457</v>
      </c>
      <c r="I17" s="22" t="s">
        <v>458</v>
      </c>
      <c r="J17" s="42">
        <v>2.2000000000000002</v>
      </c>
      <c r="K17" s="42">
        <v>23.7</v>
      </c>
      <c r="L17" s="42">
        <v>5</v>
      </c>
      <c r="M17" s="42">
        <v>3</v>
      </c>
      <c r="N17" s="42">
        <v>1.7</v>
      </c>
      <c r="O17" s="42">
        <v>0.4</v>
      </c>
      <c r="P17" s="42">
        <v>1.9</v>
      </c>
      <c r="Q17" s="43">
        <v>6.27</v>
      </c>
      <c r="R17" s="42">
        <v>8.6</v>
      </c>
      <c r="S17" s="42">
        <v>17.5</v>
      </c>
      <c r="T17">
        <f t="shared" si="1"/>
        <v>0.49142857142857138</v>
      </c>
      <c r="U17" s="42">
        <v>4.4000000000000004</v>
      </c>
      <c r="V17" s="42">
        <v>5</v>
      </c>
      <c r="W17">
        <f t="shared" si="2"/>
        <v>0.88000000000000012</v>
      </c>
      <c r="X17" s="7">
        <f>IF(((T17 - '2026-2027 means'!E$2) / '2026-2027 means'!R$2) * (S17 / '2026-2027 means'!B$2) / 2 &lt; -2, -2, ((T17 - '2026-2027 means'!E$2) / '2026-2027 means'!R$2) * (S17 / '2026-2027 means'!B$2) / 2)</f>
        <v>0.28210689606456663</v>
      </c>
      <c r="Y17" s="11">
        <f>IF(((W17 - '2026-2027 means'!F$2) / '2026-2027 means'!S$2) * (V17 / '2026-2027 means'!D$2) &lt; -2, -2, ((W17 - '2026-2027 means'!F$2) / '2026-2027 means'!S$2) * (V17 / '2026-2027 means'!D$2))</f>
        <v>1.4790143537424285</v>
      </c>
      <c r="Z17" s="7">
        <f>(J17-'2026-2027 means'!G$2)/'2026-2027 means'!T$2</f>
        <v>0.56062629242140904</v>
      </c>
      <c r="AA17" s="7">
        <f>(K17-'2026-2027 means'!H$2)/'2026-2027 means'!U$2</f>
        <v>1.4770279311002779</v>
      </c>
      <c r="AB17" s="7">
        <f>(L17-'2026-2027 means'!I$2)/'2026-2027 means'!V$2</f>
        <v>-0.28549321253287191</v>
      </c>
      <c r="AC17" s="7">
        <f>(M17-'2026-2027 means'!J$2)/'2026-2027 means'!W$2</f>
        <v>-0.33522348907687438</v>
      </c>
      <c r="AD17" s="7">
        <f>(N17-'2026-2027 means'!K$2)/'2026-2027 means'!X$2</f>
        <v>2.0063821287552726</v>
      </c>
      <c r="AE17" s="7">
        <f>(O17-'2026-2027 means'!L$2)/'2026-2027 means'!Y$2</f>
        <v>-0.56566001122390897</v>
      </c>
      <c r="AF17" s="7">
        <f>IF(((P17 - '2026-2027 means'!M$2) / '2026-2027 means'!Z$2 * -1) &lt; -2, -2, (P17 - '2026-2027 means'!M$2) / '2026-2027 means'!Z$2 * -1)</f>
        <v>-7.4002349891146874E-2</v>
      </c>
      <c r="AG17">
        <f t="shared" si="6"/>
        <v>3</v>
      </c>
      <c r="AH17">
        <f t="shared" si="7"/>
        <v>3</v>
      </c>
      <c r="AI17" s="8">
        <f t="shared" si="8"/>
        <v>1</v>
      </c>
      <c r="AJ17" s="8" t="e" vm="1">
        <f t="shared" ca="1" si="9"/>
        <v>#NAME?</v>
      </c>
      <c r="AK17" s="8" t="str">
        <f t="shared" si="10"/>
        <v>, TREB, AST, BLK, TO</v>
      </c>
      <c r="AL17" t="str">
        <f t="shared" si="11"/>
        <v>, STL</v>
      </c>
      <c r="AM17" t="str">
        <f t="shared" si="12"/>
        <v>, FT%, PTS</v>
      </c>
      <c r="AN17" t="str">
        <f t="shared" si="13"/>
        <v>FG%, 3PM</v>
      </c>
      <c r="AO17" t="str">
        <f t="shared" si="14"/>
        <v>, TREB, AST, BLK, TO</v>
      </c>
      <c r="AP17">
        <f>VLOOKUP(B17,'2025-2026 actuals'!B:Q,16,FALSE)</f>
        <v>6</v>
      </c>
      <c r="AQ17" s="7">
        <f t="shared" si="15"/>
        <v>4.544778539359152</v>
      </c>
      <c r="AR17">
        <f t="shared" si="16"/>
        <v>9</v>
      </c>
    </row>
    <row r="18" spans="1:44" ht="18">
      <c r="A18" s="3">
        <f t="shared" si="3"/>
        <v>17</v>
      </c>
      <c r="B18" s="41" t="s">
        <v>520</v>
      </c>
      <c r="C18" s="1">
        <f t="shared" si="4"/>
        <v>17</v>
      </c>
      <c r="D18" s="1">
        <f t="shared" si="17"/>
        <v>41</v>
      </c>
      <c r="E18" s="1">
        <f>VLOOKUP(B18,'2026-2027 adp'!A:C,3,FALSE)</f>
        <v>10.199999999999999</v>
      </c>
      <c r="F18" s="1">
        <f t="shared" si="0"/>
        <v>-6.8000000000000007</v>
      </c>
      <c r="G18" s="1"/>
      <c r="H18" s="22" t="s">
        <v>459</v>
      </c>
      <c r="I18" s="22" t="s">
        <v>460</v>
      </c>
      <c r="J18" s="42">
        <v>1.3</v>
      </c>
      <c r="K18" s="42">
        <v>23.3</v>
      </c>
      <c r="L18" s="42">
        <v>7.3</v>
      </c>
      <c r="M18" s="42">
        <v>4.9000000000000004</v>
      </c>
      <c r="N18" s="42">
        <v>1.3</v>
      </c>
      <c r="O18" s="42">
        <v>1</v>
      </c>
      <c r="P18" s="42">
        <v>2.2000000000000002</v>
      </c>
      <c r="Q18" s="43">
        <v>6.27</v>
      </c>
      <c r="R18" s="42">
        <v>8.8000000000000007</v>
      </c>
      <c r="S18" s="42">
        <v>18.5</v>
      </c>
      <c r="T18">
        <f t="shared" si="1"/>
        <v>0.4756756756756757</v>
      </c>
      <c r="U18" s="42">
        <v>4.4000000000000004</v>
      </c>
      <c r="V18" s="42">
        <v>5.3</v>
      </c>
      <c r="W18">
        <f t="shared" si="2"/>
        <v>0.83018867924528317</v>
      </c>
      <c r="X18" s="7">
        <f>IF(((T18 - '2026-2027 means'!E$2) / '2026-2027 means'!R$2) * (S18 / '2026-2027 means'!B$2) / 2 &lt; -2, -2, ((T18 - '2026-2027 means'!E$2) / '2026-2027 means'!R$2) * (S18 / '2026-2027 means'!B$2) / 2)</f>
        <v>-0.23831108721092201</v>
      </c>
      <c r="Y18" s="11">
        <f>IF(((W18 - '2026-2027 means'!F$2) / '2026-2027 means'!S$2) * (V18 / '2026-2027 means'!D$2) &lt; -2, -2, ((W18 - '2026-2027 means'!F$2) / '2026-2027 means'!S$2) * (V18 / '2026-2027 means'!D$2))</f>
        <v>0.64996287015489496</v>
      </c>
      <c r="Z18" s="7">
        <f>(J18-'2026-2027 means'!G$2)/'2026-2027 means'!T$2</f>
        <v>-0.38631391578618157</v>
      </c>
      <c r="AA18" s="7">
        <f>(K18-'2026-2027 means'!H$2)/'2026-2027 means'!U$2</f>
        <v>1.4013118856651452</v>
      </c>
      <c r="AB18" s="7">
        <f>(L18-'2026-2027 means'!I$2)/'2026-2027 means'!V$2</f>
        <v>0.67160259714041781</v>
      </c>
      <c r="AC18" s="7">
        <f>(M18-'2026-2027 means'!J$2)/'2026-2027 means'!W$2</f>
        <v>0.64578685941706004</v>
      </c>
      <c r="AD18" s="7">
        <f>(N18-'2026-2027 means'!K$2)/'2026-2027 means'!X$2</f>
        <v>0.83234193114301547</v>
      </c>
      <c r="AE18" s="7">
        <f>(O18-'2026-2027 means'!L$2)/'2026-2027 means'!Y$2</f>
        <v>0.65252922723329376</v>
      </c>
      <c r="AF18" s="7">
        <f>IF(((P18 - '2026-2027 means'!M$2) / '2026-2027 means'!Z$2 * -1) &lt; -2, -2, (P18 - '2026-2027 means'!M$2) / '2026-2027 means'!Z$2 * -1)</f>
        <v>-0.48339149653667135</v>
      </c>
      <c r="AG18">
        <f t="shared" si="6"/>
        <v>1</v>
      </c>
      <c r="AH18">
        <f t="shared" si="7"/>
        <v>1</v>
      </c>
      <c r="AI18" s="8">
        <f t="shared" si="8"/>
        <v>1</v>
      </c>
      <c r="AJ18" s="8" t="e" vm="1">
        <f t="shared" ca="1" si="9"/>
        <v>#NAME?</v>
      </c>
      <c r="AK18" s="8" t="str">
        <f t="shared" si="10"/>
        <v>FG%, 3PM, TO</v>
      </c>
      <c r="AL18" t="str">
        <f t="shared" si="11"/>
        <v/>
      </c>
      <c r="AM18" t="str">
        <f t="shared" si="12"/>
        <v>, PTS</v>
      </c>
      <c r="AN18" t="str">
        <f t="shared" si="13"/>
        <v>, FT%, TREB, AST, STL, BLK</v>
      </c>
      <c r="AO18" t="str">
        <f t="shared" si="14"/>
        <v>FG%, 3PM, TO</v>
      </c>
      <c r="AP18">
        <f>VLOOKUP(B18,'2025-2026 actuals'!B:Q,16,FALSE)</f>
        <v>41</v>
      </c>
      <c r="AQ18" s="7">
        <f t="shared" si="15"/>
        <v>3.7455188712200522</v>
      </c>
      <c r="AR18">
        <f t="shared" si="16"/>
        <v>17</v>
      </c>
    </row>
    <row r="19" spans="1:44" ht="18">
      <c r="A19" s="3">
        <f t="shared" si="3"/>
        <v>8</v>
      </c>
      <c r="B19" s="41" t="s">
        <v>41</v>
      </c>
      <c r="C19" s="1">
        <f t="shared" si="4"/>
        <v>8</v>
      </c>
      <c r="D19" s="1" t="e">
        <f t="shared" si="17"/>
        <v>#N/A</v>
      </c>
      <c r="E19" s="1">
        <f>VLOOKUP(B19,'2026-2027 adp'!A:C,3,FALSE)</f>
        <v>13.5</v>
      </c>
      <c r="F19" s="1">
        <f t="shared" si="0"/>
        <v>5.5</v>
      </c>
      <c r="G19" s="1"/>
      <c r="H19" s="22" t="s">
        <v>461</v>
      </c>
      <c r="I19" s="22" t="s">
        <v>462</v>
      </c>
      <c r="J19" s="42">
        <v>2.8</v>
      </c>
      <c r="K19" s="42">
        <v>17.3</v>
      </c>
      <c r="L19" s="42">
        <v>3.3</v>
      </c>
      <c r="M19" s="42">
        <v>9.6</v>
      </c>
      <c r="N19" s="42">
        <v>1.3</v>
      </c>
      <c r="O19" s="42">
        <v>0.6</v>
      </c>
      <c r="P19" s="42">
        <v>1.7</v>
      </c>
      <c r="Q19" s="43">
        <v>6.21</v>
      </c>
      <c r="R19" s="42">
        <v>6.1</v>
      </c>
      <c r="S19" s="42">
        <v>13</v>
      </c>
      <c r="T19">
        <f t="shared" si="1"/>
        <v>0.46923076923076923</v>
      </c>
      <c r="U19" s="42">
        <v>2.4</v>
      </c>
      <c r="V19" s="42">
        <v>2.8</v>
      </c>
      <c r="W19">
        <f t="shared" si="2"/>
        <v>0.85714285714285721</v>
      </c>
      <c r="X19" s="7">
        <f>IF(((T19 - '2026-2027 means'!E$2) / '2026-2027 means'!R$2) * (S19 / '2026-2027 means'!B$2) / 2 &lt; -2, -2, ((T19 - '2026-2027 means'!E$2) / '2026-2027 means'!R$2) * (S19 / '2026-2027 means'!B$2) / 2)</f>
        <v>-0.32171307437553759</v>
      </c>
      <c r="Y19" s="11">
        <f>IF(((W19 - '2026-2027 means'!F$2) / '2026-2027 means'!S$2) * (V19 / '2026-2027 means'!D$2) &lt; -2, -2, ((W19 - '2026-2027 means'!F$2) / '2026-2027 means'!S$2) * (V19 / '2026-2027 means'!D$2))</f>
        <v>0.60575292420192195</v>
      </c>
      <c r="Z19" s="7">
        <f>(J19-'2026-2027 means'!G$2)/'2026-2027 means'!T$2</f>
        <v>1.1919197645598023</v>
      </c>
      <c r="AA19" s="7">
        <f>(K19-'2026-2027 means'!H$2)/'2026-2027 means'!U$2</f>
        <v>0.2655712041381536</v>
      </c>
      <c r="AB19" s="7">
        <f>(L19-'2026-2027 means'!I$2)/'2026-2027 means'!V$2</f>
        <v>-0.99291185446530361</v>
      </c>
      <c r="AC19" s="7">
        <f>(M19-'2026-2027 means'!J$2)/'2026-2027 means'!W$2</f>
        <v>3.0724966688494235</v>
      </c>
      <c r="AD19" s="7">
        <f>(N19-'2026-2027 means'!K$2)/'2026-2027 means'!X$2</f>
        <v>0.83234193114301547</v>
      </c>
      <c r="AE19" s="7">
        <f>(O19-'2026-2027 means'!L$2)/'2026-2027 means'!Y$2</f>
        <v>-0.15959693173817482</v>
      </c>
      <c r="AF19" s="7">
        <f>IF(((P19 - '2026-2027 means'!M$2) / '2026-2027 means'!Z$2 * -1) &lt; -2, -2, (P19 - '2026-2027 means'!M$2) / '2026-2027 means'!Z$2 * -1)</f>
        <v>0.19892374787253581</v>
      </c>
      <c r="AG19">
        <f t="shared" si="6"/>
        <v>2</v>
      </c>
      <c r="AH19">
        <f t="shared" si="7"/>
        <v>2</v>
      </c>
      <c r="AI19" s="8">
        <f t="shared" si="8"/>
        <v>1</v>
      </c>
      <c r="AJ19" s="8" t="e" vm="1">
        <f t="shared" ca="1" si="9"/>
        <v>#NAME?</v>
      </c>
      <c r="AK19" s="8" t="str">
        <f t="shared" si="10"/>
        <v>FG%, TREB, BLK</v>
      </c>
      <c r="AL19" t="str">
        <f t="shared" si="11"/>
        <v>, AST</v>
      </c>
      <c r="AM19" t="str">
        <f t="shared" si="12"/>
        <v>, 3PM</v>
      </c>
      <c r="AN19" t="str">
        <f t="shared" si="13"/>
        <v>, FT%, PTS, STL, TO</v>
      </c>
      <c r="AO19" t="str">
        <f t="shared" si="14"/>
        <v>FG%, TREB, BLK</v>
      </c>
      <c r="AP19" t="e">
        <f>VLOOKUP(B19,'2025-2026 actuals'!B:Q,16,FALSE)</f>
        <v>#N/A</v>
      </c>
      <c r="AQ19" s="7">
        <f t="shared" si="15"/>
        <v>4.6927843801858362</v>
      </c>
      <c r="AR19">
        <f t="shared" si="16"/>
        <v>8</v>
      </c>
    </row>
    <row r="20" spans="1:44" ht="18">
      <c r="A20" s="3">
        <f t="shared" si="3"/>
        <v>24</v>
      </c>
      <c r="B20" s="41" t="s">
        <v>123</v>
      </c>
      <c r="C20" s="1">
        <f t="shared" si="4"/>
        <v>24</v>
      </c>
      <c r="D20" s="1">
        <f t="shared" si="17"/>
        <v>21</v>
      </c>
      <c r="E20" s="1">
        <f>VLOOKUP(B20,'2026-2027 adp'!A:C,3,FALSE)</f>
        <v>23.6</v>
      </c>
      <c r="F20" s="1">
        <f t="shared" si="0"/>
        <v>-0.39999999999999858</v>
      </c>
      <c r="G20" s="1"/>
      <c r="H20" s="22" t="s">
        <v>463</v>
      </c>
      <c r="I20" s="22" t="s">
        <v>464</v>
      </c>
      <c r="J20" s="42">
        <v>2.6</v>
      </c>
      <c r="K20" s="42">
        <v>24.5</v>
      </c>
      <c r="L20" s="42">
        <v>4.5999999999999996</v>
      </c>
      <c r="M20" s="42">
        <v>5.7</v>
      </c>
      <c r="N20" s="42">
        <v>1.1000000000000001</v>
      </c>
      <c r="O20" s="42">
        <v>0.3</v>
      </c>
      <c r="P20" s="42">
        <v>3</v>
      </c>
      <c r="Q20" s="43">
        <v>6.12</v>
      </c>
      <c r="R20" s="42">
        <v>7.9</v>
      </c>
      <c r="S20" s="42">
        <v>16.7</v>
      </c>
      <c r="T20">
        <f t="shared" si="1"/>
        <v>0.47305389221556893</v>
      </c>
      <c r="U20" s="42">
        <v>6.2</v>
      </c>
      <c r="V20" s="42">
        <v>7.1</v>
      </c>
      <c r="W20">
        <f t="shared" si="2"/>
        <v>0.87323943661971837</v>
      </c>
      <c r="X20" s="7">
        <f>IF(((T20 - '2026-2027 means'!E$2) / '2026-2027 means'!R$2) * (S20 / '2026-2027 means'!B$2) / 2 &lt; -2, -2, ((T20 - '2026-2027 means'!E$2) / '2026-2027 means'!R$2) * (S20 / '2026-2027 means'!B$2) / 2)</f>
        <v>-0.29573276943822469</v>
      </c>
      <c r="Y20" s="11">
        <f>IF(((W20 - '2026-2027 means'!F$2) / '2026-2027 means'!S$2) * (V20 / '2026-2027 means'!D$2) &lt; -2, -2, ((W20 - '2026-2027 means'!F$2) / '2026-2027 means'!S$2) * (V20 / '2026-2027 means'!D$2))</f>
        <v>1.9333290468938691</v>
      </c>
      <c r="Z20" s="7">
        <f>(J20-'2026-2027 means'!G$2)/'2026-2027 means'!T$2</f>
        <v>0.98148860718033804</v>
      </c>
      <c r="AA20" s="7">
        <f>(K20-'2026-2027 means'!H$2)/'2026-2027 means'!U$2</f>
        <v>1.6284600219705434</v>
      </c>
      <c r="AB20" s="7">
        <f>(L20-'2026-2027 means'!I$2)/'2026-2027 means'!V$2</f>
        <v>-0.45194465769344422</v>
      </c>
      <c r="AC20" s="7">
        <f>(M20-'2026-2027 means'!J$2)/'2026-2027 means'!W$2</f>
        <v>1.0588438482566112</v>
      </c>
      <c r="AD20" s="7">
        <f>(N20-'2026-2027 means'!K$2)/'2026-2027 means'!X$2</f>
        <v>0.24532183233688692</v>
      </c>
      <c r="AE20" s="7">
        <f>(O20-'2026-2027 means'!L$2)/'2026-2027 means'!Y$2</f>
        <v>-0.76869155096677622</v>
      </c>
      <c r="AF20" s="7">
        <f>IF(((P20 - '2026-2027 means'!M$2) / '2026-2027 means'!Z$2 * -1) &lt; -2, -2, (P20 - '2026-2027 means'!M$2) / '2026-2027 means'!Z$2 * -1)</f>
        <v>-1.5750958875914021</v>
      </c>
      <c r="AG20">
        <f t="shared" si="6"/>
        <v>3</v>
      </c>
      <c r="AH20">
        <f t="shared" si="7"/>
        <v>3</v>
      </c>
      <c r="AI20" s="8">
        <f t="shared" si="8"/>
        <v>1</v>
      </c>
      <c r="AJ20" s="8" t="e" vm="1">
        <f t="shared" ca="1" si="9"/>
        <v>#NAME?</v>
      </c>
      <c r="AK20" s="8" t="str">
        <f t="shared" si="10"/>
        <v>FG%, TREB, BLK, TO</v>
      </c>
      <c r="AL20" t="str">
        <f t="shared" si="11"/>
        <v/>
      </c>
      <c r="AM20" t="str">
        <f t="shared" si="12"/>
        <v>, FT%, PTS, AST</v>
      </c>
      <c r="AN20" t="str">
        <f t="shared" si="13"/>
        <v>, 3PM, STL</v>
      </c>
      <c r="AO20" t="str">
        <f t="shared" si="14"/>
        <v>FG%, TREB, BLK, TO</v>
      </c>
      <c r="AP20">
        <f>VLOOKUP(B20,'2025-2026 actuals'!B:Q,16,FALSE)</f>
        <v>21</v>
      </c>
      <c r="AQ20" s="7">
        <f t="shared" si="15"/>
        <v>2.7559784909484026</v>
      </c>
      <c r="AR20">
        <f t="shared" si="16"/>
        <v>24</v>
      </c>
    </row>
    <row r="21" spans="1:44" ht="18">
      <c r="A21" s="3">
        <f t="shared" si="3"/>
        <v>22</v>
      </c>
      <c r="B21" s="41" t="s">
        <v>60</v>
      </c>
      <c r="C21" s="1">
        <f t="shared" si="4"/>
        <v>22</v>
      </c>
      <c r="D21" s="1">
        <f t="shared" si="17"/>
        <v>81</v>
      </c>
      <c r="E21" s="1">
        <f>VLOOKUP(B21,'2026-2027 adp'!A:C,3,FALSE)</f>
        <v>24.4</v>
      </c>
      <c r="F21" s="1">
        <f t="shared" si="0"/>
        <v>2.3999999999999986</v>
      </c>
      <c r="G21" s="1"/>
      <c r="H21" s="22" t="s">
        <v>465</v>
      </c>
      <c r="I21" s="22" t="s">
        <v>466</v>
      </c>
      <c r="J21" s="42">
        <v>2.7</v>
      </c>
      <c r="K21" s="42">
        <v>22.8</v>
      </c>
      <c r="L21" s="42">
        <v>2.9</v>
      </c>
      <c r="M21" s="42">
        <v>10.8</v>
      </c>
      <c r="N21" s="42">
        <v>1.1000000000000001</v>
      </c>
      <c r="O21" s="42">
        <v>0.2</v>
      </c>
      <c r="P21" s="42">
        <v>4.3</v>
      </c>
      <c r="Q21" s="43">
        <v>6.02</v>
      </c>
      <c r="R21" s="42">
        <v>7</v>
      </c>
      <c r="S21" s="42">
        <v>16</v>
      </c>
      <c r="T21">
        <f t="shared" si="1"/>
        <v>0.4375</v>
      </c>
      <c r="U21" s="42">
        <v>6.2</v>
      </c>
      <c r="V21" s="42">
        <v>7.1</v>
      </c>
      <c r="W21">
        <f t="shared" si="2"/>
        <v>0.87323943661971837</v>
      </c>
      <c r="X21" s="7">
        <f>IF(((T21 - '2026-2027 means'!E$2) / '2026-2027 means'!R$2) * (S21 / '2026-2027 means'!B$2) / 2 &lt; -2, -2, ((T21 - '2026-2027 means'!E$2) / '2026-2027 means'!R$2) * (S21 / '2026-2027 means'!B$2) / 2)</f>
        <v>-1.3306481063557953</v>
      </c>
      <c r="Y21" s="11">
        <f>IF(((W21 - '2026-2027 means'!F$2) / '2026-2027 means'!S$2) * (V21 / '2026-2027 means'!D$2) &lt; -2, -2, ((W21 - '2026-2027 means'!F$2) / '2026-2027 means'!S$2) * (V21 / '2026-2027 means'!D$2))</f>
        <v>1.9333290468938691</v>
      </c>
      <c r="Z21" s="7">
        <f>(J21-'2026-2027 means'!G$2)/'2026-2027 means'!T$2</f>
        <v>1.0867041858700703</v>
      </c>
      <c r="AA21" s="7">
        <f>(K21-'2026-2027 means'!H$2)/'2026-2027 means'!U$2</f>
        <v>1.3066668288712293</v>
      </c>
      <c r="AB21" s="7">
        <f>(L21-'2026-2027 means'!I$2)/'2026-2027 means'!V$2</f>
        <v>-1.1593632996258758</v>
      </c>
      <c r="AC21" s="7">
        <f>(M21-'2026-2027 means'!J$2)/'2026-2027 means'!W$2</f>
        <v>3.692082152108751</v>
      </c>
      <c r="AD21" s="7">
        <f>(N21-'2026-2027 means'!K$2)/'2026-2027 means'!X$2</f>
        <v>0.24532183233688692</v>
      </c>
      <c r="AE21" s="7">
        <f>(O21-'2026-2027 means'!L$2)/'2026-2027 means'!Y$2</f>
        <v>-0.97172309070964324</v>
      </c>
      <c r="AF21" s="7">
        <f>IF(((P21 - '2026-2027 means'!M$2) / '2026-2027 means'!Z$2 * -1) &lt; -2, -2, (P21 - '2026-2027 means'!M$2) / '2026-2027 means'!Z$2 * -1)</f>
        <v>-2</v>
      </c>
      <c r="AG21">
        <f t="shared" si="6"/>
        <v>4</v>
      </c>
      <c r="AH21">
        <f t="shared" si="7"/>
        <v>3</v>
      </c>
      <c r="AI21" s="8">
        <f t="shared" si="8"/>
        <v>1.3333333333333333</v>
      </c>
      <c r="AJ21" s="8" t="e" vm="1">
        <f t="shared" ca="1" si="9"/>
        <v>#NAME?</v>
      </c>
      <c r="AK21" s="8" t="str">
        <f t="shared" si="10"/>
        <v>FG%, TREB, BLK, TO</v>
      </c>
      <c r="AL21" t="str">
        <f t="shared" si="11"/>
        <v>, AST</v>
      </c>
      <c r="AM21" t="str">
        <f t="shared" si="12"/>
        <v>, FT%, 3PM, PTS</v>
      </c>
      <c r="AN21" t="str">
        <f t="shared" si="13"/>
        <v>, STL</v>
      </c>
      <c r="AO21" t="str">
        <f t="shared" si="14"/>
        <v>FG%, TREB, BLK, TO</v>
      </c>
      <c r="AP21">
        <f>VLOOKUP(B21,'2025-2026 actuals'!B:Q,16,FALSE)</f>
        <v>81</v>
      </c>
      <c r="AQ21" s="7">
        <f t="shared" si="15"/>
        <v>2.8023695493894927</v>
      </c>
      <c r="AR21">
        <f t="shared" si="16"/>
        <v>22</v>
      </c>
    </row>
    <row r="22" spans="1:44" ht="18">
      <c r="A22" s="3">
        <f t="shared" si="3"/>
        <v>16</v>
      </c>
      <c r="B22" s="41" t="s">
        <v>152</v>
      </c>
      <c r="C22" s="1">
        <f t="shared" si="4"/>
        <v>16</v>
      </c>
      <c r="D22" s="1">
        <f t="shared" si="17"/>
        <v>22</v>
      </c>
      <c r="E22" s="1">
        <f>VLOOKUP(B22,'2026-2027 adp'!A:C,3,FALSE)</f>
        <v>36.700000000000003</v>
      </c>
      <c r="F22" s="23">
        <f t="shared" si="0"/>
        <v>20.700000000000003</v>
      </c>
      <c r="G22" s="1"/>
      <c r="H22" s="22" t="s">
        <v>467</v>
      </c>
      <c r="I22" s="22" t="s">
        <v>468</v>
      </c>
      <c r="J22" s="42">
        <v>3.2</v>
      </c>
      <c r="K22" s="42">
        <v>21.6</v>
      </c>
      <c r="L22" s="42">
        <v>5.5</v>
      </c>
      <c r="M22" s="42">
        <v>3.7</v>
      </c>
      <c r="N22" s="42">
        <v>1.3</v>
      </c>
      <c r="O22" s="42">
        <v>0.5</v>
      </c>
      <c r="P22" s="42">
        <v>1.9</v>
      </c>
      <c r="Q22" s="43">
        <v>5.86</v>
      </c>
      <c r="R22" s="42">
        <v>7.4</v>
      </c>
      <c r="S22" s="42">
        <v>16</v>
      </c>
      <c r="T22">
        <f t="shared" si="1"/>
        <v>0.46250000000000002</v>
      </c>
      <c r="U22" s="42">
        <v>3.6</v>
      </c>
      <c r="V22" s="42">
        <v>4</v>
      </c>
      <c r="W22">
        <f t="shared" si="2"/>
        <v>0.9</v>
      </c>
      <c r="X22" s="7">
        <f>IF(((T22 - '2026-2027 means'!E$2) / '2026-2027 means'!R$2) * (S22 / '2026-2027 means'!B$2) / 2 &lt; -2, -2, ((T22 - '2026-2027 means'!E$2) / '2026-2027 means'!R$2) * (S22 / '2026-2027 means'!B$2) / 2)</f>
        <v>-0.59422288256084077</v>
      </c>
      <c r="Y22" s="11">
        <f>IF(((W22 - '2026-2027 means'!F$2) / '2026-2027 means'!S$2) * (V22 / '2026-2027 means'!D$2) &lt; -2, -2, ((W22 - '2026-2027 means'!F$2) / '2026-2027 means'!S$2) * (V22 / '2026-2027 means'!D$2))</f>
        <v>1.4613303753612388</v>
      </c>
      <c r="Z22" s="7">
        <f>(J22-'2026-2027 means'!G$2)/'2026-2027 means'!T$2</f>
        <v>1.6127820793187317</v>
      </c>
      <c r="AA22" s="7">
        <f>(K22-'2026-2027 means'!H$2)/'2026-2027 means'!U$2</f>
        <v>1.0795186925658311</v>
      </c>
      <c r="AB22" s="7">
        <f>(L22-'2026-2027 means'!I$2)/'2026-2027 means'!V$2</f>
        <v>-7.7428906082156745E-2</v>
      </c>
      <c r="AC22" s="7">
        <f>(M22-'2026-2027 means'!J$2)/'2026-2027 means'!W$2</f>
        <v>2.6201376157733058E-2</v>
      </c>
      <c r="AD22" s="7">
        <f>(N22-'2026-2027 means'!K$2)/'2026-2027 means'!X$2</f>
        <v>0.83234193114301547</v>
      </c>
      <c r="AE22" s="7">
        <f>(O22-'2026-2027 means'!L$2)/'2026-2027 means'!Y$2</f>
        <v>-0.36262847148104194</v>
      </c>
      <c r="AF22" s="7">
        <f>IF(((P22 - '2026-2027 means'!M$2) / '2026-2027 means'!Z$2 * -1) &lt; -2, -2, (P22 - '2026-2027 means'!M$2) / '2026-2027 means'!Z$2 * -1)</f>
        <v>-7.4002349891146874E-2</v>
      </c>
      <c r="AG22">
        <f t="shared" si="6"/>
        <v>3</v>
      </c>
      <c r="AH22">
        <f t="shared" si="7"/>
        <v>2</v>
      </c>
      <c r="AI22" s="8">
        <f t="shared" si="8"/>
        <v>1.5</v>
      </c>
      <c r="AJ22" s="8" t="e" vm="1">
        <f t="shared" ca="1" si="9"/>
        <v>#NAME?</v>
      </c>
      <c r="AK22" s="8" t="str">
        <f t="shared" si="10"/>
        <v>FG%, TREB, BLK, TO</v>
      </c>
      <c r="AL22" t="str">
        <f t="shared" si="11"/>
        <v/>
      </c>
      <c r="AM22" t="str">
        <f t="shared" si="12"/>
        <v>, FT%, 3PM, PTS</v>
      </c>
      <c r="AN22" t="str">
        <f t="shared" si="13"/>
        <v>, AST, STL</v>
      </c>
      <c r="AO22" t="str">
        <f t="shared" si="14"/>
        <v>FG%, TREB, BLK, TO</v>
      </c>
      <c r="AP22">
        <f>VLOOKUP(B22,'2025-2026 actuals'!B:Q,16,FALSE)</f>
        <v>22</v>
      </c>
      <c r="AQ22" s="7">
        <f t="shared" si="15"/>
        <v>3.9038918445313642</v>
      </c>
      <c r="AR22">
        <f t="shared" si="16"/>
        <v>16</v>
      </c>
    </row>
    <row r="23" spans="1:44" ht="18">
      <c r="A23" s="3">
        <f t="shared" si="3"/>
        <v>20</v>
      </c>
      <c r="B23" s="41" t="s">
        <v>58</v>
      </c>
      <c r="C23" s="1">
        <f t="shared" si="4"/>
        <v>20</v>
      </c>
      <c r="D23" s="1">
        <f t="shared" si="17"/>
        <v>16</v>
      </c>
      <c r="E23" s="1">
        <f>VLOOKUP(B23,'2026-2027 adp'!A:C,3,FALSE)</f>
        <v>15.1</v>
      </c>
      <c r="F23" s="1">
        <f t="shared" si="0"/>
        <v>-4.9000000000000004</v>
      </c>
      <c r="G23" s="1"/>
      <c r="H23" s="22" t="s">
        <v>469</v>
      </c>
      <c r="I23" s="22" t="s">
        <v>470</v>
      </c>
      <c r="J23" s="42">
        <v>1</v>
      </c>
      <c r="K23" s="42">
        <v>19.399999999999999</v>
      </c>
      <c r="L23" s="42">
        <v>7.9</v>
      </c>
      <c r="M23" s="42">
        <v>6.1</v>
      </c>
      <c r="N23" s="42">
        <v>1.5</v>
      </c>
      <c r="O23" s="42">
        <v>1.3</v>
      </c>
      <c r="P23" s="42">
        <v>2.8</v>
      </c>
      <c r="Q23" s="43">
        <v>5.85</v>
      </c>
      <c r="R23" s="42">
        <v>7.5</v>
      </c>
      <c r="S23" s="42">
        <v>15.7</v>
      </c>
      <c r="T23">
        <f t="shared" si="1"/>
        <v>0.47770700636942676</v>
      </c>
      <c r="U23" s="42">
        <v>3.4</v>
      </c>
      <c r="V23" s="42">
        <v>4.3</v>
      </c>
      <c r="W23">
        <f t="shared" si="2"/>
        <v>0.79069767441860461</v>
      </c>
      <c r="X23" s="7">
        <f>IF(((T23 - '2026-2027 means'!E$2) / '2026-2027 means'!R$2) * (S23 / '2026-2027 means'!B$2) / 2 &lt; -2, -2, ((T23 - '2026-2027 means'!E$2) / '2026-2027 means'!R$2) * (S23 / '2026-2027 means'!B$2) / 2)</f>
        <v>-0.14352739806021242</v>
      </c>
      <c r="Y23" s="11">
        <f>IF(((W23 - '2026-2027 means'!F$2) / '2026-2027 means'!S$2) * (V23 / '2026-2027 means'!D$2) &lt; -2, -2, ((W23 - '2026-2027 means'!F$2) / '2026-2027 means'!S$2) * (V23 / '2026-2027 means'!D$2))</f>
        <v>-6.3018339144539318E-2</v>
      </c>
      <c r="Z23" s="7">
        <f>(J23-'2026-2027 means'!G$2)/'2026-2027 means'!T$2</f>
        <v>-0.70196065185537848</v>
      </c>
      <c r="AA23" s="7">
        <f>(K23-'2026-2027 means'!H$2)/'2026-2027 means'!U$2</f>
        <v>0.66308044267260025</v>
      </c>
      <c r="AB23" s="7">
        <f>(L23-'2026-2027 means'!I$2)/'2026-2027 means'!V$2</f>
        <v>0.92127976488127628</v>
      </c>
      <c r="AC23" s="7">
        <f>(M23-'2026-2027 means'!J$2)/'2026-2027 means'!W$2</f>
        <v>1.2653723426763865</v>
      </c>
      <c r="AD23" s="7">
        <f>(N23-'2026-2027 means'!K$2)/'2026-2027 means'!X$2</f>
        <v>1.4193620299491441</v>
      </c>
      <c r="AE23" s="7">
        <f>(O23-'2026-2027 means'!L$2)/'2026-2027 means'!Y$2</f>
        <v>1.2616238464618952</v>
      </c>
      <c r="AF23" s="7">
        <f>IF(((P23 - '2026-2027 means'!M$2) / '2026-2027 means'!Z$2 * -1) &lt; -2, -2, (P23 - '2026-2027 means'!M$2) / '2026-2027 means'!Z$2 * -1)</f>
        <v>-1.3021697898277191</v>
      </c>
      <c r="AG23">
        <f t="shared" si="6"/>
        <v>3</v>
      </c>
      <c r="AH23">
        <f t="shared" si="7"/>
        <v>1</v>
      </c>
      <c r="AI23" s="8">
        <f t="shared" si="8"/>
        <v>3</v>
      </c>
      <c r="AJ23" s="8" t="e" vm="1">
        <f t="shared" ca="1" si="9"/>
        <v>#NAME?</v>
      </c>
      <c r="AK23" s="8" t="str">
        <f t="shared" si="10"/>
        <v>FG%, FT%, 3PM, TO</v>
      </c>
      <c r="AL23" t="str">
        <f t="shared" si="11"/>
        <v/>
      </c>
      <c r="AM23" t="str">
        <f t="shared" si="12"/>
        <v>, AST, STL, BLK</v>
      </c>
      <c r="AN23" t="str">
        <f t="shared" si="13"/>
        <v>, PTS, TREB</v>
      </c>
      <c r="AO23" t="str">
        <f t="shared" si="14"/>
        <v>FG%, FT%, 3PM, TO</v>
      </c>
      <c r="AP23">
        <f>VLOOKUP(B23,'2025-2026 actuals'!B:Q,16,FALSE)</f>
        <v>16</v>
      </c>
      <c r="AQ23" s="7">
        <f t="shared" si="15"/>
        <v>3.3200422477534532</v>
      </c>
      <c r="AR23">
        <f t="shared" si="16"/>
        <v>20</v>
      </c>
    </row>
    <row r="24" spans="1:44" ht="18">
      <c r="A24" s="3">
        <f t="shared" si="3"/>
        <v>19</v>
      </c>
      <c r="B24" s="41" t="s">
        <v>66</v>
      </c>
      <c r="C24" s="1">
        <f t="shared" si="4"/>
        <v>19</v>
      </c>
      <c r="D24" s="1">
        <f t="shared" si="17"/>
        <v>25</v>
      </c>
      <c r="E24" s="1">
        <f>VLOOKUP(B24,'2026-2027 adp'!A:C,3,FALSE)</f>
        <v>30.4</v>
      </c>
      <c r="F24" s="1">
        <f t="shared" si="0"/>
        <v>11.399999999999999</v>
      </c>
      <c r="G24" s="1"/>
      <c r="H24" s="22" t="s">
        <v>471</v>
      </c>
      <c r="I24" s="22" t="s">
        <v>472</v>
      </c>
      <c r="J24" s="42">
        <v>1.4</v>
      </c>
      <c r="K24" s="42">
        <v>17.3</v>
      </c>
      <c r="L24" s="42">
        <v>9.1</v>
      </c>
      <c r="M24" s="42">
        <v>1.9</v>
      </c>
      <c r="N24" s="42">
        <v>0.7</v>
      </c>
      <c r="O24" s="42">
        <v>2.1</v>
      </c>
      <c r="P24" s="42">
        <v>1.7</v>
      </c>
      <c r="Q24" s="43">
        <v>5.73</v>
      </c>
      <c r="R24" s="42">
        <v>6.3</v>
      </c>
      <c r="S24" s="42">
        <v>11.7</v>
      </c>
      <c r="T24">
        <f t="shared" si="1"/>
        <v>0.53846153846153844</v>
      </c>
      <c r="U24" s="42">
        <v>3.4</v>
      </c>
      <c r="V24" s="42">
        <v>4.4000000000000004</v>
      </c>
      <c r="W24">
        <f t="shared" si="2"/>
        <v>0.7727272727272726</v>
      </c>
      <c r="X24" s="7">
        <f>IF(((T24 - '2026-2027 means'!E$2) / '2026-2027 means'!R$2) * (S24 / '2026-2027 means'!B$2) / 2 &lt; -2, -2, ((T24 - '2026-2027 means'!E$2) / '2026-2027 means'!R$2) * (S24 / '2026-2027 means'!B$2) / 2)</f>
        <v>1.2017193112467972</v>
      </c>
      <c r="Y24" s="11">
        <f>IF(((W24 - '2026-2027 means'!F$2) / '2026-2027 means'!S$2) * (V24 / '2026-2027 means'!D$2) &lt; -2, -2, ((W24 - '2026-2027 means'!F$2) / '2026-2027 means'!S$2) * (V24 / '2026-2027 means'!D$2))</f>
        <v>-0.33936883367371901</v>
      </c>
      <c r="Z24" s="7">
        <f>(J24-'2026-2027 means'!G$2)/'2026-2027 means'!T$2</f>
        <v>-0.28109833709644944</v>
      </c>
      <c r="AA24" s="7">
        <f>(K24-'2026-2027 means'!H$2)/'2026-2027 means'!U$2</f>
        <v>0.2655712041381536</v>
      </c>
      <c r="AB24" s="7">
        <f>(L24-'2026-2027 means'!I$2)/'2026-2027 means'!V$2</f>
        <v>1.4206341003629925</v>
      </c>
      <c r="AC24" s="7">
        <f>(M24-'2026-2027 means'!J$2)/'2026-2027 means'!W$2</f>
        <v>-0.90317684873125736</v>
      </c>
      <c r="AD24" s="7">
        <f>(N24-'2026-2027 means'!K$2)/'2026-2027 means'!X$2</f>
        <v>-0.92871836527537077</v>
      </c>
      <c r="AE24" s="7">
        <f>(O24-'2026-2027 means'!L$2)/'2026-2027 means'!Y$2</f>
        <v>2.8858761644048321</v>
      </c>
      <c r="AF24" s="7">
        <f>IF(((P24 - '2026-2027 means'!M$2) / '2026-2027 means'!Z$2 * -1) &lt; -2, -2, (P24 - '2026-2027 means'!M$2) / '2026-2027 means'!Z$2 * -1)</f>
        <v>0.19892374787253581</v>
      </c>
      <c r="AG24">
        <f t="shared" si="6"/>
        <v>3</v>
      </c>
      <c r="AH24">
        <f t="shared" si="7"/>
        <v>4</v>
      </c>
      <c r="AI24" s="8">
        <f t="shared" si="8"/>
        <v>0.75</v>
      </c>
      <c r="AJ24" s="8" t="e" vm="1">
        <f t="shared" ca="1" si="9"/>
        <v>#NAME?</v>
      </c>
      <c r="AK24" s="8" t="str">
        <f t="shared" si="10"/>
        <v>, FT%, 3PM, AST, STL</v>
      </c>
      <c r="AL24" t="str">
        <f t="shared" si="11"/>
        <v>, BLK</v>
      </c>
      <c r="AM24" t="str">
        <f t="shared" si="12"/>
        <v>FG%, TREB</v>
      </c>
      <c r="AN24" t="str">
        <f t="shared" si="13"/>
        <v>, PTS, TO</v>
      </c>
      <c r="AO24" t="str">
        <f t="shared" si="14"/>
        <v>, FT%, 3PM, AST, STL</v>
      </c>
      <c r="AP24">
        <f>VLOOKUP(B24,'2025-2026 actuals'!B:Q,16,FALSE)</f>
        <v>25</v>
      </c>
      <c r="AQ24" s="7">
        <f t="shared" si="15"/>
        <v>3.5203621432485144</v>
      </c>
      <c r="AR24">
        <f t="shared" si="16"/>
        <v>19</v>
      </c>
    </row>
    <row r="25" spans="1:44" ht="18">
      <c r="A25" s="3">
        <f t="shared" si="3"/>
        <v>43</v>
      </c>
      <c r="B25" s="41" t="s">
        <v>64</v>
      </c>
      <c r="C25" s="1">
        <f t="shared" si="4"/>
        <v>43</v>
      </c>
      <c r="D25" s="1">
        <f t="shared" si="17"/>
        <v>12</v>
      </c>
      <c r="E25" s="1">
        <f>VLOOKUP(B25,'2026-2027 adp'!A:C,3,FALSE)</f>
        <v>35.200000000000003</v>
      </c>
      <c r="F25" s="1">
        <f t="shared" si="0"/>
        <v>-7.7999999999999972</v>
      </c>
      <c r="G25" s="1"/>
      <c r="H25" s="22" t="s">
        <v>473</v>
      </c>
      <c r="I25" s="22" t="s">
        <v>474</v>
      </c>
      <c r="J25" s="42">
        <v>2.6</v>
      </c>
      <c r="K25" s="42">
        <v>20</v>
      </c>
      <c r="L25" s="42">
        <v>4.5999999999999996</v>
      </c>
      <c r="M25" s="42">
        <v>8.1999999999999993</v>
      </c>
      <c r="N25" s="42">
        <v>1.1000000000000001</v>
      </c>
      <c r="O25" s="42">
        <v>0.5</v>
      </c>
      <c r="P25" s="42">
        <v>3.4</v>
      </c>
      <c r="Q25" s="43">
        <v>5.67</v>
      </c>
      <c r="R25" s="42">
        <v>5.9</v>
      </c>
      <c r="S25" s="42">
        <v>14</v>
      </c>
      <c r="T25">
        <f t="shared" si="1"/>
        <v>0.42142857142857143</v>
      </c>
      <c r="U25" s="42">
        <v>5.6</v>
      </c>
      <c r="V25" s="42">
        <v>6.4</v>
      </c>
      <c r="W25">
        <f t="shared" si="2"/>
        <v>0.87499999999999989</v>
      </c>
      <c r="X25" s="7">
        <f>IF(((T25 - '2026-2027 means'!E$2) / '2026-2027 means'!R$2) * (S25 / '2026-2027 means'!B$2) / 2 &lt; -2, -2, ((T25 - '2026-2027 means'!E$2) / '2026-2027 means'!R$2) * (S25 / '2026-2027 means'!B$2) / 2)</f>
        <v>-1.5785562814459824</v>
      </c>
      <c r="Y25" s="11">
        <f>IF(((W25 - '2026-2027 means'!F$2) / '2026-2027 means'!S$2) * (V25 / '2026-2027 means'!D$2) &lt; -2, -2, ((W25 - '2026-2027 means'!F$2) / '2026-2027 means'!S$2) * (V25 / '2026-2027 means'!D$2))</f>
        <v>1.781890815843385</v>
      </c>
      <c r="Z25" s="7">
        <f>(J25-'2026-2027 means'!G$2)/'2026-2027 means'!T$2</f>
        <v>0.98148860718033804</v>
      </c>
      <c r="AA25" s="7">
        <f>(K25-'2026-2027 means'!H$2)/'2026-2027 means'!U$2</f>
        <v>0.77665451082529968</v>
      </c>
      <c r="AB25" s="7">
        <f>(L25-'2026-2027 means'!I$2)/'2026-2027 means'!V$2</f>
        <v>-0.45194465769344422</v>
      </c>
      <c r="AC25" s="7">
        <f>(M25-'2026-2027 means'!J$2)/'2026-2027 means'!W$2</f>
        <v>2.3496469383802085</v>
      </c>
      <c r="AD25" s="7">
        <f>(N25-'2026-2027 means'!K$2)/'2026-2027 means'!X$2</f>
        <v>0.24532183233688692</v>
      </c>
      <c r="AE25" s="7">
        <f>(O25-'2026-2027 means'!L$2)/'2026-2027 means'!Y$2</f>
        <v>-0.36262847148104194</v>
      </c>
      <c r="AF25" s="7">
        <f>IF(((P25 - '2026-2027 means'!M$2) / '2026-2027 means'!Z$2 * -1) &lt; -2, -2, (P25 - '2026-2027 means'!M$2) / '2026-2027 means'!Z$2 * -1)</f>
        <v>-2</v>
      </c>
      <c r="AG25">
        <f t="shared" si="6"/>
        <v>2</v>
      </c>
      <c r="AH25">
        <f t="shared" si="7"/>
        <v>3</v>
      </c>
      <c r="AI25" s="8">
        <f t="shared" si="8"/>
        <v>0.66666666666666663</v>
      </c>
      <c r="AJ25" s="8" t="e" vm="1">
        <f t="shared" ca="1" si="9"/>
        <v>#NAME?</v>
      </c>
      <c r="AK25" s="8" t="str">
        <f t="shared" si="10"/>
        <v>FG%, TREB, BLK, TO</v>
      </c>
      <c r="AL25" t="str">
        <f t="shared" si="11"/>
        <v>, AST</v>
      </c>
      <c r="AM25" t="str">
        <f t="shared" si="12"/>
        <v>, FT%</v>
      </c>
      <c r="AN25" t="str">
        <f t="shared" si="13"/>
        <v>, 3PM, PTS, STL</v>
      </c>
      <c r="AO25" t="str">
        <f t="shared" si="14"/>
        <v>FG%, TREB, BLK, TO</v>
      </c>
      <c r="AP25">
        <f>VLOOKUP(B25,'2025-2026 actuals'!B:Q,16,FALSE)</f>
        <v>12</v>
      </c>
      <c r="AQ25" s="7">
        <f t="shared" si="15"/>
        <v>1.74187329394565</v>
      </c>
      <c r="AR25">
        <f t="shared" si="16"/>
        <v>43</v>
      </c>
    </row>
    <row r="26" spans="1:44" ht="18">
      <c r="A26" s="3">
        <f t="shared" si="3"/>
        <v>25</v>
      </c>
      <c r="B26" s="41" t="s">
        <v>87</v>
      </c>
      <c r="C26" s="1">
        <f t="shared" si="4"/>
        <v>25</v>
      </c>
      <c r="D26" s="1">
        <f t="shared" si="17"/>
        <v>42</v>
      </c>
      <c r="E26" s="1">
        <f>VLOOKUP(B26,'2026-2027 adp'!A:C,3,FALSE)</f>
        <v>29.4</v>
      </c>
      <c r="F26" s="1">
        <f t="shared" si="0"/>
        <v>4.3999999999999986</v>
      </c>
      <c r="G26" s="1"/>
      <c r="H26" s="22" t="s">
        <v>475</v>
      </c>
      <c r="I26" s="22" t="s">
        <v>476</v>
      </c>
      <c r="J26" s="42">
        <v>1.1000000000000001</v>
      </c>
      <c r="K26" s="42">
        <v>19.3</v>
      </c>
      <c r="L26" s="42">
        <v>9.6</v>
      </c>
      <c r="M26" s="42">
        <v>3.6</v>
      </c>
      <c r="N26" s="42">
        <v>0.8</v>
      </c>
      <c r="O26" s="42">
        <v>1.8</v>
      </c>
      <c r="P26" s="42">
        <v>2.1</v>
      </c>
      <c r="Q26" s="43">
        <v>5.13</v>
      </c>
      <c r="R26" s="42">
        <v>7.5</v>
      </c>
      <c r="S26" s="42">
        <v>13.7</v>
      </c>
      <c r="T26">
        <f t="shared" si="1"/>
        <v>0.54744525547445255</v>
      </c>
      <c r="U26" s="42">
        <v>3.1</v>
      </c>
      <c r="V26" s="42">
        <v>4.7</v>
      </c>
      <c r="W26">
        <f t="shared" si="2"/>
        <v>0.65957446808510634</v>
      </c>
      <c r="X26" s="7">
        <f>IF(((T26 - '2026-2027 means'!E$2) / '2026-2027 means'!R$2) * (S26 / '2026-2027 means'!B$2) / 2 &lt; -2, -2, ((T26 - '2026-2027 means'!E$2) / '2026-2027 means'!R$2) * (S26 / '2026-2027 means'!B$2) / 2)</f>
        <v>1.6337337922857234</v>
      </c>
      <c r="Y26" s="11">
        <f>IF(((W26 - '2026-2027 means'!F$2) / '2026-2027 means'!S$2) * (V26 / '2026-2027 means'!D$2) &lt; -2, -2, ((W26 - '2026-2027 means'!F$2) / '2026-2027 means'!S$2) * (V26 / '2026-2027 means'!D$2))</f>
        <v>-2</v>
      </c>
      <c r="Z26" s="7">
        <f>(J26-'2026-2027 means'!G$2)/'2026-2027 means'!T$2</f>
        <v>-0.59674507316564607</v>
      </c>
      <c r="AA26" s="7">
        <f>(K26-'2026-2027 means'!H$2)/'2026-2027 means'!U$2</f>
        <v>0.64415143131381747</v>
      </c>
      <c r="AB26" s="7">
        <f>(L26-'2026-2027 means'!I$2)/'2026-2027 means'!V$2</f>
        <v>1.6286984068137076</v>
      </c>
      <c r="AC26" s="7">
        <f>(M26-'2026-2027 means'!J$2)/'2026-2027 means'!W$2</f>
        <v>-2.5430747447210897E-2</v>
      </c>
      <c r="AD26" s="7">
        <f>(N26-'2026-2027 means'!K$2)/'2026-2027 means'!X$2</f>
        <v>-0.6352083158723062</v>
      </c>
      <c r="AE26" s="7">
        <f>(O26-'2026-2027 means'!L$2)/'2026-2027 means'!Y$2</f>
        <v>2.276781545176231</v>
      </c>
      <c r="AF26" s="7">
        <f>IF(((P26 - '2026-2027 means'!M$2) / '2026-2027 means'!Z$2 * -1) &lt; -2, -2, (P26 - '2026-2027 means'!M$2) / '2026-2027 means'!Z$2 * -1)</f>
        <v>-0.34692844765482989</v>
      </c>
      <c r="AG26">
        <f t="shared" si="6"/>
        <v>3</v>
      </c>
      <c r="AH26">
        <f t="shared" si="7"/>
        <v>3</v>
      </c>
      <c r="AI26" s="8">
        <f t="shared" si="8"/>
        <v>1</v>
      </c>
      <c r="AJ26" s="8" t="e" vm="1">
        <f t="shared" ca="1" si="9"/>
        <v>#NAME?</v>
      </c>
      <c r="AK26" s="8" t="str">
        <f t="shared" si="10"/>
        <v>, FT%, 3PM, AST, STL, TO</v>
      </c>
      <c r="AL26" t="str">
        <f t="shared" si="11"/>
        <v>, BLK</v>
      </c>
      <c r="AM26" t="str">
        <f t="shared" si="12"/>
        <v>FG%, TREB</v>
      </c>
      <c r="AN26" t="str">
        <f t="shared" si="13"/>
        <v>, PTS</v>
      </c>
      <c r="AO26" t="str">
        <f t="shared" si="14"/>
        <v>, FT%, 3PM, AST, STL, TO</v>
      </c>
      <c r="AP26">
        <f>VLOOKUP(B26,'2025-2026 actuals'!B:Q,16,FALSE)</f>
        <v>42</v>
      </c>
      <c r="AQ26" s="7">
        <f t="shared" si="15"/>
        <v>2.5790525914494866</v>
      </c>
      <c r="AR26">
        <f t="shared" si="16"/>
        <v>25</v>
      </c>
    </row>
    <row r="27" spans="1:44" ht="18">
      <c r="A27" s="3">
        <f t="shared" si="3"/>
        <v>23</v>
      </c>
      <c r="B27" s="41" t="s">
        <v>24</v>
      </c>
      <c r="C27" s="1">
        <f t="shared" si="4"/>
        <v>23</v>
      </c>
      <c r="D27" s="1">
        <f t="shared" si="17"/>
        <v>27</v>
      </c>
      <c r="E27" s="1">
        <f>VLOOKUP(B27,'2026-2027 adp'!A:C,3,FALSE)</f>
        <v>42.6</v>
      </c>
      <c r="F27" s="1">
        <f t="shared" si="0"/>
        <v>19.600000000000001</v>
      </c>
      <c r="G27" s="1"/>
      <c r="H27" s="22" t="s">
        <v>477</v>
      </c>
      <c r="I27" s="22" t="s">
        <v>478</v>
      </c>
      <c r="J27" s="42">
        <v>0.6</v>
      </c>
      <c r="K27" s="42">
        <v>19.8</v>
      </c>
      <c r="L27" s="42">
        <v>9.8000000000000007</v>
      </c>
      <c r="M27" s="42">
        <v>2.9</v>
      </c>
      <c r="N27" s="42">
        <v>1</v>
      </c>
      <c r="O27" s="42">
        <v>1.7</v>
      </c>
      <c r="P27" s="42">
        <v>1.9</v>
      </c>
      <c r="Q27" s="43">
        <v>4.8600000000000003</v>
      </c>
      <c r="R27" s="42">
        <v>7.5</v>
      </c>
      <c r="S27" s="42">
        <v>15</v>
      </c>
      <c r="T27">
        <f t="shared" si="1"/>
        <v>0.5</v>
      </c>
      <c r="U27" s="42">
        <v>4.2</v>
      </c>
      <c r="V27" s="42">
        <v>5.5</v>
      </c>
      <c r="W27">
        <f t="shared" si="2"/>
        <v>0.76363636363636367</v>
      </c>
      <c r="X27" s="7">
        <f>IF(((T27 - '2026-2027 means'!E$2) / '2026-2027 means'!R$2) * (S27 / '2026-2027 means'!B$2) / 2 &lt; -2, -2, ((T27 - '2026-2027 means'!E$2) / '2026-2027 means'!R$2) * (S27 / '2026-2027 means'!B$2) / 2)</f>
        <v>0.47851401856086501</v>
      </c>
      <c r="Y27" s="11">
        <f>IF(((W27 - '2026-2027 means'!F$2) / '2026-2027 means'!S$2) * (V27 / '2026-2027 means'!D$2) &lt; -2, -2, ((W27 - '2026-2027 means'!F$2) / '2026-2027 means'!S$2) * (V27 / '2026-2027 means'!D$2))</f>
        <v>-0.59803534982170614</v>
      </c>
      <c r="Z27" s="7">
        <f>(J27-'2026-2027 means'!G$2)/'2026-2027 means'!T$2</f>
        <v>-1.1228229666143075</v>
      </c>
      <c r="AA27" s="7">
        <f>(K27-'2026-2027 means'!H$2)/'2026-2027 means'!U$2</f>
        <v>0.73879648810773346</v>
      </c>
      <c r="AB27" s="7">
        <f>(L27-'2026-2027 means'!I$2)/'2026-2027 means'!V$2</f>
        <v>1.7119241293939942</v>
      </c>
      <c r="AC27" s="7">
        <f>(M27-'2026-2027 means'!J$2)/'2026-2027 means'!W$2</f>
        <v>-0.38685561268181834</v>
      </c>
      <c r="AD27" s="7">
        <f>(N27-'2026-2027 means'!K$2)/'2026-2027 means'!X$2</f>
        <v>-4.818821706617768E-2</v>
      </c>
      <c r="AE27" s="7">
        <f>(O27-'2026-2027 means'!L$2)/'2026-2027 means'!Y$2</f>
        <v>2.073750005433364</v>
      </c>
      <c r="AF27" s="7">
        <f>IF(((P27 - '2026-2027 means'!M$2) / '2026-2027 means'!Z$2 * -1) &lt; -2, -2, (P27 - '2026-2027 means'!M$2) / '2026-2027 means'!Z$2 * -1)</f>
        <v>-7.4002349891146874E-2</v>
      </c>
      <c r="AG27">
        <f t="shared" si="6"/>
        <v>2</v>
      </c>
      <c r="AH27">
        <f t="shared" si="7"/>
        <v>3</v>
      </c>
      <c r="AI27" s="8">
        <f t="shared" si="8"/>
        <v>0.66666666666666663</v>
      </c>
      <c r="AJ27" s="8" t="e" vm="1">
        <f t="shared" ca="1" si="9"/>
        <v>#NAME?</v>
      </c>
      <c r="AK27" s="8" t="str">
        <f t="shared" si="10"/>
        <v>, FT%, 3PM, AST, STL, TO</v>
      </c>
      <c r="AL27" t="str">
        <f t="shared" si="11"/>
        <v>, BLK</v>
      </c>
      <c r="AM27" t="str">
        <f t="shared" si="12"/>
        <v>, TREB</v>
      </c>
      <c r="AN27" t="str">
        <f t="shared" si="13"/>
        <v>FG%, PTS</v>
      </c>
      <c r="AO27" t="str">
        <f t="shared" si="14"/>
        <v>, FT%, 3PM, AST, STL, TO</v>
      </c>
      <c r="AP27">
        <f>VLOOKUP(B27,'2025-2026 actuals'!B:Q,16,FALSE)</f>
        <v>27</v>
      </c>
      <c r="AQ27" s="7">
        <f t="shared" si="15"/>
        <v>2.7730801454208001</v>
      </c>
      <c r="AR27">
        <f t="shared" si="16"/>
        <v>23</v>
      </c>
    </row>
    <row r="28" spans="1:44" ht="18">
      <c r="A28" s="3">
        <f t="shared" si="3"/>
        <v>28</v>
      </c>
      <c r="B28" s="41" t="s">
        <v>40</v>
      </c>
      <c r="C28" s="1">
        <f t="shared" si="4"/>
        <v>28</v>
      </c>
      <c r="D28" s="1" t="e">
        <f t="shared" si="17"/>
        <v>#N/A</v>
      </c>
      <c r="E28" s="1">
        <f>VLOOKUP(B28,'2026-2027 adp'!A:C,3,FALSE)</f>
        <v>49.8</v>
      </c>
      <c r="F28" s="1">
        <f t="shared" si="0"/>
        <v>21.799999999999997</v>
      </c>
      <c r="G28" s="1"/>
      <c r="H28" s="22" t="s">
        <v>479</v>
      </c>
      <c r="I28" s="22" t="s">
        <v>480</v>
      </c>
      <c r="J28" s="42">
        <v>2.4</v>
      </c>
      <c r="K28" s="42">
        <v>20.7</v>
      </c>
      <c r="L28" s="42">
        <v>4</v>
      </c>
      <c r="M28" s="42">
        <v>4.9000000000000004</v>
      </c>
      <c r="N28" s="42">
        <v>1.1000000000000001</v>
      </c>
      <c r="O28" s="42">
        <v>0.4</v>
      </c>
      <c r="P28" s="42">
        <v>1.9</v>
      </c>
      <c r="Q28" s="43">
        <v>4.79</v>
      </c>
      <c r="R28" s="42">
        <v>7.5</v>
      </c>
      <c r="S28" s="42">
        <v>15.5</v>
      </c>
      <c r="T28">
        <f t="shared" si="1"/>
        <v>0.4838709677419355</v>
      </c>
      <c r="U28" s="42">
        <v>3.3</v>
      </c>
      <c r="V28" s="42">
        <v>3.7</v>
      </c>
      <c r="W28">
        <f t="shared" si="2"/>
        <v>0.89189189189189177</v>
      </c>
      <c r="X28" s="7">
        <f>IF(((T28 - '2026-2027 means'!E$2) / '2026-2027 means'!R$2) * (S28 / '2026-2027 means'!B$2) / 2 &lt; -2, -2, ((T28 - '2026-2027 means'!E$2) / '2026-2027 means'!R$2) * (S28 / '2026-2027 means'!B$2) / 2)</f>
        <v>3.4198720974381445E-2</v>
      </c>
      <c r="Y28" s="11">
        <f>IF(((W28 - '2026-2027 means'!F$2) / '2026-2027 means'!S$2) * (V28 / '2026-2027 means'!D$2) &lt; -2, -2, ((W28 - '2026-2027 means'!F$2) / '2026-2027 means'!S$2) * (V28 / '2026-2027 means'!D$2))</f>
        <v>1.2474360125714077</v>
      </c>
      <c r="Z28" s="7">
        <f>(J28-'2026-2027 means'!G$2)/'2026-2027 means'!T$2</f>
        <v>0.77105744980087332</v>
      </c>
      <c r="AA28" s="7">
        <f>(K28-'2026-2027 means'!H$2)/'2026-2027 means'!U$2</f>
        <v>0.9091575903367819</v>
      </c>
      <c r="AB28" s="7">
        <f>(L28-'2026-2027 means'!I$2)/'2026-2027 means'!V$2</f>
        <v>-0.70162182543430229</v>
      </c>
      <c r="AC28" s="7">
        <f>(M28-'2026-2027 means'!J$2)/'2026-2027 means'!W$2</f>
        <v>0.64578685941706004</v>
      </c>
      <c r="AD28" s="7">
        <f>(N28-'2026-2027 means'!K$2)/'2026-2027 means'!X$2</f>
        <v>0.24532183233688692</v>
      </c>
      <c r="AE28" s="7">
        <f>(O28-'2026-2027 means'!L$2)/'2026-2027 means'!Y$2</f>
        <v>-0.56566001122390897</v>
      </c>
      <c r="AF28" s="7">
        <f>IF(((P28 - '2026-2027 means'!M$2) / '2026-2027 means'!Z$2 * -1) &lt; -2, -2, (P28 - '2026-2027 means'!M$2) / '2026-2027 means'!Z$2 * -1)</f>
        <v>-7.4002349891146874E-2</v>
      </c>
      <c r="AG28">
        <f t="shared" si="6"/>
        <v>1</v>
      </c>
      <c r="AH28">
        <f t="shared" si="7"/>
        <v>2</v>
      </c>
      <c r="AI28" s="8">
        <f t="shared" si="8"/>
        <v>0.5</v>
      </c>
      <c r="AJ28" s="8" t="e" vm="1">
        <f t="shared" ca="1" si="9"/>
        <v>#NAME?</v>
      </c>
      <c r="AK28" s="8" t="str">
        <f t="shared" si="10"/>
        <v>, TREB, BLK, TO</v>
      </c>
      <c r="AL28" t="str">
        <f t="shared" si="11"/>
        <v/>
      </c>
      <c r="AM28" t="str">
        <f t="shared" si="12"/>
        <v>, FT%</v>
      </c>
      <c r="AN28" t="str">
        <f t="shared" si="13"/>
        <v>FG%, 3PM, PTS, AST, STL</v>
      </c>
      <c r="AO28" t="str">
        <f t="shared" si="14"/>
        <v>, TREB, BLK, TO</v>
      </c>
      <c r="AP28" t="e">
        <f>VLOOKUP(B28,'2025-2026 actuals'!B:Q,16,FALSE)</f>
        <v>#N/A</v>
      </c>
      <c r="AQ28" s="7">
        <f t="shared" si="15"/>
        <v>2.5116742788880333</v>
      </c>
      <c r="AR28">
        <f t="shared" si="16"/>
        <v>28</v>
      </c>
    </row>
    <row r="29" spans="1:44" ht="18">
      <c r="A29" s="3">
        <f t="shared" si="3"/>
        <v>33</v>
      </c>
      <c r="B29" s="41" t="s">
        <v>89</v>
      </c>
      <c r="C29" s="1">
        <f t="shared" si="4"/>
        <v>33</v>
      </c>
      <c r="D29" s="1">
        <f t="shared" si="17"/>
        <v>49</v>
      </c>
      <c r="E29" s="1">
        <f>VLOOKUP(B29,'2026-2027 adp'!A:C,3,FALSE)</f>
        <v>47.8</v>
      </c>
      <c r="F29" s="23">
        <f t="shared" si="0"/>
        <v>14.799999999999997</v>
      </c>
      <c r="G29" s="1"/>
      <c r="H29" s="22" t="s">
        <v>481</v>
      </c>
      <c r="I29" s="22" t="s">
        <v>482</v>
      </c>
      <c r="J29" s="42">
        <v>2</v>
      </c>
      <c r="K29" s="42">
        <v>21.8</v>
      </c>
      <c r="L29" s="42">
        <v>5.8</v>
      </c>
      <c r="M29" s="42">
        <v>2.1</v>
      </c>
      <c r="N29" s="42">
        <v>1.2</v>
      </c>
      <c r="O29" s="42">
        <v>1.5</v>
      </c>
      <c r="P29" s="42">
        <v>2.2000000000000002</v>
      </c>
      <c r="Q29" s="43">
        <v>4.71</v>
      </c>
      <c r="R29" s="42">
        <v>7.9</v>
      </c>
      <c r="S29" s="42">
        <v>16.399999999999999</v>
      </c>
      <c r="T29">
        <f t="shared" si="1"/>
        <v>0.48170731707317077</v>
      </c>
      <c r="U29" s="42">
        <v>4</v>
      </c>
      <c r="V29" s="42">
        <v>5.0999999999999996</v>
      </c>
      <c r="W29">
        <f t="shared" si="2"/>
        <v>0.78431372549019618</v>
      </c>
      <c r="X29" s="7">
        <f>IF(((T29 - '2026-2027 means'!E$2) / '2026-2027 means'!R$2) * (S29 / '2026-2027 means'!B$2) / 2 &lt; -2, -2, ((T29 - '2026-2027 means'!E$2) / '2026-2027 means'!R$2) * (S29 / '2026-2027 means'!B$2) / 2)</f>
        <v>-2.914359088633511E-2</v>
      </c>
      <c r="Y29" s="11">
        <f>IF(((W29 - '2026-2027 means'!F$2) / '2026-2027 means'!S$2) * (V29 / '2026-2027 means'!D$2) &lt; -2, -2, ((W29 - '2026-2027 means'!F$2) / '2026-2027 means'!S$2) * (V29 / '2026-2027 means'!D$2))</f>
        <v>-0.18793060262323483</v>
      </c>
      <c r="Z29" s="7">
        <f>(J29-'2026-2027 means'!G$2)/'2026-2027 means'!T$2</f>
        <v>0.35019513504194433</v>
      </c>
      <c r="AA29" s="7">
        <f>(K29-'2026-2027 means'!H$2)/'2026-2027 means'!U$2</f>
        <v>1.1173767152833973</v>
      </c>
      <c r="AB29" s="7">
        <f>(L29-'2026-2027 means'!I$2)/'2026-2027 means'!V$2</f>
        <v>4.7409677788272299E-2</v>
      </c>
      <c r="AC29" s="7">
        <f>(M29-'2026-2027 means'!J$2)/'2026-2027 means'!W$2</f>
        <v>-0.79991260152136945</v>
      </c>
      <c r="AD29" s="7">
        <f>(N29-'2026-2027 means'!K$2)/'2026-2027 means'!X$2</f>
        <v>0.53883188173995089</v>
      </c>
      <c r="AE29" s="7">
        <f>(O29-'2026-2027 means'!L$2)/'2026-2027 means'!Y$2</f>
        <v>1.6676869259476295</v>
      </c>
      <c r="AF29" s="7">
        <f>IF(((P29 - '2026-2027 means'!M$2) / '2026-2027 means'!Z$2 * -1) &lt; -2, -2, (P29 - '2026-2027 means'!M$2) / '2026-2027 means'!Z$2 * -1)</f>
        <v>-0.48339149653667135</v>
      </c>
      <c r="AG29">
        <f t="shared" si="6"/>
        <v>2</v>
      </c>
      <c r="AH29">
        <f t="shared" si="7"/>
        <v>1</v>
      </c>
      <c r="AI29" s="8">
        <f t="shared" si="8"/>
        <v>2</v>
      </c>
      <c r="AJ29" s="8" t="e" vm="1">
        <f t="shared" ca="1" si="9"/>
        <v>#NAME?</v>
      </c>
      <c r="AK29" s="8" t="str">
        <f t="shared" si="10"/>
        <v>FG%, FT%, AST, TO</v>
      </c>
      <c r="AL29" t="str">
        <f t="shared" si="11"/>
        <v/>
      </c>
      <c r="AM29" t="str">
        <f t="shared" si="12"/>
        <v>, PTS, BLK</v>
      </c>
      <c r="AN29" t="str">
        <f t="shared" si="13"/>
        <v>, 3PM, TREB, STL</v>
      </c>
      <c r="AO29" t="str">
        <f t="shared" si="14"/>
        <v>FG%, FT%, AST, TO</v>
      </c>
      <c r="AP29">
        <f>VLOOKUP(B29,'2025-2026 actuals'!B:Q,16,FALSE)</f>
        <v>49</v>
      </c>
      <c r="AQ29" s="7">
        <f t="shared" si="15"/>
        <v>2.2211220442335833</v>
      </c>
      <c r="AR29">
        <f t="shared" si="16"/>
        <v>33</v>
      </c>
    </row>
    <row r="30" spans="1:44" ht="18">
      <c r="A30" s="3">
        <f t="shared" si="3"/>
        <v>26</v>
      </c>
      <c r="B30" s="41" t="s">
        <v>191</v>
      </c>
      <c r="C30" s="1">
        <f t="shared" si="4"/>
        <v>26</v>
      </c>
      <c r="D30" s="1">
        <f t="shared" si="17"/>
        <v>34</v>
      </c>
      <c r="E30" s="1">
        <f>VLOOKUP(B30,'2026-2027 adp'!A:C,3,FALSE)</f>
        <v>23</v>
      </c>
      <c r="F30" s="1">
        <f t="shared" si="0"/>
        <v>-3</v>
      </c>
      <c r="G30" s="1"/>
      <c r="H30" s="22" t="s">
        <v>483</v>
      </c>
      <c r="I30" s="22" t="s">
        <v>484</v>
      </c>
      <c r="J30" s="42">
        <v>0.4</v>
      </c>
      <c r="K30" s="42">
        <v>18.100000000000001</v>
      </c>
      <c r="L30" s="42">
        <v>7.9</v>
      </c>
      <c r="M30" s="42">
        <v>4.2</v>
      </c>
      <c r="N30" s="42">
        <v>1.5</v>
      </c>
      <c r="O30" s="42">
        <v>1</v>
      </c>
      <c r="P30" s="42">
        <v>2.2000000000000002</v>
      </c>
      <c r="Q30" s="43">
        <v>4.66</v>
      </c>
      <c r="R30" s="42">
        <v>7</v>
      </c>
      <c r="S30" s="42">
        <v>13</v>
      </c>
      <c r="T30">
        <f t="shared" si="1"/>
        <v>0.53846153846153844</v>
      </c>
      <c r="U30" s="42">
        <v>3.7</v>
      </c>
      <c r="V30" s="42">
        <v>4.9000000000000004</v>
      </c>
      <c r="W30">
        <f t="shared" si="2"/>
        <v>0.75510204081632648</v>
      </c>
      <c r="X30" s="7">
        <f>IF(((T30 - '2026-2027 means'!E$2) / '2026-2027 means'!R$2) * (S30 / '2026-2027 means'!B$2) / 2 &lt; -2, -2, ((T30 - '2026-2027 means'!E$2) / '2026-2027 means'!R$2) * (S30 / '2026-2027 means'!B$2) / 2)</f>
        <v>1.3352436791631082</v>
      </c>
      <c r="Y30" s="11">
        <f>IF(((W30 - '2026-2027 means'!F$2) / '2026-2027 means'!S$2) * (V30 / '2026-2027 means'!D$2) &lt; -2, -2, ((W30 - '2026-2027 means'!F$2) / '2026-2027 means'!S$2) * (V30 / '2026-2027 means'!D$2))</f>
        <v>-0.67817545994224493</v>
      </c>
      <c r="Z30" s="7">
        <f>(J30-'2026-2027 means'!G$2)/'2026-2027 means'!T$2</f>
        <v>-1.3332541239937721</v>
      </c>
      <c r="AA30" s="7">
        <f>(K30-'2026-2027 means'!H$2)/'2026-2027 means'!U$2</f>
        <v>0.41700329500841932</v>
      </c>
      <c r="AB30" s="7">
        <f>(L30-'2026-2027 means'!I$2)/'2026-2027 means'!V$2</f>
        <v>0.92127976488127628</v>
      </c>
      <c r="AC30" s="7">
        <f>(M30-'2026-2027 means'!J$2)/'2026-2027 means'!W$2</f>
        <v>0.28436199418245256</v>
      </c>
      <c r="AD30" s="7">
        <f>(N30-'2026-2027 means'!K$2)/'2026-2027 means'!X$2</f>
        <v>1.4193620299491441</v>
      </c>
      <c r="AE30" s="7">
        <f>(O30-'2026-2027 means'!L$2)/'2026-2027 means'!Y$2</f>
        <v>0.65252922723329376</v>
      </c>
      <c r="AF30" s="7">
        <f>IF(((P30 - '2026-2027 means'!M$2) / '2026-2027 means'!Z$2 * -1) &lt; -2, -2, (P30 - '2026-2027 means'!M$2) / '2026-2027 means'!Z$2 * -1)</f>
        <v>-0.48339149653667135</v>
      </c>
      <c r="AG30">
        <f t="shared" si="6"/>
        <v>2</v>
      </c>
      <c r="AH30">
        <f t="shared" si="7"/>
        <v>2</v>
      </c>
      <c r="AI30" s="8">
        <f t="shared" si="8"/>
        <v>1</v>
      </c>
      <c r="AJ30" s="8" t="e" vm="1">
        <f t="shared" ca="1" si="9"/>
        <v>#NAME?</v>
      </c>
      <c r="AK30" s="8" t="str">
        <f t="shared" si="10"/>
        <v>, FT%, 3PM, TO</v>
      </c>
      <c r="AL30" t="str">
        <f t="shared" si="11"/>
        <v/>
      </c>
      <c r="AM30" t="str">
        <f t="shared" si="12"/>
        <v>FG%, STL</v>
      </c>
      <c r="AN30" t="str">
        <f t="shared" si="13"/>
        <v>, PTS, TREB, AST, BLK</v>
      </c>
      <c r="AO30" t="str">
        <f t="shared" si="14"/>
        <v>, FT%, 3PM, TO</v>
      </c>
      <c r="AP30">
        <f>VLOOKUP(B30,'2025-2026 actuals'!B:Q,16,FALSE)</f>
        <v>34</v>
      </c>
      <c r="AQ30" s="7">
        <f t="shared" si="15"/>
        <v>2.5349589099450056</v>
      </c>
      <c r="AR30">
        <f t="shared" si="16"/>
        <v>26</v>
      </c>
    </row>
    <row r="31" spans="1:44" ht="18">
      <c r="A31" s="3">
        <f t="shared" si="3"/>
        <v>61</v>
      </c>
      <c r="B31" s="41" t="s">
        <v>43</v>
      </c>
      <c r="C31" s="1">
        <f t="shared" si="4"/>
        <v>61</v>
      </c>
      <c r="D31" s="1">
        <f t="shared" si="17"/>
        <v>32</v>
      </c>
      <c r="E31" s="1">
        <f>VLOOKUP(B31,'2026-2027 adp'!A:C,3,FALSE)</f>
        <v>25.2</v>
      </c>
      <c r="F31" s="1">
        <f t="shared" si="0"/>
        <v>-35.799999999999997</v>
      </c>
      <c r="G31" s="1"/>
      <c r="H31" s="22" t="s">
        <v>485</v>
      </c>
      <c r="I31" s="22" t="s">
        <v>486</v>
      </c>
      <c r="J31" s="42">
        <v>2.1</v>
      </c>
      <c r="K31" s="42">
        <v>24.6</v>
      </c>
      <c r="L31" s="42">
        <v>3.8</v>
      </c>
      <c r="M31" s="42">
        <v>6.3</v>
      </c>
      <c r="N31" s="42">
        <v>0.8</v>
      </c>
      <c r="O31" s="42">
        <v>0.2</v>
      </c>
      <c r="P31" s="42">
        <v>2.9</v>
      </c>
      <c r="Q31" s="43">
        <v>4.5199999999999996</v>
      </c>
      <c r="R31" s="42">
        <v>8.1999999999999993</v>
      </c>
      <c r="S31" s="42">
        <v>17.899999999999999</v>
      </c>
      <c r="T31">
        <f t="shared" si="1"/>
        <v>0.45810055865921789</v>
      </c>
      <c r="U31" s="42">
        <v>6.1</v>
      </c>
      <c r="V31" s="42">
        <v>6.9</v>
      </c>
      <c r="W31">
        <f t="shared" si="2"/>
        <v>0.88405797101449268</v>
      </c>
      <c r="X31" s="7">
        <f>IF(((T31 - '2026-2027 means'!E$2) / '2026-2027 means'!R$2) * (S31 / '2026-2027 means'!B$2) / 2 &lt; -2, -2, ((T31 - '2026-2027 means'!E$2) / '2026-2027 means'!R$2) * (S31 / '2026-2027 means'!B$2) / 2)</f>
        <v>-0.80977056579957229</v>
      </c>
      <c r="Y31" s="11">
        <f>IF(((W31 - '2026-2027 means'!F$2) / '2026-2027 means'!S$2) * (V31 / '2026-2027 means'!D$2) &lt; -2, -2, ((W31 - '2026-2027 means'!F$2) / '2026-2027 means'!S$2) * (V31 / '2026-2027 means'!D$2))</f>
        <v>2.1383814204931011</v>
      </c>
      <c r="Z31" s="7">
        <f>(J31-'2026-2027 means'!G$2)/'2026-2027 means'!T$2</f>
        <v>0.45541071373167669</v>
      </c>
      <c r="AA31" s="7">
        <f>(K31-'2026-2027 means'!H$2)/'2026-2027 means'!U$2</f>
        <v>1.6473890333293268</v>
      </c>
      <c r="AB31" s="7">
        <f>(L31-'2026-2027 means'!I$2)/'2026-2027 means'!V$2</f>
        <v>-0.78484754801458845</v>
      </c>
      <c r="AC31" s="7">
        <f>(M31-'2026-2027 means'!J$2)/'2026-2027 means'!W$2</f>
        <v>1.3686365898862745</v>
      </c>
      <c r="AD31" s="7">
        <f>(N31-'2026-2027 means'!K$2)/'2026-2027 means'!X$2</f>
        <v>-0.6352083158723062</v>
      </c>
      <c r="AE31" s="7">
        <f>(O31-'2026-2027 means'!L$2)/'2026-2027 means'!Y$2</f>
        <v>-0.97172309070964324</v>
      </c>
      <c r="AF31" s="7">
        <f>IF(((P31 - '2026-2027 means'!M$2) / '2026-2027 means'!Z$2 * -1) &lt; -2, -2, (P31 - '2026-2027 means'!M$2) / '2026-2027 means'!Z$2 * -1)</f>
        <v>-1.4386328387095606</v>
      </c>
      <c r="AG31">
        <f t="shared" si="6"/>
        <v>3</v>
      </c>
      <c r="AH31">
        <f t="shared" si="7"/>
        <v>4</v>
      </c>
      <c r="AI31" s="8">
        <f t="shared" si="8"/>
        <v>0.75</v>
      </c>
      <c r="AJ31" s="8" t="e" vm="1">
        <f t="shared" ca="1" si="9"/>
        <v>#NAME?</v>
      </c>
      <c r="AK31" s="8" t="str">
        <f t="shared" si="10"/>
        <v>FG%, TREB, STL, BLK, TO</v>
      </c>
      <c r="AL31" t="str">
        <f t="shared" si="11"/>
        <v>, FT%</v>
      </c>
      <c r="AM31" t="str">
        <f t="shared" si="12"/>
        <v>, PTS, AST</v>
      </c>
      <c r="AN31" t="str">
        <f t="shared" si="13"/>
        <v>, 3PM</v>
      </c>
      <c r="AO31" t="str">
        <f t="shared" si="14"/>
        <v>FG%, TREB, STL, BLK, TO</v>
      </c>
      <c r="AP31">
        <f>VLOOKUP(B31,'2025-2026 actuals'!B:Q,16,FALSE)</f>
        <v>32</v>
      </c>
      <c r="AQ31" s="7">
        <f t="shared" si="15"/>
        <v>0.96963539833470813</v>
      </c>
      <c r="AR31">
        <f t="shared" si="16"/>
        <v>61</v>
      </c>
    </row>
    <row r="32" spans="1:44" ht="18">
      <c r="A32" s="3">
        <f t="shared" si="3"/>
        <v>27</v>
      </c>
      <c r="B32" s="41" t="s">
        <v>56</v>
      </c>
      <c r="C32" s="1">
        <f t="shared" si="4"/>
        <v>27</v>
      </c>
      <c r="D32" s="1">
        <f t="shared" si="17"/>
        <v>17</v>
      </c>
      <c r="E32" s="1">
        <f>VLOOKUP(B32,'2026-2027 adp'!A:C,3,FALSE)</f>
        <v>36.799999999999997</v>
      </c>
      <c r="F32" s="1">
        <f t="shared" si="0"/>
        <v>9.7999999999999972</v>
      </c>
      <c r="G32" s="1"/>
      <c r="H32" s="22" t="s">
        <v>487</v>
      </c>
      <c r="I32" s="22" t="s">
        <v>488</v>
      </c>
      <c r="J32" s="42">
        <v>3</v>
      </c>
      <c r="K32" s="42">
        <v>23.8</v>
      </c>
      <c r="L32" s="42">
        <v>6.7</v>
      </c>
      <c r="M32" s="42">
        <v>1.9</v>
      </c>
      <c r="N32" s="42">
        <v>0.9</v>
      </c>
      <c r="O32" s="42">
        <v>0.5</v>
      </c>
      <c r="P32" s="42">
        <v>1.5</v>
      </c>
      <c r="Q32" s="43">
        <v>4.4800000000000004</v>
      </c>
      <c r="R32" s="42">
        <v>8</v>
      </c>
      <c r="S32" s="42">
        <v>17.8</v>
      </c>
      <c r="T32">
        <f t="shared" si="1"/>
        <v>0.449438202247191</v>
      </c>
      <c r="U32" s="42">
        <v>4.7</v>
      </c>
      <c r="V32" s="42">
        <v>5.4</v>
      </c>
      <c r="W32">
        <f t="shared" si="2"/>
        <v>0.87037037037037035</v>
      </c>
      <c r="X32" s="7">
        <f>IF(((T32 - '2026-2027 means'!E$2) / '2026-2027 means'!R$2) * (S32 / '2026-2027 means'!B$2) / 2 &lt; -2, -2, ((T32 - '2026-2027 means'!E$2) / '2026-2027 means'!R$2) * (S32 / '2026-2027 means'!B$2) / 2)</f>
        <v>-1.0891201181797536</v>
      </c>
      <c r="Y32" s="11">
        <f>IF(((W32 - '2026-2027 means'!F$2) / '2026-2027 means'!S$2) * (V32 / '2026-2027 means'!D$2) &lt; -2, -2, ((W32 - '2026-2027 means'!F$2) / '2026-2027 means'!S$2) * (V32 / '2026-2027 means'!D$2))</f>
        <v>1.4165582220030775</v>
      </c>
      <c r="Z32" s="7">
        <f>(J32-'2026-2027 means'!G$2)/'2026-2027 means'!T$2</f>
        <v>1.4023509219392671</v>
      </c>
      <c r="AA32" s="7">
        <f>(K32-'2026-2027 means'!H$2)/'2026-2027 means'!U$2</f>
        <v>1.4959569424590613</v>
      </c>
      <c r="AB32" s="7">
        <f>(L32-'2026-2027 means'!I$2)/'2026-2027 means'!V$2</f>
        <v>0.42192542939955979</v>
      </c>
      <c r="AC32" s="7">
        <f>(M32-'2026-2027 means'!J$2)/'2026-2027 means'!W$2</f>
        <v>-0.90317684873125736</v>
      </c>
      <c r="AD32" s="7">
        <f>(N32-'2026-2027 means'!K$2)/'2026-2027 means'!X$2</f>
        <v>-0.34169826646924195</v>
      </c>
      <c r="AE32" s="7">
        <f>(O32-'2026-2027 means'!L$2)/'2026-2027 means'!Y$2</f>
        <v>-0.36262847148104194</v>
      </c>
      <c r="AF32" s="7">
        <f>IF(((P32 - '2026-2027 means'!M$2) / '2026-2027 means'!Z$2 * -1) &lt; -2, -2, (P32 - '2026-2027 means'!M$2) / '2026-2027 means'!Z$2 * -1)</f>
        <v>0.47184984563621846</v>
      </c>
      <c r="AG32">
        <f t="shared" si="6"/>
        <v>3</v>
      </c>
      <c r="AH32">
        <f t="shared" si="7"/>
        <v>4</v>
      </c>
      <c r="AI32" s="8">
        <f t="shared" si="8"/>
        <v>0.75</v>
      </c>
      <c r="AJ32" s="8" t="e" vm="1">
        <f t="shared" ca="1" si="9"/>
        <v>#NAME?</v>
      </c>
      <c r="AK32" s="8" t="str">
        <f t="shared" si="10"/>
        <v>FG%, AST, STL, BLK</v>
      </c>
      <c r="AL32" t="str">
        <f t="shared" si="11"/>
        <v/>
      </c>
      <c r="AM32" t="str">
        <f t="shared" si="12"/>
        <v>, FT%, 3PM, PTS</v>
      </c>
      <c r="AN32" t="str">
        <f t="shared" si="13"/>
        <v>, TREB, TO</v>
      </c>
      <c r="AO32" t="str">
        <f t="shared" si="14"/>
        <v>FG%, AST, STL, BLK</v>
      </c>
      <c r="AP32">
        <f>VLOOKUP(B32,'2025-2026 actuals'!B:Q,16,FALSE)</f>
        <v>17</v>
      </c>
      <c r="AQ32" s="7">
        <f t="shared" si="15"/>
        <v>2.5120176565758889</v>
      </c>
      <c r="AR32">
        <f t="shared" si="16"/>
        <v>27</v>
      </c>
    </row>
    <row r="33" spans="1:44" ht="18">
      <c r="A33" s="3">
        <f t="shared" si="3"/>
        <v>35</v>
      </c>
      <c r="B33" s="41" t="s">
        <v>78</v>
      </c>
      <c r="C33" s="1">
        <f t="shared" si="4"/>
        <v>35</v>
      </c>
      <c r="D33" s="1">
        <f t="shared" si="17"/>
        <v>37</v>
      </c>
      <c r="E33" s="1">
        <f>VLOOKUP(B33,'2026-2027 adp'!A:C,3,FALSE)</f>
        <v>53</v>
      </c>
      <c r="F33" s="1">
        <f t="shared" si="0"/>
        <v>18</v>
      </c>
      <c r="G33" s="1"/>
      <c r="H33" s="22" t="s">
        <v>489</v>
      </c>
      <c r="I33" s="22" t="s">
        <v>490</v>
      </c>
      <c r="J33" s="42">
        <v>2.2000000000000002</v>
      </c>
      <c r="K33" s="42">
        <v>19.399999999999999</v>
      </c>
      <c r="L33" s="42">
        <v>4.9000000000000004</v>
      </c>
      <c r="M33" s="42">
        <v>4.5999999999999996</v>
      </c>
      <c r="N33" s="42">
        <v>1.1000000000000001</v>
      </c>
      <c r="O33" s="42">
        <v>0.4</v>
      </c>
      <c r="P33" s="42">
        <v>2.2000000000000002</v>
      </c>
      <c r="Q33" s="43">
        <v>4.4000000000000004</v>
      </c>
      <c r="R33" s="42">
        <v>7</v>
      </c>
      <c r="S33" s="42">
        <v>14.5</v>
      </c>
      <c r="T33">
        <f t="shared" si="1"/>
        <v>0.48275862068965519</v>
      </c>
      <c r="U33" s="42">
        <v>3.2</v>
      </c>
      <c r="V33" s="42">
        <v>3.5</v>
      </c>
      <c r="W33">
        <f t="shared" si="2"/>
        <v>0.91428571428571437</v>
      </c>
      <c r="X33" s="7">
        <f>IF(((T33 - '2026-2027 means'!E$2) / '2026-2027 means'!R$2) * (S33 / '2026-2027 means'!B$2) / 2 &lt; -2, -2, ((T33 - '2026-2027 means'!E$2) / '2026-2027 means'!R$2) * (S33 / '2026-2027 means'!B$2) / 2)</f>
        <v>2.2977864036572591E-3</v>
      </c>
      <c r="Y33" s="11">
        <f>IF(((W33 - '2026-2027 means'!F$2) / '2026-2027 means'!S$2) * (V33 / '2026-2027 means'!D$2) &lt; -2, -2, ((W33 - '2026-2027 means'!F$2) / '2026-2027 means'!S$2) * (V33 / '2026-2027 means'!D$2))</f>
        <v>1.452488386170645</v>
      </c>
      <c r="Z33" s="7">
        <f>(J33-'2026-2027 means'!G$2)/'2026-2027 means'!T$2</f>
        <v>0.56062629242140904</v>
      </c>
      <c r="AA33" s="7">
        <f>(K33-'2026-2027 means'!H$2)/'2026-2027 means'!U$2</f>
        <v>0.66308044267260025</v>
      </c>
      <c r="AB33" s="7">
        <f>(L33-'2026-2027 means'!I$2)/'2026-2027 means'!V$2</f>
        <v>-0.32710607382301482</v>
      </c>
      <c r="AC33" s="7">
        <f>(M33-'2026-2027 means'!J$2)/'2026-2027 means'!W$2</f>
        <v>0.49089048860222795</v>
      </c>
      <c r="AD33" s="7">
        <f>(N33-'2026-2027 means'!K$2)/'2026-2027 means'!X$2</f>
        <v>0.24532183233688692</v>
      </c>
      <c r="AE33" s="7">
        <f>(O33-'2026-2027 means'!L$2)/'2026-2027 means'!Y$2</f>
        <v>-0.56566001122390897</v>
      </c>
      <c r="AF33" s="7">
        <f>IF(((P33 - '2026-2027 means'!M$2) / '2026-2027 means'!Z$2 * -1) &lt; -2, -2, (P33 - '2026-2027 means'!M$2) / '2026-2027 means'!Z$2 * -1)</f>
        <v>-0.48339149653667135</v>
      </c>
      <c r="AG33">
        <f t="shared" si="6"/>
        <v>1</v>
      </c>
      <c r="AH33">
        <f t="shared" si="7"/>
        <v>2</v>
      </c>
      <c r="AI33" s="8">
        <f t="shared" si="8"/>
        <v>0.5</v>
      </c>
      <c r="AJ33" s="8" t="e" vm="1">
        <f t="shared" ca="1" si="9"/>
        <v>#NAME?</v>
      </c>
      <c r="AK33" s="8" t="str">
        <f t="shared" si="10"/>
        <v>, TREB, BLK, TO</v>
      </c>
      <c r="AL33" t="str">
        <f t="shared" si="11"/>
        <v/>
      </c>
      <c r="AM33" t="str">
        <f t="shared" si="12"/>
        <v>, FT%</v>
      </c>
      <c r="AN33" t="str">
        <f t="shared" si="13"/>
        <v>FG%, 3PM, PTS, AST, STL</v>
      </c>
      <c r="AO33" t="str">
        <f t="shared" si="14"/>
        <v>, TREB, BLK, TO</v>
      </c>
      <c r="AP33">
        <f>VLOOKUP(B33,'2025-2026 actuals'!B:Q,16,FALSE)</f>
        <v>37</v>
      </c>
      <c r="AQ33" s="7">
        <f t="shared" si="15"/>
        <v>2.0385476470238313</v>
      </c>
      <c r="AR33">
        <f t="shared" si="16"/>
        <v>35</v>
      </c>
    </row>
    <row r="34" spans="1:44" ht="18">
      <c r="A34" s="3">
        <f t="shared" si="3"/>
        <v>54</v>
      </c>
      <c r="B34" s="41" t="s">
        <v>171</v>
      </c>
      <c r="C34" s="1">
        <f t="shared" si="4"/>
        <v>54</v>
      </c>
      <c r="D34" s="1">
        <f t="shared" si="17"/>
        <v>45</v>
      </c>
      <c r="E34" s="1">
        <f>VLOOKUP(B34,'2026-2027 adp'!A:C,3,FALSE)</f>
        <v>23</v>
      </c>
      <c r="F34" s="1">
        <f t="shared" si="0"/>
        <v>-31</v>
      </c>
      <c r="G34" s="1"/>
      <c r="H34" s="22" t="s">
        <v>491</v>
      </c>
      <c r="I34" s="22" t="s">
        <v>492</v>
      </c>
      <c r="J34" s="42">
        <v>1.8</v>
      </c>
      <c r="K34" s="42">
        <v>16.3</v>
      </c>
      <c r="L34" s="42">
        <v>8.5</v>
      </c>
      <c r="M34" s="42">
        <v>8.4</v>
      </c>
      <c r="N34" s="42">
        <v>1.2</v>
      </c>
      <c r="O34" s="42">
        <v>0.6</v>
      </c>
      <c r="P34" s="42">
        <v>3.3</v>
      </c>
      <c r="Q34" s="43">
        <v>4.3</v>
      </c>
      <c r="R34" s="42">
        <v>5.8</v>
      </c>
      <c r="S34" s="42">
        <v>12.7</v>
      </c>
      <c r="T34">
        <f t="shared" si="1"/>
        <v>0.45669291338582679</v>
      </c>
      <c r="U34" s="42">
        <v>2.9</v>
      </c>
      <c r="V34" s="42">
        <v>3.8</v>
      </c>
      <c r="W34">
        <f t="shared" si="2"/>
        <v>0.76315789473684215</v>
      </c>
      <c r="X34" s="7">
        <f>IF(((T34 - '2026-2027 means'!E$2) / '2026-2027 means'!R$2) * (S34 / '2026-2027 means'!B$2) / 2 &lt; -2, -2, ((T34 - '2026-2027 means'!E$2) / '2026-2027 means'!R$2) * (S34 / '2026-2027 means'!B$2) / 2)</f>
        <v>-0.60744281366986197</v>
      </c>
      <c r="Y34" s="11">
        <f>IF(((W34 - '2026-2027 means'!F$2) / '2026-2027 means'!S$2) * (V34 / '2026-2027 means'!D$2) &lt; -2, -2, ((W34 - '2026-2027 means'!F$2) / '2026-2027 means'!S$2) * (V34 / '2026-2027 means'!D$2))</f>
        <v>-0.41950894379425363</v>
      </c>
      <c r="Z34" s="7">
        <f>(J34-'2026-2027 means'!G$2)/'2026-2027 means'!T$2</f>
        <v>0.13976397766247983</v>
      </c>
      <c r="AA34" s="7">
        <f>(K34-'2026-2027 means'!H$2)/'2026-2027 means'!U$2</f>
        <v>7.6281090550321687E-2</v>
      </c>
      <c r="AB34" s="7">
        <f>(L34-'2026-2027 means'!I$2)/'2026-2027 means'!V$2</f>
        <v>1.1709569326221343</v>
      </c>
      <c r="AC34" s="7">
        <f>(M34-'2026-2027 means'!J$2)/'2026-2027 means'!W$2</f>
        <v>2.4529111855900969</v>
      </c>
      <c r="AD34" s="7">
        <f>(N34-'2026-2027 means'!K$2)/'2026-2027 means'!X$2</f>
        <v>0.53883188173995089</v>
      </c>
      <c r="AE34" s="7">
        <f>(O34-'2026-2027 means'!L$2)/'2026-2027 means'!Y$2</f>
        <v>-0.15959693173817482</v>
      </c>
      <c r="AF34" s="7">
        <f>IF(((P34 - '2026-2027 means'!M$2) / '2026-2027 means'!Z$2 * -1) &lt; -2, -2, (P34 - '2026-2027 means'!M$2) / '2026-2027 means'!Z$2 * -1)</f>
        <v>-1.984485034236926</v>
      </c>
      <c r="AG34">
        <f t="shared" si="6"/>
        <v>2</v>
      </c>
      <c r="AH34">
        <f t="shared" si="7"/>
        <v>2</v>
      </c>
      <c r="AI34" s="8">
        <f t="shared" si="8"/>
        <v>1</v>
      </c>
      <c r="AJ34" s="8" t="e" vm="1">
        <f t="shared" ca="1" si="9"/>
        <v>#NAME?</v>
      </c>
      <c r="AK34" s="8" t="str">
        <f t="shared" si="10"/>
        <v>FG%, FT%, BLK, TO</v>
      </c>
      <c r="AL34" t="str">
        <f t="shared" si="11"/>
        <v>, AST</v>
      </c>
      <c r="AM34" t="str">
        <f t="shared" si="12"/>
        <v>, TREB</v>
      </c>
      <c r="AN34" t="str">
        <f t="shared" si="13"/>
        <v>, 3PM, PTS, STL</v>
      </c>
      <c r="AO34" t="str">
        <f t="shared" si="14"/>
        <v>FG%, FT%, BLK, TO</v>
      </c>
      <c r="AP34">
        <f>VLOOKUP(B34,'2025-2026 actuals'!B:Q,16,FALSE)</f>
        <v>45</v>
      </c>
      <c r="AQ34" s="7">
        <f t="shared" si="15"/>
        <v>1.2077113447257672</v>
      </c>
      <c r="AR34">
        <f t="shared" si="16"/>
        <v>54</v>
      </c>
    </row>
    <row r="35" spans="1:44" ht="18">
      <c r="A35" s="3">
        <f t="shared" si="3"/>
        <v>39</v>
      </c>
      <c r="B35" s="41" t="s">
        <v>136</v>
      </c>
      <c r="C35" s="1">
        <f t="shared" si="4"/>
        <v>39</v>
      </c>
      <c r="D35" s="1">
        <f t="shared" si="17"/>
        <v>11</v>
      </c>
      <c r="E35" s="1">
        <f>VLOOKUP(B35,'2026-2027 adp'!A:C,3,FALSE)</f>
        <v>41.8</v>
      </c>
      <c r="F35" s="1">
        <f t="shared" si="0"/>
        <v>2.7999999999999972</v>
      </c>
      <c r="G35" s="1"/>
      <c r="H35" s="22" t="s">
        <v>493</v>
      </c>
      <c r="I35" s="22" t="s">
        <v>494</v>
      </c>
      <c r="J35" s="42">
        <v>0.5</v>
      </c>
      <c r="K35" s="42">
        <v>11.8</v>
      </c>
      <c r="L35" s="42">
        <v>10.8</v>
      </c>
      <c r="M35" s="42">
        <v>1.8</v>
      </c>
      <c r="N35" s="42">
        <v>0.7</v>
      </c>
      <c r="O35" s="42">
        <v>2.2000000000000002</v>
      </c>
      <c r="P35" s="42">
        <v>1.9</v>
      </c>
      <c r="Q35" s="43">
        <v>4.2699999999999996</v>
      </c>
      <c r="R35" s="42">
        <v>4.9000000000000004</v>
      </c>
      <c r="S35" s="42">
        <v>7.3</v>
      </c>
      <c r="T35">
        <f t="shared" si="1"/>
        <v>0.67123287671232879</v>
      </c>
      <c r="U35" s="42">
        <v>1.5</v>
      </c>
      <c r="V35" s="42">
        <v>2.6</v>
      </c>
      <c r="W35">
        <f t="shared" si="2"/>
        <v>0.57692307692307687</v>
      </c>
      <c r="X35" s="7">
        <f>IF(((T35 - '2026-2027 means'!E$2) / '2026-2027 means'!R$2) * (S35 / '2026-2027 means'!B$2) / 2 &lt; -2, -2, ((T35 - '2026-2027 means'!E$2) / '2026-2027 means'!R$2) * (S35 / '2026-2027 means'!B$2) / 2)</f>
        <v>2.534205646725519</v>
      </c>
      <c r="Y35" s="11">
        <f>IF(((W35 - '2026-2027 means'!F$2) / '2026-2027 means'!S$2) * (V35 / '2026-2027 means'!D$2) &lt; -2, -2, ((W35 - '2026-2027 means'!F$2) / '2026-2027 means'!S$2) * (V35 / '2026-2027 means'!D$2))</f>
        <v>-1.9703836258718144</v>
      </c>
      <c r="Z35" s="7">
        <f>(J35-'2026-2027 means'!G$2)/'2026-2027 means'!T$2</f>
        <v>-1.2280385453040399</v>
      </c>
      <c r="AA35" s="7">
        <f>(K35-'2026-2027 means'!H$2)/'2026-2027 means'!U$2</f>
        <v>-0.77552442059492199</v>
      </c>
      <c r="AB35" s="7">
        <f>(L35-'2026-2027 means'!I$2)/'2026-2027 means'!V$2</f>
        <v>2.1280527422954245</v>
      </c>
      <c r="AC35" s="7">
        <f>(M35-'2026-2027 means'!J$2)/'2026-2027 means'!W$2</f>
        <v>-0.95480897233620121</v>
      </c>
      <c r="AD35" s="7">
        <f>(N35-'2026-2027 means'!K$2)/'2026-2027 means'!X$2</f>
        <v>-0.92871836527537077</v>
      </c>
      <c r="AE35" s="7">
        <f>(O35-'2026-2027 means'!L$2)/'2026-2027 means'!Y$2</f>
        <v>3.0889077041476996</v>
      </c>
      <c r="AF35" s="7">
        <f>IF(((P35 - '2026-2027 means'!M$2) / '2026-2027 means'!Z$2 * -1) &lt; -2, -2, (P35 - '2026-2027 means'!M$2) / '2026-2027 means'!Z$2 * -1)</f>
        <v>-7.4002349891146874E-2</v>
      </c>
      <c r="AG35">
        <f t="shared" si="6"/>
        <v>3</v>
      </c>
      <c r="AH35">
        <f t="shared" si="7"/>
        <v>5</v>
      </c>
      <c r="AI35" s="8">
        <f t="shared" si="8"/>
        <v>0.6</v>
      </c>
      <c r="AJ35" s="8" t="e" vm="1">
        <f t="shared" ca="1" si="9"/>
        <v>#NAME?</v>
      </c>
      <c r="AK35" s="8" t="str">
        <f t="shared" si="10"/>
        <v>, FT%, 3PM, PTS, AST, STL, TO</v>
      </c>
      <c r="AL35" t="str">
        <f t="shared" si="11"/>
        <v>FG%, TREB, BLK</v>
      </c>
      <c r="AM35" t="str">
        <f t="shared" si="12"/>
        <v/>
      </c>
      <c r="AN35" t="str">
        <f t="shared" si="13"/>
        <v/>
      </c>
      <c r="AO35" t="str">
        <f t="shared" si="14"/>
        <v>, FT%, 3PM, PTS, AST, STL, TO</v>
      </c>
      <c r="AP35">
        <f>VLOOKUP(B35,'2025-2026 actuals'!B:Q,16,FALSE)</f>
        <v>11</v>
      </c>
      <c r="AQ35" s="7">
        <f t="shared" si="15"/>
        <v>1.8196898138951481</v>
      </c>
      <c r="AR35">
        <f t="shared" si="16"/>
        <v>39</v>
      </c>
    </row>
    <row r="36" spans="1:44" ht="18">
      <c r="A36" s="3">
        <f t="shared" si="3"/>
        <v>31</v>
      </c>
      <c r="B36" s="41" t="s">
        <v>110</v>
      </c>
      <c r="C36" s="1">
        <f t="shared" si="4"/>
        <v>31</v>
      </c>
      <c r="D36" s="1">
        <f t="shared" si="17"/>
        <v>40</v>
      </c>
      <c r="E36" s="1">
        <f>VLOOKUP(B36,'2026-2027 adp'!A:C,3,FALSE)</f>
        <v>35.700000000000003</v>
      </c>
      <c r="F36" s="1">
        <f t="shared" si="0"/>
        <v>4.7000000000000028</v>
      </c>
      <c r="G36" s="1"/>
      <c r="H36" s="22" t="s">
        <v>495</v>
      </c>
      <c r="I36" s="22" t="s">
        <v>496</v>
      </c>
      <c r="J36" s="42">
        <v>0</v>
      </c>
      <c r="K36" s="42">
        <v>17.7</v>
      </c>
      <c r="L36" s="42">
        <v>11.1</v>
      </c>
      <c r="M36" s="42">
        <v>2.5</v>
      </c>
      <c r="N36" s="42">
        <v>0.8</v>
      </c>
      <c r="O36" s="42">
        <v>0.9</v>
      </c>
      <c r="P36" s="42">
        <v>1.9</v>
      </c>
      <c r="Q36" s="43">
        <v>4.24</v>
      </c>
      <c r="R36" s="42">
        <v>6.9</v>
      </c>
      <c r="S36" s="42">
        <v>10.7</v>
      </c>
      <c r="T36">
        <f t="shared" si="1"/>
        <v>0.64485981308411222</v>
      </c>
      <c r="U36" s="42">
        <v>3.9</v>
      </c>
      <c r="V36" s="42">
        <v>5.2</v>
      </c>
      <c r="W36">
        <f t="shared" si="2"/>
        <v>0.75</v>
      </c>
      <c r="X36" s="7">
        <f>IF(((T36 - '2026-2027 means'!E$2) / '2026-2027 means'!R$2) * (S36 / '2026-2027 means'!B$2) / 2 &lt; -2, -2, ((T36 - '2026-2027 means'!E$2) / '2026-2027 means'!R$2) * (S36 / '2026-2027 means'!B$2) / 2)</f>
        <v>3.1949877421121982</v>
      </c>
      <c r="Y36" s="11">
        <f>IF(((W36 - '2026-2027 means'!F$2) / '2026-2027 means'!S$2) * (V36 / '2026-2027 means'!D$2) &lt; -2, -2, ((W36 - '2026-2027 means'!F$2) / '2026-2027 means'!S$2) * (V36 / '2026-2027 means'!D$2))</f>
        <v>-0.81192971261153613</v>
      </c>
      <c r="Z36" s="7">
        <f>(J36-'2026-2027 means'!G$2)/'2026-2027 means'!T$2</f>
        <v>-1.7541164387527013</v>
      </c>
      <c r="AA36" s="7">
        <f>(K36-'2026-2027 means'!H$2)/'2026-2027 means'!U$2</f>
        <v>0.34128724957328616</v>
      </c>
      <c r="AB36" s="7">
        <f>(L36-'2026-2027 means'!I$2)/'2026-2027 means'!V$2</f>
        <v>2.2528913261658534</v>
      </c>
      <c r="AC36" s="7">
        <f>(M36-'2026-2027 means'!J$2)/'2026-2027 means'!W$2</f>
        <v>-0.59338410710159395</v>
      </c>
      <c r="AD36" s="7">
        <f>(N36-'2026-2027 means'!K$2)/'2026-2027 means'!X$2</f>
        <v>-0.6352083158723062</v>
      </c>
      <c r="AE36" s="7">
        <f>(O36-'2026-2027 means'!L$2)/'2026-2027 means'!Y$2</f>
        <v>0.44949768749042662</v>
      </c>
      <c r="AF36" s="7">
        <f>IF(((P36 - '2026-2027 means'!M$2) / '2026-2027 means'!Z$2 * -1) &lt; -2, -2, (P36 - '2026-2027 means'!M$2) / '2026-2027 means'!Z$2 * -1)</f>
        <v>-7.4002349891146874E-2</v>
      </c>
      <c r="AG36">
        <f t="shared" si="6"/>
        <v>2</v>
      </c>
      <c r="AH36">
        <f t="shared" si="7"/>
        <v>4</v>
      </c>
      <c r="AI36" s="8">
        <f t="shared" si="8"/>
        <v>0.5</v>
      </c>
      <c r="AJ36" s="8" t="e" vm="1">
        <f t="shared" ca="1" si="9"/>
        <v>#NAME?</v>
      </c>
      <c r="AK36" s="8" t="str">
        <f t="shared" si="10"/>
        <v>, FT%, 3PM, AST, STL, TO</v>
      </c>
      <c r="AL36" t="str">
        <f t="shared" si="11"/>
        <v>FG%, TREB</v>
      </c>
      <c r="AM36" t="str">
        <f t="shared" si="12"/>
        <v/>
      </c>
      <c r="AN36" t="str">
        <f t="shared" si="13"/>
        <v>, PTS, BLK</v>
      </c>
      <c r="AO36" t="str">
        <f t="shared" si="14"/>
        <v>, FT%, 3PM, AST, STL, TO</v>
      </c>
      <c r="AP36">
        <f>VLOOKUP(B36,'2025-2026 actuals'!B:Q,16,FALSE)</f>
        <v>40</v>
      </c>
      <c r="AQ36" s="7">
        <f t="shared" si="15"/>
        <v>2.3700230811124805</v>
      </c>
      <c r="AR36">
        <f t="shared" si="16"/>
        <v>31</v>
      </c>
    </row>
    <row r="37" spans="1:44" ht="18">
      <c r="A37" s="3">
        <f t="shared" si="3"/>
        <v>34</v>
      </c>
      <c r="B37" s="41" t="s">
        <v>273</v>
      </c>
      <c r="C37" s="1">
        <f t="shared" si="4"/>
        <v>34</v>
      </c>
      <c r="D37" s="1">
        <f t="shared" si="17"/>
        <v>29</v>
      </c>
      <c r="E37" s="1">
        <f>VLOOKUP(B37,'2026-2027 adp'!A:C,3,FALSE)</f>
        <v>75.400000000000006</v>
      </c>
      <c r="F37" s="1">
        <f t="shared" si="0"/>
        <v>41.400000000000006</v>
      </c>
      <c r="G37" s="1" t="s">
        <v>369</v>
      </c>
      <c r="H37" s="22" t="s">
        <v>497</v>
      </c>
      <c r="I37" s="22" t="s">
        <v>926</v>
      </c>
      <c r="J37" s="42">
        <v>0.3</v>
      </c>
      <c r="K37" s="42">
        <v>13.3</v>
      </c>
      <c r="L37" s="42">
        <v>10.3</v>
      </c>
      <c r="M37" s="42">
        <v>1.2</v>
      </c>
      <c r="N37" s="42">
        <v>0.7</v>
      </c>
      <c r="O37" s="42">
        <v>1.8</v>
      </c>
      <c r="P37" s="42">
        <v>1.8</v>
      </c>
      <c r="Q37" s="43">
        <v>4.22</v>
      </c>
      <c r="R37" s="42">
        <v>5.3</v>
      </c>
      <c r="S37" s="42">
        <v>8.5</v>
      </c>
      <c r="T37">
        <f t="shared" si="1"/>
        <v>0.62352941176470589</v>
      </c>
      <c r="U37" s="42">
        <v>2.5</v>
      </c>
      <c r="V37" s="42">
        <v>3.2</v>
      </c>
      <c r="W37">
        <f t="shared" si="2"/>
        <v>0.78125</v>
      </c>
      <c r="X37" s="7">
        <f>IF(((T37 - '2026-2027 means'!E$2) / '2026-2027 means'!R$2) * (S37 / '2026-2027 means'!B$2) / 2 &lt; -2, -2, ((T37 - '2026-2027 means'!E$2) / '2026-2027 means'!R$2) * (S37 / '2026-2027 means'!B$2) / 2)</f>
        <v>2.2042741563129105</v>
      </c>
      <c r="Y37" s="11">
        <f>IF(((W37 - '2026-2027 means'!F$2) / '2026-2027 means'!S$2) * (V37 / '2026-2027 means'!D$2) &lt; -2, -2, ((W37 - '2026-2027 means'!F$2) / '2026-2027 means'!S$2) * (V37 / '2026-2027 means'!D$2))</f>
        <v>-0.15200043845567016</v>
      </c>
      <c r="Z37" s="7">
        <f>(J37-'2026-2027 means'!G$2)/'2026-2027 means'!T$2</f>
        <v>-1.4384697026835043</v>
      </c>
      <c r="AA37" s="7">
        <f>(K37-'2026-2027 means'!H$2)/'2026-2027 means'!U$2</f>
        <v>-0.49158925021317412</v>
      </c>
      <c r="AB37" s="7">
        <f>(L37-'2026-2027 means'!I$2)/'2026-2027 means'!V$2</f>
        <v>1.9199884358447095</v>
      </c>
      <c r="AC37" s="7">
        <f>(M37-'2026-2027 means'!J$2)/'2026-2027 means'!W$2</f>
        <v>-1.2646017139658647</v>
      </c>
      <c r="AD37" s="7">
        <f>(N37-'2026-2027 means'!K$2)/'2026-2027 means'!X$2</f>
        <v>-0.92871836527537077</v>
      </c>
      <c r="AE37" s="7">
        <f>(O37-'2026-2027 means'!L$2)/'2026-2027 means'!Y$2</f>
        <v>2.276781545176231</v>
      </c>
      <c r="AF37" s="7">
        <f>IF(((P37 - '2026-2027 means'!M$2) / '2026-2027 means'!Z$2 * -1) &lt; -2, -2, (P37 - '2026-2027 means'!M$2) / '2026-2027 means'!Z$2 * -1)</f>
        <v>6.2460698990694306E-2</v>
      </c>
      <c r="AG37">
        <f t="shared" si="6"/>
        <v>3</v>
      </c>
      <c r="AH37">
        <f t="shared" si="7"/>
        <v>4</v>
      </c>
      <c r="AI37" s="8">
        <f t="shared" si="8"/>
        <v>0.75</v>
      </c>
      <c r="AJ37" s="8" t="e" vm="1">
        <f t="shared" ca="1" si="9"/>
        <v>#NAME?</v>
      </c>
      <c r="AK37" s="8" t="str">
        <f t="shared" si="10"/>
        <v>, FT%, 3PM, PTS, AST, STL</v>
      </c>
      <c r="AL37" t="str">
        <f t="shared" si="11"/>
        <v>FG%, BLK</v>
      </c>
      <c r="AM37" t="str">
        <f t="shared" si="12"/>
        <v>, TREB</v>
      </c>
      <c r="AN37" t="str">
        <f t="shared" si="13"/>
        <v>, TO</v>
      </c>
      <c r="AO37" t="str">
        <f t="shared" si="14"/>
        <v>, FT%, 3PM, PTS, AST, STL</v>
      </c>
      <c r="AP37">
        <f>VLOOKUP(B37,'2025-2026 actuals'!B:Q,16,FALSE)</f>
        <v>29</v>
      </c>
      <c r="AQ37" s="7">
        <f t="shared" si="15"/>
        <v>2.1881253657309614</v>
      </c>
      <c r="AR37">
        <f t="shared" si="16"/>
        <v>34</v>
      </c>
    </row>
    <row r="38" spans="1:44" ht="18">
      <c r="A38" s="3">
        <f t="shared" si="3"/>
        <v>46</v>
      </c>
      <c r="B38" s="41" t="s">
        <v>133</v>
      </c>
      <c r="C38" s="1">
        <f t="shared" si="4"/>
        <v>46</v>
      </c>
      <c r="D38" s="1">
        <f t="shared" si="17"/>
        <v>66</v>
      </c>
      <c r="E38" s="1">
        <f>VLOOKUP(B38,'2026-2027 adp'!A:C,3,FALSE)</f>
        <v>61.5</v>
      </c>
      <c r="F38" s="1">
        <f t="shared" si="0"/>
        <v>15.5</v>
      </c>
      <c r="G38" s="1"/>
      <c r="H38" s="22" t="s">
        <v>498</v>
      </c>
      <c r="I38" s="22" t="s">
        <v>499</v>
      </c>
      <c r="J38" s="42">
        <v>2.9</v>
      </c>
      <c r="K38" s="42">
        <v>20.8</v>
      </c>
      <c r="L38" s="42">
        <v>2.8</v>
      </c>
      <c r="M38" s="42">
        <v>7</v>
      </c>
      <c r="N38" s="42">
        <v>1.2</v>
      </c>
      <c r="O38" s="42">
        <v>0.2</v>
      </c>
      <c r="P38" s="42">
        <v>2.8</v>
      </c>
      <c r="Q38" s="43">
        <v>4.22</v>
      </c>
      <c r="R38" s="42">
        <v>7.5</v>
      </c>
      <c r="S38" s="42">
        <v>16.100000000000001</v>
      </c>
      <c r="T38">
        <f t="shared" si="1"/>
        <v>0.46583850931677012</v>
      </c>
      <c r="U38" s="42">
        <v>2.9</v>
      </c>
      <c r="V38" s="42">
        <v>3.3</v>
      </c>
      <c r="W38">
        <f t="shared" si="2"/>
        <v>0.87878787878787878</v>
      </c>
      <c r="X38" s="7">
        <f>IF(((T38 - '2026-2027 means'!E$2) / '2026-2027 means'!R$2) * (S38 / '2026-2027 means'!B$2) / 2 &lt; -2, -2, ((T38 - '2026-2027 means'!E$2) / '2026-2027 means'!R$2) * (S38 / '2026-2027 means'!B$2) / 2)</f>
        <v>-0.49897963612940172</v>
      </c>
      <c r="Y38" s="11">
        <f>IF(((W38 - '2026-2027 means'!F$2) / '2026-2027 means'!S$2) * (V38 / '2026-2027 means'!D$2) &lt; -2, -2, ((W38 - '2026-2027 means'!F$2) / '2026-2027 means'!S$2) * (V38 / '2026-2027 means'!D$2))</f>
        <v>0.96224352885163678</v>
      </c>
      <c r="Z38" s="7">
        <f>(J38-'2026-2027 means'!G$2)/'2026-2027 means'!T$2</f>
        <v>1.2971353432495347</v>
      </c>
      <c r="AA38" s="7">
        <f>(K38-'2026-2027 means'!H$2)/'2026-2027 means'!U$2</f>
        <v>0.92808660169556545</v>
      </c>
      <c r="AB38" s="7">
        <f>(L38-'2026-2027 means'!I$2)/'2026-2027 means'!V$2</f>
        <v>-1.2009761609160188</v>
      </c>
      <c r="AC38" s="7">
        <f>(M38-'2026-2027 means'!J$2)/'2026-2027 means'!W$2</f>
        <v>1.7300614551208819</v>
      </c>
      <c r="AD38" s="7">
        <f>(N38-'2026-2027 means'!K$2)/'2026-2027 means'!X$2</f>
        <v>0.53883188173995089</v>
      </c>
      <c r="AE38" s="7">
        <f>(O38-'2026-2027 means'!L$2)/'2026-2027 means'!Y$2</f>
        <v>-0.97172309070964324</v>
      </c>
      <c r="AF38" s="7">
        <f>IF(((P38 - '2026-2027 means'!M$2) / '2026-2027 means'!Z$2 * -1) &lt; -2, -2, (P38 - '2026-2027 means'!M$2) / '2026-2027 means'!Z$2 * -1)</f>
        <v>-1.3021697898277191</v>
      </c>
      <c r="AG38">
        <f t="shared" si="6"/>
        <v>2</v>
      </c>
      <c r="AH38">
        <f t="shared" si="7"/>
        <v>3</v>
      </c>
      <c r="AI38" s="8">
        <f t="shared" si="8"/>
        <v>0.66666666666666663</v>
      </c>
      <c r="AJ38" s="8" t="e" vm="1">
        <f t="shared" ca="1" si="9"/>
        <v>#NAME?</v>
      </c>
      <c r="AK38" s="8" t="str">
        <f t="shared" si="10"/>
        <v>FG%, TREB, BLK, TO</v>
      </c>
      <c r="AL38" t="str">
        <f t="shared" si="11"/>
        <v/>
      </c>
      <c r="AM38" t="str">
        <f t="shared" si="12"/>
        <v>, 3PM, AST</v>
      </c>
      <c r="AN38" t="str">
        <f t="shared" si="13"/>
        <v>, FT%, PTS, STL</v>
      </c>
      <c r="AO38" t="str">
        <f t="shared" si="14"/>
        <v>FG%, TREB, BLK, TO</v>
      </c>
      <c r="AP38">
        <f>VLOOKUP(B38,'2025-2026 actuals'!B:Q,16,FALSE)</f>
        <v>66</v>
      </c>
      <c r="AQ38" s="7">
        <f t="shared" si="15"/>
        <v>1.4825101330747865</v>
      </c>
      <c r="AR38">
        <f t="shared" si="16"/>
        <v>46</v>
      </c>
    </row>
    <row r="39" spans="1:44" ht="18">
      <c r="A39" s="3">
        <f t="shared" si="3"/>
        <v>32</v>
      </c>
      <c r="B39" s="41" t="s">
        <v>93</v>
      </c>
      <c r="C39" s="1">
        <f t="shared" si="4"/>
        <v>32</v>
      </c>
      <c r="D39" s="1">
        <f t="shared" si="17"/>
        <v>78</v>
      </c>
      <c r="E39" s="1">
        <f>VLOOKUP(B39,'2026-2027 adp'!A:C,3,FALSE)</f>
        <v>40.4</v>
      </c>
      <c r="F39" s="1">
        <f t="shared" si="0"/>
        <v>8.3999999999999986</v>
      </c>
      <c r="G39" s="1"/>
      <c r="H39" s="22" t="s">
        <v>500</v>
      </c>
      <c r="I39" s="22" t="s">
        <v>501</v>
      </c>
      <c r="J39" s="42">
        <v>1.5</v>
      </c>
      <c r="K39" s="42">
        <v>20.399999999999999</v>
      </c>
      <c r="L39" s="42">
        <v>5.2</v>
      </c>
      <c r="M39" s="42">
        <v>5.3</v>
      </c>
      <c r="N39" s="42">
        <v>1.5</v>
      </c>
      <c r="O39" s="42">
        <v>0.6</v>
      </c>
      <c r="P39" s="42">
        <v>2.1</v>
      </c>
      <c r="Q39" s="43">
        <v>4.13</v>
      </c>
      <c r="R39" s="42">
        <v>7.8</v>
      </c>
      <c r="S39" s="42">
        <v>16</v>
      </c>
      <c r="T39">
        <f t="shared" si="1"/>
        <v>0.48749999999999999</v>
      </c>
      <c r="U39" s="42">
        <v>3.4</v>
      </c>
      <c r="V39" s="42">
        <v>4.3</v>
      </c>
      <c r="W39">
        <f t="shared" si="2"/>
        <v>0.79069767441860461</v>
      </c>
      <c r="X39" s="7">
        <f>IF(((T39 - '2026-2027 means'!E$2) / '2026-2027 means'!R$2) * (S39 / '2026-2027 means'!B$2) / 2 &lt; -2, -2, ((T39 - '2026-2027 means'!E$2) / '2026-2027 means'!R$2) * (S39 / '2026-2027 means'!B$2) / 2)</f>
        <v>0.1422023412341121</v>
      </c>
      <c r="Y39" s="11">
        <f>IF(((W39 - '2026-2027 means'!F$2) / '2026-2027 means'!S$2) * (V39 / '2026-2027 means'!D$2) &lt; -2, -2, ((W39 - '2026-2027 means'!F$2) / '2026-2027 means'!S$2) * (V39 / '2026-2027 means'!D$2))</f>
        <v>-6.3018339144539318E-2</v>
      </c>
      <c r="Z39" s="7">
        <f>(J39-'2026-2027 means'!G$2)/'2026-2027 means'!T$2</f>
        <v>-0.17588275840671705</v>
      </c>
      <c r="AA39" s="7">
        <f>(K39-'2026-2027 means'!H$2)/'2026-2027 means'!U$2</f>
        <v>0.85237055626043223</v>
      </c>
      <c r="AB39" s="7">
        <f>(L39-'2026-2027 means'!I$2)/'2026-2027 means'!V$2</f>
        <v>-0.20226748995258578</v>
      </c>
      <c r="AC39" s="7">
        <f>(M39-'2026-2027 means'!J$2)/'2026-2027 means'!W$2</f>
        <v>0.85231535383683532</v>
      </c>
      <c r="AD39" s="7">
        <f>(N39-'2026-2027 means'!K$2)/'2026-2027 means'!X$2</f>
        <v>1.4193620299491441</v>
      </c>
      <c r="AE39" s="7">
        <f>(O39-'2026-2027 means'!L$2)/'2026-2027 means'!Y$2</f>
        <v>-0.15959693173817482</v>
      </c>
      <c r="AF39" s="7">
        <f>IF(((P39 - '2026-2027 means'!M$2) / '2026-2027 means'!Z$2 * -1) &lt; -2, -2, (P39 - '2026-2027 means'!M$2) / '2026-2027 means'!Z$2 * -1)</f>
        <v>-0.34692844765482989</v>
      </c>
      <c r="AG39">
        <f t="shared" si="6"/>
        <v>1</v>
      </c>
      <c r="AH39">
        <f t="shared" si="7"/>
        <v>0</v>
      </c>
      <c r="AI39" s="8" t="e">
        <f t="shared" si="8"/>
        <v>#DIV/0!</v>
      </c>
      <c r="AJ39" s="8" t="e" vm="1">
        <f t="shared" ca="1" si="9"/>
        <v>#NAME?</v>
      </c>
      <c r="AK39" s="8" t="str">
        <f t="shared" si="10"/>
        <v>, FT%, 3PM, TREB, BLK, TO</v>
      </c>
      <c r="AL39" t="str">
        <f t="shared" si="11"/>
        <v/>
      </c>
      <c r="AM39" t="str">
        <f t="shared" si="12"/>
        <v>, STL</v>
      </c>
      <c r="AN39" t="str">
        <f t="shared" si="13"/>
        <v>FG%, PTS, AST</v>
      </c>
      <c r="AO39" t="str">
        <f t="shared" si="14"/>
        <v>, FT%, 3PM, TREB, BLK, TO</v>
      </c>
      <c r="AP39">
        <f>VLOOKUP(B39,'2025-2026 actuals'!B:Q,16,FALSE)</f>
        <v>78</v>
      </c>
      <c r="AQ39" s="7">
        <f t="shared" si="15"/>
        <v>2.3185563143836769</v>
      </c>
      <c r="AR39">
        <f t="shared" si="16"/>
        <v>32</v>
      </c>
    </row>
    <row r="40" spans="1:44" ht="18">
      <c r="A40" s="3">
        <f t="shared" si="3"/>
        <v>51</v>
      </c>
      <c r="B40" s="41" t="s">
        <v>62</v>
      </c>
      <c r="C40" s="1">
        <f t="shared" si="4"/>
        <v>51</v>
      </c>
      <c r="D40" s="1">
        <f t="shared" ref="D40:D50" si="18">AP40</f>
        <v>89</v>
      </c>
      <c r="E40" s="1">
        <f>VLOOKUP(B40,'2026-2027 adp'!A:C,3,FALSE)</f>
        <v>28.6</v>
      </c>
      <c r="F40" s="1">
        <f t="shared" si="0"/>
        <v>-22.4</v>
      </c>
      <c r="G40" s="1"/>
      <c r="H40" s="22" t="s">
        <v>502</v>
      </c>
      <c r="I40" s="22" t="s">
        <v>503</v>
      </c>
      <c r="J40" s="42">
        <v>0.7</v>
      </c>
      <c r="K40" s="42">
        <v>17</v>
      </c>
      <c r="L40" s="42">
        <v>12.3</v>
      </c>
      <c r="M40" s="42">
        <v>5.2</v>
      </c>
      <c r="N40" s="42">
        <v>0.7</v>
      </c>
      <c r="O40" s="42">
        <v>0.3</v>
      </c>
      <c r="P40" s="42">
        <v>2.6</v>
      </c>
      <c r="Q40" s="43">
        <v>4.05</v>
      </c>
      <c r="R40" s="42">
        <v>6.7</v>
      </c>
      <c r="S40" s="42">
        <v>11.5</v>
      </c>
      <c r="T40">
        <f t="shared" si="1"/>
        <v>0.58260869565217388</v>
      </c>
      <c r="U40" s="42">
        <v>2.8</v>
      </c>
      <c r="V40" s="42">
        <v>3.8</v>
      </c>
      <c r="W40">
        <f t="shared" si="2"/>
        <v>0.73684210526315785</v>
      </c>
      <c r="X40" s="7">
        <f>IF(((T40 - '2026-2027 means'!E$2) / '2026-2027 means'!R$2) * (S40 / '2026-2027 means'!B$2) / 2 &lt; -2, -2, ((T40 - '2026-2027 means'!E$2) / '2026-2027 means'!R$2) * (S40 / '2026-2027 means'!B$2) / 2)</f>
        <v>2.1158706540763448</v>
      </c>
      <c r="Y40" s="11">
        <f>IF(((W40 - '2026-2027 means'!F$2) / '2026-2027 means'!S$2) * (V40 / '2026-2027 means'!D$2) &lt; -2, -2, ((W40 - '2026-2027 means'!F$2) / '2026-2027 means'!S$2) * (V40 / '2026-2027 means'!D$2))</f>
        <v>-0.76715755925337592</v>
      </c>
      <c r="Z40" s="7">
        <f>(J40-'2026-2027 means'!G$2)/'2026-2027 means'!T$2</f>
        <v>-1.0176073879245753</v>
      </c>
      <c r="AA40" s="7">
        <f>(K40-'2026-2027 means'!H$2)/'2026-2027 means'!U$2</f>
        <v>0.20878417006180391</v>
      </c>
      <c r="AB40" s="7">
        <f>(L40-'2026-2027 means'!I$2)/'2026-2027 means'!V$2</f>
        <v>2.7522456616475699</v>
      </c>
      <c r="AC40" s="7">
        <f>(M40-'2026-2027 means'!J$2)/'2026-2027 means'!W$2</f>
        <v>0.8006832302318917</v>
      </c>
      <c r="AD40" s="7">
        <f>(N40-'2026-2027 means'!K$2)/'2026-2027 means'!X$2</f>
        <v>-0.92871836527537077</v>
      </c>
      <c r="AE40" s="7">
        <f>(O40-'2026-2027 means'!L$2)/'2026-2027 means'!Y$2</f>
        <v>-0.76869155096677622</v>
      </c>
      <c r="AF40" s="7">
        <f>IF(((P40 - '2026-2027 means'!M$2) / '2026-2027 means'!Z$2 * -1) &lt; -2, -2, (P40 - '2026-2027 means'!M$2) / '2026-2027 means'!Z$2 * -1)</f>
        <v>-1.0292436920640367</v>
      </c>
      <c r="AG40">
        <f t="shared" si="6"/>
        <v>2</v>
      </c>
      <c r="AH40">
        <f t="shared" si="7"/>
        <v>4</v>
      </c>
      <c r="AI40" s="8">
        <f t="shared" si="8"/>
        <v>0.5</v>
      </c>
      <c r="AJ40" s="8" t="e" vm="1">
        <f t="shared" ca="1" si="9"/>
        <v>#NAME?</v>
      </c>
      <c r="AK40" s="8" t="str">
        <f t="shared" si="10"/>
        <v>, FT%, 3PM, STL, BLK, TO</v>
      </c>
      <c r="AL40" t="str">
        <f t="shared" si="11"/>
        <v>FG%, TREB</v>
      </c>
      <c r="AM40" t="str">
        <f t="shared" si="12"/>
        <v/>
      </c>
      <c r="AN40" t="str">
        <f t="shared" si="13"/>
        <v>, PTS, AST</v>
      </c>
      <c r="AO40" t="str">
        <f t="shared" si="14"/>
        <v>, FT%, 3PM, STL, BLK, TO</v>
      </c>
      <c r="AP40">
        <f>VLOOKUP(B40,'2025-2026 actuals'!B:Q,16,FALSE)</f>
        <v>89</v>
      </c>
      <c r="AQ40" s="7">
        <f t="shared" si="15"/>
        <v>1.3661651605334753</v>
      </c>
      <c r="AR40">
        <f t="shared" si="16"/>
        <v>51</v>
      </c>
    </row>
    <row r="41" spans="1:44" ht="18">
      <c r="A41" s="3">
        <f t="shared" si="3"/>
        <v>52</v>
      </c>
      <c r="B41" s="41" t="s">
        <v>45</v>
      </c>
      <c r="C41" s="1">
        <f t="shared" si="4"/>
        <v>52</v>
      </c>
      <c r="D41" s="1">
        <f t="shared" si="18"/>
        <v>43</v>
      </c>
      <c r="E41" s="1">
        <f>VLOOKUP(B41,'2026-2027 adp'!A:C,3,FALSE)</f>
        <v>37.6</v>
      </c>
      <c r="F41" s="1">
        <f t="shared" si="0"/>
        <v>-14.399999999999999</v>
      </c>
      <c r="G41" s="1"/>
      <c r="H41" s="22" t="s">
        <v>504</v>
      </c>
      <c r="I41" s="22" t="s">
        <v>505</v>
      </c>
      <c r="J41" s="42">
        <v>1.5</v>
      </c>
      <c r="K41" s="42">
        <v>20.3</v>
      </c>
      <c r="L41" s="42">
        <v>6.2</v>
      </c>
      <c r="M41" s="42">
        <v>7.4</v>
      </c>
      <c r="N41" s="42">
        <v>1</v>
      </c>
      <c r="O41" s="42">
        <v>0.5</v>
      </c>
      <c r="P41" s="42">
        <v>3</v>
      </c>
      <c r="Q41" s="43">
        <v>4.04</v>
      </c>
      <c r="R41" s="42">
        <v>7.7</v>
      </c>
      <c r="S41" s="42">
        <v>15</v>
      </c>
      <c r="T41">
        <f t="shared" si="1"/>
        <v>0.51333333333333331</v>
      </c>
      <c r="U41" s="42">
        <v>3.4</v>
      </c>
      <c r="V41" s="42">
        <v>4.4000000000000004</v>
      </c>
      <c r="W41">
        <f t="shared" si="2"/>
        <v>0.7727272727272726</v>
      </c>
      <c r="X41" s="7">
        <f>IF(((T41 - '2026-2027 means'!E$2) / '2026-2027 means'!R$2) * (S41 / '2026-2027 means'!B$2) / 2 &lt; -2, -2, ((T41 - '2026-2027 means'!E$2) / '2026-2027 means'!R$2) * (S41 / '2026-2027 means'!B$2) / 2)</f>
        <v>0.84672663045834129</v>
      </c>
      <c r="Y41" s="11">
        <f>IF(((W41 - '2026-2027 means'!F$2) / '2026-2027 means'!S$2) * (V41 / '2026-2027 means'!D$2) &lt; -2, -2, ((W41 - '2026-2027 means'!F$2) / '2026-2027 means'!S$2) * (V41 / '2026-2027 means'!D$2))</f>
        <v>-0.33936883367371901</v>
      </c>
      <c r="Z41" s="7">
        <f>(J41-'2026-2027 means'!G$2)/'2026-2027 means'!T$2</f>
        <v>-0.17588275840671705</v>
      </c>
      <c r="AA41" s="7">
        <f>(K41-'2026-2027 means'!H$2)/'2026-2027 means'!U$2</f>
        <v>0.83344154490164946</v>
      </c>
      <c r="AB41" s="7">
        <f>(L41-'2026-2027 means'!I$2)/'2026-2027 means'!V$2</f>
        <v>0.2138611229488446</v>
      </c>
      <c r="AC41" s="7">
        <f>(M41-'2026-2027 means'!J$2)/'2026-2027 means'!W$2</f>
        <v>1.9365899495406578</v>
      </c>
      <c r="AD41" s="7">
        <f>(N41-'2026-2027 means'!K$2)/'2026-2027 means'!X$2</f>
        <v>-4.818821706617768E-2</v>
      </c>
      <c r="AE41" s="7">
        <f>(O41-'2026-2027 means'!L$2)/'2026-2027 means'!Y$2</f>
        <v>-0.36262847148104194</v>
      </c>
      <c r="AF41" s="7">
        <f>IF(((P41 - '2026-2027 means'!M$2) / '2026-2027 means'!Z$2 * -1) &lt; -2, -2, (P41 - '2026-2027 means'!M$2) / '2026-2027 means'!Z$2 * -1)</f>
        <v>-1.5750958875914021</v>
      </c>
      <c r="AG41">
        <f t="shared" si="6"/>
        <v>1</v>
      </c>
      <c r="AH41">
        <f t="shared" si="7"/>
        <v>2</v>
      </c>
      <c r="AI41" s="8">
        <f t="shared" si="8"/>
        <v>0.5</v>
      </c>
      <c r="AJ41" s="8" t="e" vm="1">
        <f t="shared" ca="1" si="9"/>
        <v>#NAME?</v>
      </c>
      <c r="AK41" s="8" t="str">
        <f t="shared" si="10"/>
        <v>, FT%, 3PM, STL, BLK, TO</v>
      </c>
      <c r="AL41" t="str">
        <f t="shared" si="11"/>
        <v/>
      </c>
      <c r="AM41" t="str">
        <f t="shared" si="12"/>
        <v>, AST</v>
      </c>
      <c r="AN41" t="str">
        <f t="shared" si="13"/>
        <v>FG%, PTS, TREB</v>
      </c>
      <c r="AO41" t="str">
        <f t="shared" si="14"/>
        <v>, FT%, 3PM, STL, BLK, TO</v>
      </c>
      <c r="AP41">
        <f>VLOOKUP(B41,'2025-2026 actuals'!B:Q,16,FALSE)</f>
        <v>43</v>
      </c>
      <c r="AQ41" s="7">
        <f t="shared" si="15"/>
        <v>1.3294550796304352</v>
      </c>
      <c r="AR41">
        <f t="shared" si="16"/>
        <v>52</v>
      </c>
    </row>
    <row r="42" spans="1:44" ht="18">
      <c r="A42" s="3">
        <f t="shared" si="3"/>
        <v>29</v>
      </c>
      <c r="B42" s="41" t="s">
        <v>84</v>
      </c>
      <c r="C42" s="1">
        <f t="shared" si="4"/>
        <v>29</v>
      </c>
      <c r="D42" s="1">
        <f t="shared" si="18"/>
        <v>36</v>
      </c>
      <c r="E42" s="1">
        <f>VLOOKUP(B42,'2026-2027 adp'!A:C,3,FALSE)</f>
        <v>45.1</v>
      </c>
      <c r="F42" s="1">
        <f t="shared" si="0"/>
        <v>16.100000000000001</v>
      </c>
      <c r="G42" s="1" t="s">
        <v>369</v>
      </c>
      <c r="H42" s="22" t="s">
        <v>506</v>
      </c>
      <c r="I42" s="22" t="s">
        <v>507</v>
      </c>
      <c r="J42" s="42">
        <v>3.1</v>
      </c>
      <c r="K42" s="42">
        <v>16.5</v>
      </c>
      <c r="L42" s="42">
        <v>4.5</v>
      </c>
      <c r="M42" s="42">
        <v>5.0999999999999996</v>
      </c>
      <c r="N42" s="42">
        <v>1.1000000000000001</v>
      </c>
      <c r="O42" s="42">
        <v>1.2</v>
      </c>
      <c r="P42" s="42">
        <v>1.7</v>
      </c>
      <c r="Q42" s="43">
        <v>3.96</v>
      </c>
      <c r="R42" s="42">
        <v>5.7</v>
      </c>
      <c r="S42" s="42">
        <v>13.6</v>
      </c>
      <c r="T42">
        <f t="shared" si="1"/>
        <v>0.41911764705882354</v>
      </c>
      <c r="U42" s="42">
        <v>2.1</v>
      </c>
      <c r="V42" s="42">
        <v>2.4</v>
      </c>
      <c r="W42">
        <f t="shared" si="2"/>
        <v>0.87500000000000011</v>
      </c>
      <c r="X42" s="7">
        <f>IF(((T42 - '2026-2027 means'!E$2) / '2026-2027 means'!R$2) * (S42 / '2026-2027 means'!B$2) / 2 &lt; -2, -2, ((T42 - '2026-2027 means'!E$2) / '2026-2027 means'!R$2) * (S42 / '2026-2027 means'!B$2) / 2)</f>
        <v>-1.5913166552742719</v>
      </c>
      <c r="Y42" s="11">
        <f>IF(((W42 - '2026-2027 means'!F$2) / '2026-2027 means'!S$2) * (V42 / '2026-2027 means'!D$2) &lt; -2, -2, ((W42 - '2026-2027 means'!F$2) / '2026-2027 means'!S$2) * (V42 / '2026-2027 means'!D$2))</f>
        <v>0.66820905594127111</v>
      </c>
      <c r="Z42" s="7">
        <f>(J42-'2026-2027 means'!G$2)/'2026-2027 means'!T$2</f>
        <v>1.5075665006289996</v>
      </c>
      <c r="AA42" s="7">
        <f>(K42-'2026-2027 means'!H$2)/'2026-2027 means'!U$2</f>
        <v>0.11413911326788793</v>
      </c>
      <c r="AB42" s="7">
        <f>(L42-'2026-2027 means'!I$2)/'2026-2027 means'!V$2</f>
        <v>-0.49355751898358713</v>
      </c>
      <c r="AC42" s="7">
        <f>(M42-'2026-2027 means'!J$2)/'2026-2027 means'!W$2</f>
        <v>0.74905110662694752</v>
      </c>
      <c r="AD42" s="7">
        <f>(N42-'2026-2027 means'!K$2)/'2026-2027 means'!X$2</f>
        <v>0.24532183233688692</v>
      </c>
      <c r="AE42" s="7">
        <f>(O42-'2026-2027 means'!L$2)/'2026-2027 means'!Y$2</f>
        <v>1.0585923067190279</v>
      </c>
      <c r="AF42" s="7">
        <f>IF(((P42 - '2026-2027 means'!M$2) / '2026-2027 means'!Z$2 * -1) &lt; -2, -2, (P42 - '2026-2027 means'!M$2) / '2026-2027 means'!Z$2 * -1)</f>
        <v>0.19892374787253581</v>
      </c>
      <c r="AG42">
        <f t="shared" si="6"/>
        <v>2</v>
      </c>
      <c r="AH42">
        <f t="shared" si="7"/>
        <v>2</v>
      </c>
      <c r="AI42" s="8">
        <f t="shared" si="8"/>
        <v>1</v>
      </c>
      <c r="AJ42" s="8" t="e" vm="1">
        <f t="shared" ca="1" si="9"/>
        <v>#NAME?</v>
      </c>
      <c r="AK42" s="8" t="str">
        <f t="shared" si="10"/>
        <v>FG%, TREB</v>
      </c>
      <c r="AL42" t="str">
        <f t="shared" si="11"/>
        <v/>
      </c>
      <c r="AM42" t="str">
        <f t="shared" si="12"/>
        <v>, 3PM, BLK</v>
      </c>
      <c r="AN42" t="str">
        <f t="shared" si="13"/>
        <v>, FT%, PTS, AST, STL, TO</v>
      </c>
      <c r="AO42" t="str">
        <f t="shared" si="14"/>
        <v>FG%, TREB</v>
      </c>
      <c r="AP42">
        <f>VLOOKUP(B42,'2025-2026 actuals'!B:Q,16,FALSE)</f>
        <v>36</v>
      </c>
      <c r="AQ42" s="7">
        <f t="shared" si="15"/>
        <v>2.4569294891356974</v>
      </c>
      <c r="AR42">
        <f t="shared" si="16"/>
        <v>29</v>
      </c>
    </row>
    <row r="43" spans="1:44" ht="18">
      <c r="A43" s="3">
        <f t="shared" si="3"/>
        <v>66</v>
      </c>
      <c r="B43" s="41" t="s">
        <v>86</v>
      </c>
      <c r="C43" s="1">
        <f t="shared" si="4"/>
        <v>66</v>
      </c>
      <c r="D43" s="1">
        <f t="shared" si="18"/>
        <v>46</v>
      </c>
      <c r="E43" s="1">
        <f>VLOOKUP(B43,'2026-2027 adp'!A:C,3,FALSE)</f>
        <v>67.8</v>
      </c>
      <c r="F43" s="1">
        <f t="shared" si="0"/>
        <v>1.7999999999999972</v>
      </c>
      <c r="G43" s="1" t="s">
        <v>369</v>
      </c>
      <c r="H43" s="22" t="s">
        <v>508</v>
      </c>
      <c r="I43" s="22" t="s">
        <v>509</v>
      </c>
      <c r="J43" s="42">
        <v>1.5</v>
      </c>
      <c r="K43" s="42">
        <v>16.899999999999999</v>
      </c>
      <c r="L43" s="42">
        <v>6</v>
      </c>
      <c r="M43" s="42">
        <v>6.5</v>
      </c>
      <c r="N43" s="42">
        <v>1.7</v>
      </c>
      <c r="O43" s="42">
        <v>0.3</v>
      </c>
      <c r="P43" s="42">
        <v>3.3</v>
      </c>
      <c r="Q43" s="43">
        <v>3.94</v>
      </c>
      <c r="R43" s="42">
        <v>6.2</v>
      </c>
      <c r="S43" s="42">
        <v>13.5</v>
      </c>
      <c r="T43">
        <f t="shared" si="1"/>
        <v>0.45925925925925926</v>
      </c>
      <c r="U43" s="42">
        <v>3.1</v>
      </c>
      <c r="V43" s="42">
        <v>3.7</v>
      </c>
      <c r="W43">
        <f t="shared" si="2"/>
        <v>0.83783783783783783</v>
      </c>
      <c r="X43" s="7">
        <f>IF(((T43 - '2026-2027 means'!E$2) / '2026-2027 means'!R$2) * (S43 / '2026-2027 means'!B$2) / 2 &lt; -2, -2, ((T43 - '2026-2027 means'!E$2) / '2026-2027 means'!R$2) * (S43 / '2026-2027 means'!B$2) / 2)</f>
        <v>-0.58192206601328311</v>
      </c>
      <c r="Y43" s="11">
        <f>IF(((W43 - '2026-2027 means'!F$2) / '2026-2027 means'!S$2) * (V43 / '2026-2027 means'!D$2) &lt; -2, -2, ((W43 - '2026-2027 means'!F$2) / '2026-2027 means'!S$2) * (V43 / '2026-2027 means'!D$2))</f>
        <v>0.55213878165316654</v>
      </c>
      <c r="Z43" s="7">
        <f>(J43-'2026-2027 means'!G$2)/'2026-2027 means'!T$2</f>
        <v>-0.17588275840671705</v>
      </c>
      <c r="AA43" s="7">
        <f>(K43-'2026-2027 means'!H$2)/'2026-2027 means'!U$2</f>
        <v>0.18985515870302044</v>
      </c>
      <c r="AB43" s="7">
        <f>(L43-'2026-2027 means'!I$2)/'2026-2027 means'!V$2</f>
        <v>0.13063540036855845</v>
      </c>
      <c r="AC43" s="7">
        <f>(M43-'2026-2027 means'!J$2)/'2026-2027 means'!W$2</f>
        <v>1.4719008370961624</v>
      </c>
      <c r="AD43" s="7">
        <f>(N43-'2026-2027 means'!K$2)/'2026-2027 means'!X$2</f>
        <v>2.0063821287552726</v>
      </c>
      <c r="AE43" s="7">
        <f>(O43-'2026-2027 means'!L$2)/'2026-2027 means'!Y$2</f>
        <v>-0.76869155096677622</v>
      </c>
      <c r="AF43" s="7">
        <f>IF(((P43 - '2026-2027 means'!M$2) / '2026-2027 means'!Z$2 * -1) &lt; -2, -2, (P43 - '2026-2027 means'!M$2) / '2026-2027 means'!Z$2 * -1)</f>
        <v>-1.984485034236926</v>
      </c>
      <c r="AG43">
        <f t="shared" si="6"/>
        <v>2</v>
      </c>
      <c r="AH43">
        <f t="shared" si="7"/>
        <v>2</v>
      </c>
      <c r="AI43" s="8">
        <f t="shared" si="8"/>
        <v>1</v>
      </c>
      <c r="AJ43" s="8" t="e" vm="1">
        <f t="shared" ca="1" si="9"/>
        <v>#NAME?</v>
      </c>
      <c r="AK43" s="8" t="str">
        <f t="shared" si="10"/>
        <v>FG%, 3PM, BLK, TO</v>
      </c>
      <c r="AL43" t="str">
        <f t="shared" si="11"/>
        <v>, STL</v>
      </c>
      <c r="AM43" t="str">
        <f t="shared" si="12"/>
        <v>, AST</v>
      </c>
      <c r="AN43" t="str">
        <f t="shared" si="13"/>
        <v>, FT%, PTS, TREB</v>
      </c>
      <c r="AO43" t="str">
        <f t="shared" si="14"/>
        <v>FG%, 3PM, BLK, TO</v>
      </c>
      <c r="AP43">
        <f>VLOOKUP(B43,'2025-2026 actuals'!B:Q,16,FALSE)</f>
        <v>46</v>
      </c>
      <c r="AQ43" s="7">
        <f t="shared" si="15"/>
        <v>0.83993089695247791</v>
      </c>
      <c r="AR43">
        <f t="shared" si="16"/>
        <v>66</v>
      </c>
    </row>
    <row r="44" spans="1:44" ht="18">
      <c r="A44" s="3">
        <f t="shared" si="3"/>
        <v>50</v>
      </c>
      <c r="B44" s="41" t="s">
        <v>67</v>
      </c>
      <c r="C44" s="1">
        <f t="shared" si="4"/>
        <v>50</v>
      </c>
      <c r="D44" s="1">
        <f t="shared" si="18"/>
        <v>44</v>
      </c>
      <c r="E44" s="1">
        <f>VLOOKUP(B44,'2026-2027 adp'!A:C,3,FALSE)</f>
        <v>21.3</v>
      </c>
      <c r="F44" s="1">
        <f t="shared" si="0"/>
        <v>-28.7</v>
      </c>
      <c r="G44" s="1"/>
      <c r="H44" s="22" t="s">
        <v>927</v>
      </c>
      <c r="I44" s="22" t="s">
        <v>510</v>
      </c>
      <c r="J44" s="42">
        <v>2.5</v>
      </c>
      <c r="K44" s="42">
        <v>25.5</v>
      </c>
      <c r="L44" s="42">
        <v>3.1</v>
      </c>
      <c r="M44" s="42">
        <v>6.9</v>
      </c>
      <c r="N44" s="42">
        <v>0.8</v>
      </c>
      <c r="O44" s="42">
        <v>0.1</v>
      </c>
      <c r="P44" s="42">
        <v>2.4</v>
      </c>
      <c r="Q44" s="43">
        <v>3.93</v>
      </c>
      <c r="R44" s="42">
        <v>9</v>
      </c>
      <c r="S44" s="42">
        <v>18.899999999999999</v>
      </c>
      <c r="T44">
        <f t="shared" si="1"/>
        <v>0.47619047619047622</v>
      </c>
      <c r="U44" s="42">
        <v>5.0999999999999996</v>
      </c>
      <c r="V44" s="42">
        <v>6.1</v>
      </c>
      <c r="W44">
        <f t="shared" si="2"/>
        <v>0.83606557377049184</v>
      </c>
      <c r="X44" s="7">
        <f>IF(((T44 - '2026-2027 means'!E$2) / '2026-2027 means'!R$2) * (S44 / '2026-2027 means'!B$2) / 2 &lt; -2, -2, ((T44 - '2026-2027 means'!E$2) / '2026-2027 means'!R$2) * (S44 / '2026-2027 means'!B$2) / 2)</f>
        <v>-0.22555071338263213</v>
      </c>
      <c r="Y44" s="11">
        <f>IF(((W44 - '2026-2027 means'!F$2) / '2026-2027 means'!S$2) * (V44 / '2026-2027 means'!D$2) &lt; -2, -2, ((W44 - '2026-2027 means'!F$2) / '2026-2027 means'!S$2) * (V44 / '2026-2027 means'!D$2))</f>
        <v>0.87269922213531625</v>
      </c>
      <c r="Z44" s="7">
        <f>(J44-'2026-2027 means'!G$2)/'2026-2027 means'!T$2</f>
        <v>0.87627302849060573</v>
      </c>
      <c r="AA44" s="7">
        <f>(K44-'2026-2027 means'!H$2)/'2026-2027 means'!U$2</f>
        <v>1.8177501355583754</v>
      </c>
      <c r="AB44" s="7">
        <f>(L44-'2026-2027 means'!I$2)/'2026-2027 means'!V$2</f>
        <v>-1.0761375770455897</v>
      </c>
      <c r="AC44" s="7">
        <f>(M44-'2026-2027 means'!J$2)/'2026-2027 means'!W$2</f>
        <v>1.6784293315159382</v>
      </c>
      <c r="AD44" s="7">
        <f>(N44-'2026-2027 means'!K$2)/'2026-2027 means'!X$2</f>
        <v>-0.6352083158723062</v>
      </c>
      <c r="AE44" s="7">
        <f>(O44-'2026-2027 means'!L$2)/'2026-2027 means'!Y$2</f>
        <v>-1.1747546304525105</v>
      </c>
      <c r="AF44" s="7">
        <f>IF(((P44 - '2026-2027 means'!M$2) / '2026-2027 means'!Z$2 * -1) &lt; -2, -2, (P44 - '2026-2027 means'!M$2) / '2026-2027 means'!Z$2 * -1)</f>
        <v>-0.75631759430035372</v>
      </c>
      <c r="AG44">
        <f t="shared" si="6"/>
        <v>2</v>
      </c>
      <c r="AH44">
        <f t="shared" si="7"/>
        <v>3</v>
      </c>
      <c r="AI44" s="8">
        <f t="shared" si="8"/>
        <v>0.66666666666666663</v>
      </c>
      <c r="AJ44" s="8" t="e" vm="1">
        <f t="shared" ca="1" si="9"/>
        <v>#NAME?</v>
      </c>
      <c r="AK44" s="8" t="str">
        <f t="shared" si="10"/>
        <v>FG%, TREB, STL, BLK, TO</v>
      </c>
      <c r="AL44" t="str">
        <f t="shared" si="11"/>
        <v/>
      </c>
      <c r="AM44" t="str">
        <f t="shared" si="12"/>
        <v>, PTS, AST</v>
      </c>
      <c r="AN44" t="str">
        <f t="shared" si="13"/>
        <v>, FT%, 3PM</v>
      </c>
      <c r="AO44" t="str">
        <f t="shared" si="14"/>
        <v>FG%, TREB, STL, BLK, TO</v>
      </c>
      <c r="AP44">
        <f>VLOOKUP(B44,'2025-2026 actuals'!B:Q,16,FALSE)</f>
        <v>44</v>
      </c>
      <c r="AQ44" s="7">
        <f t="shared" si="15"/>
        <v>1.3771828866468436</v>
      </c>
      <c r="AR44">
        <f t="shared" si="16"/>
        <v>50</v>
      </c>
    </row>
    <row r="45" spans="1:44" ht="18">
      <c r="A45" s="3">
        <f t="shared" si="3"/>
        <v>45</v>
      </c>
      <c r="B45" s="41" t="s">
        <v>297</v>
      </c>
      <c r="C45" s="1">
        <f t="shared" si="4"/>
        <v>45</v>
      </c>
      <c r="D45" s="1">
        <f t="shared" si="18"/>
        <v>31</v>
      </c>
      <c r="E45" s="1">
        <f>VLOOKUP(B45,'2026-2027 adp'!A:C,3,FALSE)</f>
        <v>61.5</v>
      </c>
      <c r="F45" s="1">
        <f t="shared" si="0"/>
        <v>16.5</v>
      </c>
      <c r="G45" s="1"/>
      <c r="H45" s="22" t="s">
        <v>511</v>
      </c>
      <c r="I45" s="22" t="s">
        <v>512</v>
      </c>
      <c r="J45" s="42">
        <v>3</v>
      </c>
      <c r="K45" s="42">
        <v>19.600000000000001</v>
      </c>
      <c r="L45" s="42">
        <v>3.8</v>
      </c>
      <c r="M45" s="42">
        <v>3.6</v>
      </c>
      <c r="N45" s="42">
        <v>1.1000000000000001</v>
      </c>
      <c r="O45" s="42">
        <v>0.5</v>
      </c>
      <c r="P45" s="42">
        <v>1.9</v>
      </c>
      <c r="Q45" s="43">
        <v>3.86</v>
      </c>
      <c r="R45" s="42">
        <v>6.5</v>
      </c>
      <c r="S45" s="42">
        <v>14.2</v>
      </c>
      <c r="T45">
        <f t="shared" si="1"/>
        <v>0.45774647887323944</v>
      </c>
      <c r="U45" s="42">
        <v>3.6</v>
      </c>
      <c r="V45" s="42">
        <v>4.0999999999999996</v>
      </c>
      <c r="W45">
        <f t="shared" si="2"/>
        <v>0.87804878048780499</v>
      </c>
      <c r="X45" s="7">
        <f>IF(((T45 - '2026-2027 means'!E$2) / '2026-2027 means'!R$2) * (S45 / '2026-2027 means'!B$2) / 2 &lt; -2, -2, ((T45 - '2026-2027 means'!E$2) / '2026-2027 means'!R$2) * (S45 / '2026-2027 means'!B$2) / 2)</f>
        <v>-0.65164456478814514</v>
      </c>
      <c r="Y45" s="11">
        <f>IF(((W45 - '2026-2027 means'!F$2) / '2026-2027 means'!S$2) * (V45 / '2026-2027 means'!D$2) &lt; -2, -2, ((W45 - '2026-2027 means'!F$2) / '2026-2027 means'!S$2) * (V45 / '2026-2027 means'!D$2))</f>
        <v>1.1849798808320617</v>
      </c>
      <c r="Z45" s="7">
        <f>(J45-'2026-2027 means'!G$2)/'2026-2027 means'!T$2</f>
        <v>1.4023509219392671</v>
      </c>
      <c r="AA45" s="7">
        <f>(K45-'2026-2027 means'!H$2)/'2026-2027 means'!U$2</f>
        <v>0.70093846539016724</v>
      </c>
      <c r="AB45" s="7">
        <f>(L45-'2026-2027 means'!I$2)/'2026-2027 means'!V$2</f>
        <v>-0.78484754801458845</v>
      </c>
      <c r="AC45" s="7">
        <f>(M45-'2026-2027 means'!J$2)/'2026-2027 means'!W$2</f>
        <v>-2.5430747447210897E-2</v>
      </c>
      <c r="AD45" s="7">
        <f>(N45-'2026-2027 means'!K$2)/'2026-2027 means'!X$2</f>
        <v>0.24532183233688692</v>
      </c>
      <c r="AE45" s="7">
        <f>(O45-'2026-2027 means'!L$2)/'2026-2027 means'!Y$2</f>
        <v>-0.36262847148104194</v>
      </c>
      <c r="AF45" s="7">
        <f>IF(((P45 - '2026-2027 means'!M$2) / '2026-2027 means'!Z$2 * -1) &lt; -2, -2, (P45 - '2026-2027 means'!M$2) / '2026-2027 means'!Z$2 * -1)</f>
        <v>-7.4002349891146874E-2</v>
      </c>
      <c r="AG45">
        <f t="shared" si="6"/>
        <v>2</v>
      </c>
      <c r="AH45">
        <f t="shared" si="7"/>
        <v>3</v>
      </c>
      <c r="AI45" s="8">
        <f t="shared" si="8"/>
        <v>0.66666666666666663</v>
      </c>
      <c r="AJ45" s="8" t="e" vm="1">
        <f t="shared" ca="1" si="9"/>
        <v>#NAME?</v>
      </c>
      <c r="AK45" s="8" t="str">
        <f t="shared" si="10"/>
        <v>FG%, TREB, AST, BLK, TO</v>
      </c>
      <c r="AL45" t="str">
        <f t="shared" si="11"/>
        <v/>
      </c>
      <c r="AM45" t="str">
        <f t="shared" si="12"/>
        <v>, FT%, 3PM</v>
      </c>
      <c r="AN45" t="str">
        <f t="shared" si="13"/>
        <v>, PTS, STL</v>
      </c>
      <c r="AO45" t="str">
        <f t="shared" si="14"/>
        <v>FG%, TREB, AST, BLK, TO</v>
      </c>
      <c r="AP45">
        <f>VLOOKUP(B45,'2025-2026 actuals'!B:Q,16,FALSE)</f>
        <v>31</v>
      </c>
      <c r="AQ45" s="7">
        <f t="shared" si="15"/>
        <v>1.63503741887625</v>
      </c>
      <c r="AR45">
        <f t="shared" si="16"/>
        <v>45</v>
      </c>
    </row>
    <row r="46" spans="1:44" ht="18">
      <c r="A46" s="3">
        <f t="shared" si="3"/>
        <v>38</v>
      </c>
      <c r="B46" s="41" t="s">
        <v>111</v>
      </c>
      <c r="C46" s="1">
        <f t="shared" si="4"/>
        <v>38</v>
      </c>
      <c r="D46" s="1">
        <f t="shared" si="18"/>
        <v>83</v>
      </c>
      <c r="E46" s="1">
        <f>VLOOKUP(B46,'2026-2027 adp'!A:C,3,FALSE)</f>
        <v>51.8</v>
      </c>
      <c r="F46" s="1">
        <f t="shared" si="0"/>
        <v>13.799999999999997</v>
      </c>
      <c r="G46" s="1"/>
      <c r="H46" s="22" t="s">
        <v>513</v>
      </c>
      <c r="I46" s="22" t="s">
        <v>514</v>
      </c>
      <c r="J46" s="42">
        <v>1.6</v>
      </c>
      <c r="K46" s="42">
        <v>23.2</v>
      </c>
      <c r="L46" s="42">
        <v>5.6</v>
      </c>
      <c r="M46" s="42">
        <v>4.3</v>
      </c>
      <c r="N46" s="42">
        <v>1.2</v>
      </c>
      <c r="O46" s="42">
        <v>0.4</v>
      </c>
      <c r="P46" s="42">
        <v>2.1</v>
      </c>
      <c r="Q46" s="43">
        <v>3.81</v>
      </c>
      <c r="R46" s="42">
        <v>8.4</v>
      </c>
      <c r="S46" s="42">
        <v>18</v>
      </c>
      <c r="T46">
        <f t="shared" si="1"/>
        <v>0.46666666666666667</v>
      </c>
      <c r="U46" s="42">
        <v>4.7</v>
      </c>
      <c r="V46" s="42">
        <v>5.5</v>
      </c>
      <c r="W46">
        <f t="shared" si="2"/>
        <v>0.85454545454545461</v>
      </c>
      <c r="X46" s="7">
        <f>IF(((T46 - '2026-2027 means'!E$2) / '2026-2027 means'!R$2) * (S46 / '2026-2027 means'!B$2) / 2 &lt; -2, -2, ((T46 - '2026-2027 means'!E$2) / '2026-2027 means'!R$2) * (S46 / '2026-2027 means'!B$2) / 2)</f>
        <v>-0.53042101341939263</v>
      </c>
      <c r="Y46" s="11">
        <f>IF(((W46 - '2026-2027 means'!F$2) / '2026-2027 means'!S$2) * (V46 / '2026-2027 means'!D$2) &lt; -2, -2, ((W46 - '2026-2027 means'!F$2) / '2026-2027 means'!S$2) * (V46 / '2026-2027 means'!D$2))</f>
        <v>1.1402077274739006</v>
      </c>
      <c r="Z46" s="7">
        <f>(J46-'2026-2027 means'!G$2)/'2026-2027 means'!T$2</f>
        <v>-7.066717971698469E-2</v>
      </c>
      <c r="AA46" s="7">
        <f>(K46-'2026-2027 means'!H$2)/'2026-2027 means'!U$2</f>
        <v>1.3823828743063618</v>
      </c>
      <c r="AB46" s="7">
        <f>(L46-'2026-2027 means'!I$2)/'2026-2027 means'!V$2</f>
        <v>-3.5816044792013849E-2</v>
      </c>
      <c r="AC46" s="7">
        <f>(M46-'2026-2027 means'!J$2)/'2026-2027 means'!W$2</f>
        <v>0.3359941177873963</v>
      </c>
      <c r="AD46" s="7">
        <f>(N46-'2026-2027 means'!K$2)/'2026-2027 means'!X$2</f>
        <v>0.53883188173995089</v>
      </c>
      <c r="AE46" s="7">
        <f>(O46-'2026-2027 means'!L$2)/'2026-2027 means'!Y$2</f>
        <v>-0.56566001122390897</v>
      </c>
      <c r="AF46" s="7">
        <f>IF(((P46 - '2026-2027 means'!M$2) / '2026-2027 means'!Z$2 * -1) &lt; -2, -2, (P46 - '2026-2027 means'!M$2) / '2026-2027 means'!Z$2 * -1)</f>
        <v>-0.34692844765482989</v>
      </c>
      <c r="AG46">
        <f t="shared" si="6"/>
        <v>2</v>
      </c>
      <c r="AH46">
        <f t="shared" si="7"/>
        <v>2</v>
      </c>
      <c r="AI46" s="8">
        <f t="shared" si="8"/>
        <v>1</v>
      </c>
      <c r="AJ46" s="8" t="e" vm="1">
        <f t="shared" ca="1" si="9"/>
        <v>#NAME?</v>
      </c>
      <c r="AK46" s="8" t="str">
        <f t="shared" si="10"/>
        <v>FG%, 3PM, TREB, BLK, TO</v>
      </c>
      <c r="AL46" t="str">
        <f t="shared" si="11"/>
        <v/>
      </c>
      <c r="AM46" t="str">
        <f t="shared" si="12"/>
        <v>, FT%, PTS</v>
      </c>
      <c r="AN46" t="str">
        <f t="shared" si="13"/>
        <v>, AST, STL</v>
      </c>
      <c r="AO46" t="str">
        <f t="shared" si="14"/>
        <v>FG%, 3PM, TREB, BLK, TO</v>
      </c>
      <c r="AP46">
        <f>VLOOKUP(B46,'2025-2026 actuals'!B:Q,16,FALSE)</f>
        <v>83</v>
      </c>
      <c r="AQ46" s="7">
        <f t="shared" si="15"/>
        <v>1.8479239045004796</v>
      </c>
      <c r="AR46">
        <f t="shared" si="16"/>
        <v>38</v>
      </c>
    </row>
    <row r="47" spans="1:44" ht="18">
      <c r="A47" s="3">
        <f t="shared" si="3"/>
        <v>44</v>
      </c>
      <c r="B47" s="41" t="s">
        <v>137</v>
      </c>
      <c r="C47" s="1">
        <f t="shared" si="4"/>
        <v>44</v>
      </c>
      <c r="D47" s="1">
        <f t="shared" si="18"/>
        <v>47</v>
      </c>
      <c r="E47" s="1">
        <f>VLOOKUP(B47,'2026-2027 adp'!A:C,3,FALSE)</f>
        <v>68.7</v>
      </c>
      <c r="F47" s="1">
        <f t="shared" si="0"/>
        <v>24.700000000000003</v>
      </c>
      <c r="G47" s="1"/>
      <c r="H47" s="22" t="s">
        <v>515</v>
      </c>
      <c r="I47" s="22" t="s">
        <v>516</v>
      </c>
      <c r="J47" s="42">
        <v>2.9</v>
      </c>
      <c r="K47" s="42">
        <v>22.4</v>
      </c>
      <c r="L47" s="42">
        <v>4.8</v>
      </c>
      <c r="M47" s="42">
        <v>4.8</v>
      </c>
      <c r="N47" s="42">
        <v>0.8</v>
      </c>
      <c r="O47" s="42">
        <v>0.3</v>
      </c>
      <c r="P47" s="42">
        <v>2.2000000000000002</v>
      </c>
      <c r="Q47" s="43">
        <v>3.8</v>
      </c>
      <c r="R47" s="42">
        <v>8.1</v>
      </c>
      <c r="S47" s="42">
        <v>17.3</v>
      </c>
      <c r="T47">
        <f t="shared" si="1"/>
        <v>0.46820809248554907</v>
      </c>
      <c r="U47" s="42">
        <v>3.3</v>
      </c>
      <c r="V47" s="42">
        <v>3.7</v>
      </c>
      <c r="W47">
        <f t="shared" si="2"/>
        <v>0.89189189189189177</v>
      </c>
      <c r="X47" s="7">
        <f>IF(((T47 - '2026-2027 means'!E$2) / '2026-2027 means'!R$2) * (S47 / '2026-2027 means'!B$2) / 2 &lt; -2, -2, ((T47 - '2026-2027 means'!E$2) / '2026-2027 means'!R$2) * (S47 / '2026-2027 means'!B$2) / 2)</f>
        <v>-0.46069851464453271</v>
      </c>
      <c r="Y47" s="11">
        <f>IF(((W47 - '2026-2027 means'!F$2) / '2026-2027 means'!S$2) * (V47 / '2026-2027 means'!D$2) &lt; -2, -2, ((W47 - '2026-2027 means'!F$2) / '2026-2027 means'!S$2) * (V47 / '2026-2027 means'!D$2))</f>
        <v>1.2474360125714077</v>
      </c>
      <c r="Z47" s="7">
        <f>(J47-'2026-2027 means'!G$2)/'2026-2027 means'!T$2</f>
        <v>1.2971353432495347</v>
      </c>
      <c r="AA47" s="7">
        <f>(K47-'2026-2027 means'!H$2)/'2026-2027 means'!U$2</f>
        <v>1.2309507834360962</v>
      </c>
      <c r="AB47" s="7">
        <f>(L47-'2026-2027 means'!I$2)/'2026-2027 means'!V$2</f>
        <v>-0.36871893511315806</v>
      </c>
      <c r="AC47" s="7">
        <f>(M47-'2026-2027 means'!J$2)/'2026-2027 means'!W$2</f>
        <v>0.59415473581211586</v>
      </c>
      <c r="AD47" s="7">
        <f>(N47-'2026-2027 means'!K$2)/'2026-2027 means'!X$2</f>
        <v>-0.6352083158723062</v>
      </c>
      <c r="AE47" s="7">
        <f>(O47-'2026-2027 means'!L$2)/'2026-2027 means'!Y$2</f>
        <v>-0.76869155096677622</v>
      </c>
      <c r="AF47" s="7">
        <f>IF(((P47 - '2026-2027 means'!M$2) / '2026-2027 means'!Z$2 * -1) &lt; -2, -2, (P47 - '2026-2027 means'!M$2) / '2026-2027 means'!Z$2 * -1)</f>
        <v>-0.48339149653667135</v>
      </c>
      <c r="AG47">
        <f t="shared" si="6"/>
        <v>3</v>
      </c>
      <c r="AH47">
        <f t="shared" si="7"/>
        <v>4</v>
      </c>
      <c r="AI47" s="8">
        <f t="shared" si="8"/>
        <v>0.75</v>
      </c>
      <c r="AJ47" s="8" t="e" vm="1">
        <f t="shared" ca="1" si="9"/>
        <v>#NAME?</v>
      </c>
      <c r="AK47" s="8" t="str">
        <f t="shared" si="10"/>
        <v>FG%, TREB, STL, BLK, TO</v>
      </c>
      <c r="AL47" t="str">
        <f t="shared" si="11"/>
        <v/>
      </c>
      <c r="AM47" t="str">
        <f t="shared" si="12"/>
        <v>, FT%, 3PM, PTS</v>
      </c>
      <c r="AN47" t="str">
        <f t="shared" si="13"/>
        <v>, AST</v>
      </c>
      <c r="AO47" t="str">
        <f t="shared" si="14"/>
        <v>FG%, TREB, STL, BLK, TO</v>
      </c>
      <c r="AP47">
        <f>VLOOKUP(B47,'2025-2026 actuals'!B:Q,16,FALSE)</f>
        <v>47</v>
      </c>
      <c r="AQ47" s="7">
        <f t="shared" si="15"/>
        <v>1.6529680619357103</v>
      </c>
      <c r="AR47">
        <f t="shared" si="16"/>
        <v>44</v>
      </c>
    </row>
    <row r="48" spans="1:44" ht="18">
      <c r="A48" s="3">
        <f t="shared" si="3"/>
        <v>55</v>
      </c>
      <c r="B48" s="41" t="s">
        <v>288</v>
      </c>
      <c r="C48" s="1">
        <f t="shared" si="4"/>
        <v>55</v>
      </c>
      <c r="D48" s="1">
        <f t="shared" si="18"/>
        <v>65</v>
      </c>
      <c r="E48" s="1">
        <f>VLOOKUP(B48,'2026-2027 adp'!A:C,3,FALSE)</f>
        <v>65.7</v>
      </c>
      <c r="F48" s="1">
        <f t="shared" si="0"/>
        <v>10.700000000000003</v>
      </c>
      <c r="G48" s="1"/>
      <c r="H48" s="22" t="s">
        <v>518</v>
      </c>
      <c r="I48" s="22" t="s">
        <v>519</v>
      </c>
      <c r="J48" s="42">
        <v>2.5</v>
      </c>
      <c r="K48" s="42">
        <v>17.3</v>
      </c>
      <c r="L48" s="42">
        <v>6.7</v>
      </c>
      <c r="M48" s="42">
        <v>2.4</v>
      </c>
      <c r="N48" s="42">
        <v>0.8</v>
      </c>
      <c r="O48" s="42">
        <v>1.7</v>
      </c>
      <c r="P48" s="42">
        <v>2.1</v>
      </c>
      <c r="Q48" s="43">
        <v>3.7</v>
      </c>
      <c r="R48" s="42">
        <v>6.2</v>
      </c>
      <c r="S48" s="42">
        <v>13.5</v>
      </c>
      <c r="T48">
        <f t="shared" si="1"/>
        <v>0.45925925925925926</v>
      </c>
      <c r="U48" s="42">
        <v>2.4</v>
      </c>
      <c r="V48" s="42">
        <v>3.1</v>
      </c>
      <c r="W48">
        <f t="shared" si="2"/>
        <v>0.77419354838709675</v>
      </c>
      <c r="X48" s="7">
        <f>IF(((T48 - '2026-2027 means'!E$2) / '2026-2027 means'!R$2) * (S48 / '2026-2027 means'!B$2) / 2 &lt; -2, -2, ((T48 - '2026-2027 means'!E$2) / '2026-2027 means'!R$2) * (S48 / '2026-2027 means'!B$2) / 2)</f>
        <v>-0.58192206601328311</v>
      </c>
      <c r="Y48" s="11">
        <f>IF(((W48 - '2026-2027 means'!F$2) / '2026-2027 means'!S$2) * (V48 / '2026-2027 means'!D$2) &lt; -2, -2, ((W48 - '2026-2027 means'!F$2) / '2026-2027 means'!S$2) * (V48 / '2026-2027 means'!D$2))</f>
        <v>-0.22329855938561347</v>
      </c>
      <c r="Z48" s="7">
        <f>(J48-'2026-2027 means'!G$2)/'2026-2027 means'!T$2</f>
        <v>0.87627302849060573</v>
      </c>
      <c r="AA48" s="7">
        <f>(K48-'2026-2027 means'!H$2)/'2026-2027 means'!U$2</f>
        <v>0.2655712041381536</v>
      </c>
      <c r="AB48" s="7">
        <f>(L48-'2026-2027 means'!I$2)/'2026-2027 means'!V$2</f>
        <v>0.42192542939955979</v>
      </c>
      <c r="AC48" s="7">
        <f>(M48-'2026-2027 means'!J$2)/'2026-2027 means'!W$2</f>
        <v>-0.64501623070653791</v>
      </c>
      <c r="AD48" s="7">
        <f>(N48-'2026-2027 means'!K$2)/'2026-2027 means'!X$2</f>
        <v>-0.6352083158723062</v>
      </c>
      <c r="AE48" s="7">
        <f>(O48-'2026-2027 means'!L$2)/'2026-2027 means'!Y$2</f>
        <v>2.073750005433364</v>
      </c>
      <c r="AF48" s="7">
        <f>IF(((P48 - '2026-2027 means'!M$2) / '2026-2027 means'!Z$2 * -1) &lt; -2, -2, (P48 - '2026-2027 means'!M$2) / '2026-2027 means'!Z$2 * -1)</f>
        <v>-0.34692844765482989</v>
      </c>
      <c r="AG48">
        <f t="shared" si="6"/>
        <v>1</v>
      </c>
      <c r="AH48">
        <f t="shared" si="7"/>
        <v>3</v>
      </c>
      <c r="AI48" s="8">
        <f t="shared" si="8"/>
        <v>0.33333333333333331</v>
      </c>
      <c r="AJ48" s="8" t="e" vm="1">
        <f t="shared" ca="1" si="9"/>
        <v>#NAME?</v>
      </c>
      <c r="AK48" s="8" t="str">
        <f t="shared" si="10"/>
        <v>FG%, FT%, AST, STL, TO</v>
      </c>
      <c r="AL48" t="str">
        <f t="shared" si="11"/>
        <v>, BLK</v>
      </c>
      <c r="AM48" t="str">
        <f t="shared" si="12"/>
        <v/>
      </c>
      <c r="AN48" t="str">
        <f t="shared" si="13"/>
        <v>, 3PM, PTS, TREB</v>
      </c>
      <c r="AO48" t="str">
        <f t="shared" si="14"/>
        <v>FG%, FT%, AST, STL, TO</v>
      </c>
      <c r="AP48">
        <f>VLOOKUP(B48,'2025-2026 actuals'!B:Q,16,FALSE)</f>
        <v>65</v>
      </c>
      <c r="AQ48" s="7">
        <f t="shared" si="15"/>
        <v>1.2051460478291127</v>
      </c>
      <c r="AR48">
        <f t="shared" si="16"/>
        <v>55</v>
      </c>
    </row>
    <row r="49" spans="1:44" ht="18">
      <c r="A49" s="3">
        <f t="shared" si="3"/>
        <v>57</v>
      </c>
      <c r="B49" s="41" t="s">
        <v>52</v>
      </c>
      <c r="C49" s="1">
        <f t="shared" si="4"/>
        <v>57</v>
      </c>
      <c r="D49" s="1">
        <f t="shared" si="18"/>
        <v>39</v>
      </c>
      <c r="E49" s="1">
        <f>VLOOKUP(B49,'2026-2027 adp'!A:C,3,FALSE)</f>
        <v>25.8</v>
      </c>
      <c r="F49" s="1">
        <f t="shared" si="0"/>
        <v>-31.2</v>
      </c>
      <c r="G49" s="1"/>
      <c r="H49" s="22" t="s">
        <v>521</v>
      </c>
      <c r="I49" s="22" t="s">
        <v>522</v>
      </c>
      <c r="J49" s="42">
        <v>2.9</v>
      </c>
      <c r="K49" s="42">
        <v>19.399999999999999</v>
      </c>
      <c r="L49" s="42">
        <v>4.5</v>
      </c>
      <c r="M49" s="42">
        <v>7.1</v>
      </c>
      <c r="N49" s="42">
        <v>1.3</v>
      </c>
      <c r="O49" s="42">
        <v>0.2</v>
      </c>
      <c r="P49" s="42">
        <v>2.8</v>
      </c>
      <c r="Q49" s="43">
        <v>3.65</v>
      </c>
      <c r="R49" s="42">
        <v>6.9</v>
      </c>
      <c r="S49" s="42">
        <v>16</v>
      </c>
      <c r="T49">
        <f t="shared" si="1"/>
        <v>0.43125000000000002</v>
      </c>
      <c r="U49" s="42">
        <v>2.7</v>
      </c>
      <c r="V49" s="42">
        <v>3.1</v>
      </c>
      <c r="W49">
        <f t="shared" si="2"/>
        <v>0.87096774193548387</v>
      </c>
      <c r="X49" s="7">
        <f>IF(((T49 - '2026-2027 means'!E$2) / '2026-2027 means'!R$2) * (S49 / '2026-2027 means'!B$2) / 2 &lt; -2, -2, ((T49 - '2026-2027 means'!E$2) / '2026-2027 means'!R$2) * (S49 / '2026-2027 means'!B$2) / 2)</f>
        <v>-1.5147544123045333</v>
      </c>
      <c r="Y49" s="11">
        <f>IF(((W49 - '2026-2027 means'!F$2) / '2026-2027 means'!S$2) * (V49 / '2026-2027 means'!D$2) &lt; -2, -2, ((W49 - '2026-2027 means'!F$2) / '2026-2027 means'!S$2) * (V49 / '2026-2027 means'!D$2))</f>
        <v>0.81964728699175071</v>
      </c>
      <c r="Z49" s="7">
        <f>(J49-'2026-2027 means'!G$2)/'2026-2027 means'!T$2</f>
        <v>1.2971353432495347</v>
      </c>
      <c r="AA49" s="7">
        <f>(K49-'2026-2027 means'!H$2)/'2026-2027 means'!U$2</f>
        <v>0.66308044267260025</v>
      </c>
      <c r="AB49" s="7">
        <f>(L49-'2026-2027 means'!I$2)/'2026-2027 means'!V$2</f>
        <v>-0.49355751898358713</v>
      </c>
      <c r="AC49" s="7">
        <f>(M49-'2026-2027 means'!J$2)/'2026-2027 means'!W$2</f>
        <v>1.7816935787258257</v>
      </c>
      <c r="AD49" s="7">
        <f>(N49-'2026-2027 means'!K$2)/'2026-2027 means'!X$2</f>
        <v>0.83234193114301547</v>
      </c>
      <c r="AE49" s="7">
        <f>(O49-'2026-2027 means'!L$2)/'2026-2027 means'!Y$2</f>
        <v>-0.97172309070964324</v>
      </c>
      <c r="AF49" s="7">
        <f>IF(((P49 - '2026-2027 means'!M$2) / '2026-2027 means'!Z$2 * -1) &lt; -2, -2, (P49 - '2026-2027 means'!M$2) / '2026-2027 means'!Z$2 * -1)</f>
        <v>-1.3021697898277191</v>
      </c>
      <c r="AG49">
        <f t="shared" si="6"/>
        <v>2</v>
      </c>
      <c r="AH49">
        <f t="shared" si="7"/>
        <v>3</v>
      </c>
      <c r="AI49" s="8">
        <f t="shared" si="8"/>
        <v>0.66666666666666663</v>
      </c>
      <c r="AJ49" s="8" t="e" vm="1">
        <f t="shared" ca="1" si="9"/>
        <v>#NAME?</v>
      </c>
      <c r="AK49" s="8" t="str">
        <f t="shared" si="10"/>
        <v>FG%, TREB, BLK, TO</v>
      </c>
      <c r="AL49" t="str">
        <f t="shared" si="11"/>
        <v/>
      </c>
      <c r="AM49" t="str">
        <f t="shared" si="12"/>
        <v>, 3PM, AST</v>
      </c>
      <c r="AN49" t="str">
        <f t="shared" si="13"/>
        <v>, FT%, PTS, STL</v>
      </c>
      <c r="AO49" t="str">
        <f t="shared" si="14"/>
        <v>FG%, TREB, BLK, TO</v>
      </c>
      <c r="AP49">
        <f>VLOOKUP(B49,'2025-2026 actuals'!B:Q,16,FALSE)</f>
        <v>39</v>
      </c>
      <c r="AQ49" s="7">
        <f t="shared" si="15"/>
        <v>1.1116937709572439</v>
      </c>
      <c r="AR49">
        <f t="shared" si="16"/>
        <v>57</v>
      </c>
    </row>
    <row r="50" spans="1:44" ht="18">
      <c r="A50" s="3">
        <f t="shared" si="3"/>
        <v>93</v>
      </c>
      <c r="B50" s="41" t="s">
        <v>16</v>
      </c>
      <c r="C50" s="1">
        <f t="shared" si="4"/>
        <v>93</v>
      </c>
      <c r="D50" s="1">
        <f t="shared" si="18"/>
        <v>14</v>
      </c>
      <c r="E50" s="1">
        <f>VLOOKUP(B50,'2026-2027 adp'!A:C,3,FALSE)</f>
        <v>50.3</v>
      </c>
      <c r="F50" s="1">
        <f t="shared" si="0"/>
        <v>-42.7</v>
      </c>
      <c r="G50" s="1"/>
      <c r="H50" s="22" t="s">
        <v>523</v>
      </c>
      <c r="I50" s="22" t="s">
        <v>524</v>
      </c>
      <c r="J50" s="42">
        <v>1.1000000000000001</v>
      </c>
      <c r="K50" s="42">
        <v>22.2</v>
      </c>
      <c r="L50" s="42">
        <v>7.5</v>
      </c>
      <c r="M50" s="42">
        <v>3</v>
      </c>
      <c r="N50" s="42">
        <v>0.5</v>
      </c>
      <c r="O50" s="42">
        <v>1</v>
      </c>
      <c r="P50" s="42">
        <v>2.9</v>
      </c>
      <c r="Q50" s="43">
        <v>3.5</v>
      </c>
      <c r="R50" s="42">
        <v>7.5</v>
      </c>
      <c r="S50" s="42">
        <v>15.9</v>
      </c>
      <c r="T50">
        <f t="shared" si="1"/>
        <v>0.47169811320754718</v>
      </c>
      <c r="U50" s="42">
        <v>6</v>
      </c>
      <c r="V50" s="42">
        <v>7</v>
      </c>
      <c r="W50">
        <f t="shared" si="2"/>
        <v>0.8571428571428571</v>
      </c>
      <c r="X50" s="7">
        <f>IF(((T50 - '2026-2027 means'!E$2) / '2026-2027 means'!R$2) * (S50 / '2026-2027 means'!B$2) / 2 &lt; -2, -2, ((T50 - '2026-2027 means'!E$2) / '2026-2027 means'!R$2) * (S50 / '2026-2027 means'!B$2) / 2)</f>
        <v>-0.32125351709480598</v>
      </c>
      <c r="Y50" s="11">
        <f>IF(((W50 - '2026-2027 means'!F$2) / '2026-2027 means'!S$2) * (V50 / '2026-2027 means'!D$2) &lt; -2, -2, ((W50 - '2026-2027 means'!F$2) / '2026-2027 means'!S$2) * (V50 / '2026-2027 means'!D$2))</f>
        <v>1.514382310504802</v>
      </c>
      <c r="Z50" s="7">
        <f>(J50-'2026-2027 means'!G$2)/'2026-2027 means'!T$2</f>
        <v>-0.59674507316564607</v>
      </c>
      <c r="AA50" s="7">
        <f>(K50-'2026-2027 means'!H$2)/'2026-2027 means'!U$2</f>
        <v>1.1930927607185298</v>
      </c>
      <c r="AB50" s="7">
        <f>(L50-'2026-2027 means'!I$2)/'2026-2027 means'!V$2</f>
        <v>0.75482831972070397</v>
      </c>
      <c r="AC50" s="7">
        <f>(M50-'2026-2027 means'!J$2)/'2026-2027 means'!W$2</f>
        <v>-0.33522348907687438</v>
      </c>
      <c r="AD50" s="7">
        <f>(N50-'2026-2027 means'!K$2)/'2026-2027 means'!X$2</f>
        <v>-1.5157384640814993</v>
      </c>
      <c r="AE50" s="7">
        <f>(O50-'2026-2027 means'!L$2)/'2026-2027 means'!Y$2</f>
        <v>0.65252922723329376</v>
      </c>
      <c r="AF50" s="7">
        <f>IF(((P50 - '2026-2027 means'!M$2) / '2026-2027 means'!Z$2 * -1) &lt; -2, -2, (P50 - '2026-2027 means'!M$2) / '2026-2027 means'!Z$2 * -1)</f>
        <v>-1.4386328387095606</v>
      </c>
      <c r="AG50">
        <f t="shared" si="6"/>
        <v>2</v>
      </c>
      <c r="AH50">
        <f t="shared" si="7"/>
        <v>4</v>
      </c>
      <c r="AI50" s="8">
        <f t="shared" si="8"/>
        <v>0.5</v>
      </c>
      <c r="AJ50" s="8" t="e" vm="1">
        <f t="shared" ca="1" si="9"/>
        <v>#NAME?</v>
      </c>
      <c r="AK50" s="8" t="str">
        <f t="shared" si="10"/>
        <v>FG%, 3PM, AST, STL, TO</v>
      </c>
      <c r="AL50" t="str">
        <f t="shared" si="11"/>
        <v/>
      </c>
      <c r="AM50" t="str">
        <f t="shared" si="12"/>
        <v>, FT%, PTS</v>
      </c>
      <c r="AN50" t="str">
        <f t="shared" si="13"/>
        <v>, TREB, BLK</v>
      </c>
      <c r="AO50" t="str">
        <f t="shared" si="14"/>
        <v>FG%, 3PM, AST, STL, TO</v>
      </c>
      <c r="AP50">
        <f>VLOOKUP(B50,'2025-2026 actuals'!B:Q,16,FALSE)</f>
        <v>14</v>
      </c>
      <c r="AQ50" s="7">
        <f t="shared" si="15"/>
        <v>-9.2760763951056369E-2</v>
      </c>
      <c r="AR50">
        <f t="shared" si="16"/>
        <v>93</v>
      </c>
    </row>
    <row r="51" spans="1:44" ht="18">
      <c r="A51" s="3">
        <f t="shared" si="3"/>
        <v>65</v>
      </c>
      <c r="B51" s="41" t="s">
        <v>105</v>
      </c>
      <c r="C51" s="1">
        <f t="shared" si="4"/>
        <v>65</v>
      </c>
      <c r="D51" s="1"/>
      <c r="E51" s="1">
        <f>VLOOKUP(B51,'2026-2027 adp'!A:C,3,FALSE)</f>
        <v>18.399999999999999</v>
      </c>
      <c r="F51" s="1">
        <f t="shared" si="0"/>
        <v>-46.6</v>
      </c>
      <c r="G51" s="1"/>
      <c r="H51" s="22" t="s">
        <v>525</v>
      </c>
      <c r="I51" s="22" t="s">
        <v>526</v>
      </c>
      <c r="J51" s="42">
        <v>0.4</v>
      </c>
      <c r="K51" s="42">
        <v>20.5</v>
      </c>
      <c r="L51" s="42">
        <v>10</v>
      </c>
      <c r="M51" s="42">
        <v>5.7</v>
      </c>
      <c r="N51" s="42">
        <v>1.2</v>
      </c>
      <c r="O51" s="42">
        <v>1</v>
      </c>
      <c r="P51" s="42">
        <v>3</v>
      </c>
      <c r="Q51" s="43">
        <v>3.5</v>
      </c>
      <c r="R51" s="42">
        <v>8.1</v>
      </c>
      <c r="S51" s="42">
        <v>15.9</v>
      </c>
      <c r="T51">
        <f t="shared" si="1"/>
        <v>0.50943396226415094</v>
      </c>
      <c r="U51" s="42">
        <v>3.9</v>
      </c>
      <c r="V51" s="42">
        <v>5.6</v>
      </c>
      <c r="W51">
        <f t="shared" si="2"/>
        <v>0.69642857142857151</v>
      </c>
      <c r="X51" s="7">
        <f>IF(((T51 - '2026-2027 means'!E$2) / '2026-2027 means'!R$2) * (S51 / '2026-2027 means'!B$2) / 2 &lt; -2, -2, ((T51 - '2026-2027 means'!E$2) / '2026-2027 means'!R$2) * (S51 / '2026-2027 means'!B$2) / 2)</f>
        <v>0.78338431859762447</v>
      </c>
      <c r="Y51" s="11">
        <f>IF(((W51 - '2026-2027 means'!F$2) / '2026-2027 means'!S$2) * (V51 / '2026-2027 means'!D$2) &lt; -2, -2, ((W51 - '2026-2027 means'!F$2) / '2026-2027 means'!S$2) * (V51 / '2026-2027 means'!D$2))</f>
        <v>-1.9173316907282469</v>
      </c>
      <c r="Z51" s="7">
        <f>(J51-'2026-2027 means'!G$2)/'2026-2027 means'!T$2</f>
        <v>-1.3332541239937721</v>
      </c>
      <c r="AA51" s="7">
        <f>(K51-'2026-2027 means'!H$2)/'2026-2027 means'!U$2</f>
        <v>0.87129956761921568</v>
      </c>
      <c r="AB51" s="7">
        <f>(L51-'2026-2027 means'!I$2)/'2026-2027 means'!V$2</f>
        <v>1.7951498519742799</v>
      </c>
      <c r="AC51" s="7">
        <f>(M51-'2026-2027 means'!J$2)/'2026-2027 means'!W$2</f>
        <v>1.0588438482566112</v>
      </c>
      <c r="AD51" s="7">
        <f>(N51-'2026-2027 means'!K$2)/'2026-2027 means'!X$2</f>
        <v>0.53883188173995089</v>
      </c>
      <c r="AE51" s="7">
        <f>(O51-'2026-2027 means'!L$2)/'2026-2027 means'!Y$2</f>
        <v>0.65252922723329376</v>
      </c>
      <c r="AF51" s="7">
        <f>IF(((P51 - '2026-2027 means'!M$2) / '2026-2027 means'!Z$2 * -1) &lt; -2, -2, (P51 - '2026-2027 means'!M$2) / '2026-2027 means'!Z$2 * -1)</f>
        <v>-1.5750958875914021</v>
      </c>
      <c r="AG51">
        <f t="shared" si="6"/>
        <v>2</v>
      </c>
      <c r="AH51">
        <f t="shared" si="7"/>
        <v>2</v>
      </c>
      <c r="AI51" s="8">
        <f t="shared" si="8"/>
        <v>1</v>
      </c>
      <c r="AJ51" s="8" t="e" vm="1">
        <f t="shared" ca="1" si="9"/>
        <v>#NAME?</v>
      </c>
      <c r="AK51" s="8" t="str">
        <f t="shared" si="10"/>
        <v>, FT%, 3PM, TO</v>
      </c>
      <c r="AL51" t="str">
        <f t="shared" si="11"/>
        <v/>
      </c>
      <c r="AM51" t="str">
        <f t="shared" si="12"/>
        <v>, TREB, AST</v>
      </c>
      <c r="AN51" t="str">
        <f t="shared" si="13"/>
        <v>FG%, PTS, STL, BLK</v>
      </c>
      <c r="AO51" t="str">
        <f t="shared" si="14"/>
        <v>, FT%, 3PM, TO</v>
      </c>
      <c r="AP51" t="e">
        <f>VLOOKUP(B51,'2025-2026 actuals'!B:Q,16,FALSE)</f>
        <v>#N/A</v>
      </c>
      <c r="AQ51" s="7">
        <f t="shared" si="15"/>
        <v>0.87435699310755521</v>
      </c>
      <c r="AR51">
        <f t="shared" si="16"/>
        <v>65</v>
      </c>
    </row>
    <row r="52" spans="1:44" ht="18">
      <c r="A52" s="3">
        <f t="shared" si="3"/>
        <v>30</v>
      </c>
      <c r="B52" s="41" t="s">
        <v>289</v>
      </c>
      <c r="C52" s="1">
        <f t="shared" si="4"/>
        <v>30</v>
      </c>
      <c r="D52" s="1">
        <f t="shared" ref="D52:D53" si="19">AP52</f>
        <v>87</v>
      </c>
      <c r="E52" s="1">
        <f>VLOOKUP(B52,'2026-2027 adp'!A:C,3,FALSE)</f>
        <v>76.2</v>
      </c>
      <c r="F52" s="1">
        <f t="shared" si="0"/>
        <v>46.2</v>
      </c>
      <c r="G52" s="1"/>
      <c r="H52" s="22" t="s">
        <v>528</v>
      </c>
      <c r="I52" s="22" t="s">
        <v>529</v>
      </c>
      <c r="J52" s="42">
        <v>1.1000000000000001</v>
      </c>
      <c r="K52" s="42">
        <v>13</v>
      </c>
      <c r="L52" s="42">
        <v>10.5</v>
      </c>
      <c r="M52" s="42">
        <v>1.1000000000000001</v>
      </c>
      <c r="N52" s="42">
        <v>0.9</v>
      </c>
      <c r="O52" s="42">
        <v>1.4</v>
      </c>
      <c r="P52" s="42">
        <v>1.1000000000000001</v>
      </c>
      <c r="Q52" s="43">
        <v>3.42</v>
      </c>
      <c r="R52" s="42">
        <v>5.4</v>
      </c>
      <c r="S52" s="42">
        <v>10</v>
      </c>
      <c r="T52">
        <f t="shared" si="1"/>
        <v>0.54</v>
      </c>
      <c r="U52" s="42">
        <v>1.1000000000000001</v>
      </c>
      <c r="V52" s="42">
        <v>1.5</v>
      </c>
      <c r="W52">
        <f t="shared" si="2"/>
        <v>0.73333333333333339</v>
      </c>
      <c r="X52" s="7">
        <f>IF(((T52 - '2026-2027 means'!E$2) / '2026-2027 means'!R$2) * (S52 / '2026-2027 means'!B$2) / 2 &lt; -2, -2, ((T52 - '2026-2027 means'!E$2) / '2026-2027 means'!R$2) * (S52 / '2026-2027 means'!B$2) / 2)</f>
        <v>1.0554345695021978</v>
      </c>
      <c r="Y52" s="11">
        <f>IF(((W52 - '2026-2027 means'!F$2) / '2026-2027 means'!S$2) * (V52 / '2026-2027 means'!D$2) &lt; -2, -2, ((W52 - '2026-2027 means'!F$2) / '2026-2027 means'!S$2) * (V52 / '2026-2027 means'!D$2))</f>
        <v>-0.32112264788733852</v>
      </c>
      <c r="Z52" s="7">
        <f>(J52-'2026-2027 means'!G$2)/'2026-2027 means'!T$2</f>
        <v>-0.59674507316564607</v>
      </c>
      <c r="AA52" s="7">
        <f>(K52-'2026-2027 means'!H$2)/'2026-2027 means'!U$2</f>
        <v>-0.54837628428952379</v>
      </c>
      <c r="AB52" s="7">
        <f>(L52-'2026-2027 means'!I$2)/'2026-2027 means'!V$2</f>
        <v>2.0032141584249952</v>
      </c>
      <c r="AC52" s="7">
        <f>(M52-'2026-2027 means'!J$2)/'2026-2027 means'!W$2</f>
        <v>-1.3162338375708085</v>
      </c>
      <c r="AD52" s="7">
        <f>(N52-'2026-2027 means'!K$2)/'2026-2027 means'!X$2</f>
        <v>-0.34169826646924195</v>
      </c>
      <c r="AE52" s="7">
        <f>(O52-'2026-2027 means'!L$2)/'2026-2027 means'!Y$2</f>
        <v>1.464655386204762</v>
      </c>
      <c r="AF52" s="7">
        <f>IF(((P52 - '2026-2027 means'!M$2) / '2026-2027 means'!Z$2 * -1) &lt; -2, -2, (P52 - '2026-2027 means'!M$2) / '2026-2027 means'!Z$2 * -1)</f>
        <v>1.0177020411635838</v>
      </c>
      <c r="AG52">
        <f t="shared" si="6"/>
        <v>3</v>
      </c>
      <c r="AH52">
        <f t="shared" si="7"/>
        <v>5</v>
      </c>
      <c r="AI52" s="8">
        <f t="shared" si="8"/>
        <v>0.6</v>
      </c>
      <c r="AJ52" s="8" t="e" vm="1">
        <f t="shared" ca="1" si="9"/>
        <v>#NAME?</v>
      </c>
      <c r="AK52" s="8" t="str">
        <f t="shared" si="10"/>
        <v>, FT%, 3PM, PTS, AST, STL</v>
      </c>
      <c r="AL52" t="str">
        <f t="shared" si="11"/>
        <v>, TREB</v>
      </c>
      <c r="AM52" t="str">
        <f t="shared" si="12"/>
        <v>FG%, BLK, TO</v>
      </c>
      <c r="AN52" t="str">
        <f t="shared" si="13"/>
        <v/>
      </c>
      <c r="AO52" t="str">
        <f t="shared" si="14"/>
        <v>, FT%, 3PM, PTS, AST, STL</v>
      </c>
      <c r="AP52">
        <f>VLOOKUP(B52,'2025-2026 actuals'!B:Q,16,FALSE)</f>
        <v>87</v>
      </c>
      <c r="AQ52" s="7">
        <f t="shared" si="15"/>
        <v>2.4168300459129801</v>
      </c>
      <c r="AR52">
        <f t="shared" si="16"/>
        <v>30</v>
      </c>
    </row>
    <row r="53" spans="1:44" ht="18">
      <c r="A53" s="3">
        <f t="shared" si="3"/>
        <v>41</v>
      </c>
      <c r="B53" s="41" t="s">
        <v>51</v>
      </c>
      <c r="C53" s="1">
        <f>AR53</f>
        <v>41</v>
      </c>
      <c r="D53" s="1">
        <f t="shared" si="19"/>
        <v>57</v>
      </c>
      <c r="E53" s="1">
        <f>VLOOKUP(B53,'2026-2027 adp'!A:C,3,FALSE)</f>
        <v>80.8</v>
      </c>
      <c r="F53" s="1">
        <f t="shared" si="0"/>
        <v>39.799999999999997</v>
      </c>
      <c r="G53" s="1"/>
      <c r="H53" s="22" t="s">
        <v>530</v>
      </c>
      <c r="I53" s="22" t="s">
        <v>531</v>
      </c>
      <c r="J53" s="42">
        <v>2.6</v>
      </c>
      <c r="K53" s="42">
        <v>17.100000000000001</v>
      </c>
      <c r="L53" s="42">
        <v>5.4</v>
      </c>
      <c r="M53" s="42">
        <v>4.0999999999999996</v>
      </c>
      <c r="N53" s="42">
        <v>1.8</v>
      </c>
      <c r="O53" s="42">
        <v>0.5</v>
      </c>
      <c r="P53" s="42">
        <v>2.2000000000000002</v>
      </c>
      <c r="Q53" s="43">
        <v>3.35</v>
      </c>
      <c r="R53" s="42">
        <v>6.2</v>
      </c>
      <c r="S53" s="42">
        <v>14.2</v>
      </c>
      <c r="T53">
        <f t="shared" si="1"/>
        <v>0.43661971830985918</v>
      </c>
      <c r="U53" s="42">
        <v>2.2000000000000002</v>
      </c>
      <c r="V53" s="42">
        <v>2.7</v>
      </c>
      <c r="W53">
        <f t="shared" si="2"/>
        <v>0.81481481481481488</v>
      </c>
      <c r="X53" s="7">
        <f>IF(((T53 - '2026-2027 means'!E$2) / '2026-2027 means'!R$2) * (S53 / '2026-2027 means'!B$2) / 2 &lt; -2, -2, ((T53 - '2026-2027 means'!E$2) / '2026-2027 means'!R$2) * (S53 / '2026-2027 means'!B$2) / 2)</f>
        <v>-1.2039634826343599</v>
      </c>
      <c r="Y53" s="11">
        <f>IF(((W53 - '2026-2027 means'!F$2) / '2026-2027 means'!S$2) * (V53 / '2026-2027 means'!D$2) &lt; -2, -2, ((W53 - '2026-2027 means'!F$2) / '2026-2027 means'!S$2) * (V53 / '2026-2027 means'!D$2))</f>
        <v>0.1868061878128576</v>
      </c>
      <c r="Z53" s="7">
        <f>(J53-'2026-2027 means'!G$2)/'2026-2027 means'!T$2</f>
        <v>0.98148860718033804</v>
      </c>
      <c r="AA53" s="7">
        <f>(K53-'2026-2027 means'!H$2)/'2026-2027 means'!U$2</f>
        <v>0.22771318142058738</v>
      </c>
      <c r="AB53" s="7">
        <f>(L53-'2026-2027 means'!I$2)/'2026-2027 means'!V$2</f>
        <v>-0.11904176737229963</v>
      </c>
      <c r="AC53" s="7">
        <f>(M53-'2026-2027 means'!J$2)/'2026-2027 means'!W$2</f>
        <v>0.23272987057750841</v>
      </c>
      <c r="AD53" s="7">
        <f>(N53-'2026-2027 means'!K$2)/'2026-2027 means'!X$2</f>
        <v>2.2998921781583372</v>
      </c>
      <c r="AE53" s="7">
        <f>(O53-'2026-2027 means'!L$2)/'2026-2027 means'!Y$2</f>
        <v>-0.36262847148104194</v>
      </c>
      <c r="AF53" s="7">
        <f>IF(((P53 - '2026-2027 means'!M$2) / '2026-2027 means'!Z$2 * -1) &lt; -2, -2, (P53 - '2026-2027 means'!M$2) / '2026-2027 means'!Z$2 * -1)</f>
        <v>-0.48339149653667135</v>
      </c>
      <c r="AG53">
        <f t="shared" si="6"/>
        <v>1</v>
      </c>
      <c r="AH53">
        <f t="shared" si="7"/>
        <v>2</v>
      </c>
      <c r="AI53" s="8">
        <f t="shared" si="8"/>
        <v>0.5</v>
      </c>
      <c r="AJ53" s="8" t="e" vm="1">
        <f t="shared" ca="1" si="9"/>
        <v>#NAME?</v>
      </c>
      <c r="AK53" s="8" t="str">
        <f t="shared" si="10"/>
        <v>FG%, TREB, BLK, TO</v>
      </c>
      <c r="AL53" t="str">
        <f t="shared" si="11"/>
        <v>, STL</v>
      </c>
      <c r="AM53" t="str">
        <f t="shared" si="12"/>
        <v/>
      </c>
      <c r="AN53" t="str">
        <f t="shared" si="13"/>
        <v>, FT%, 3PM, PTS, AST</v>
      </c>
      <c r="AO53" t="str">
        <f t="shared" si="14"/>
        <v>FG%, TREB, BLK, TO</v>
      </c>
      <c r="AP53">
        <f>VLOOKUP(B53,'2025-2026 actuals'!B:Q,16,FALSE)</f>
        <v>57</v>
      </c>
      <c r="AQ53" s="7">
        <f t="shared" si="15"/>
        <v>1.7596048071252559</v>
      </c>
      <c r="AR53">
        <f t="shared" si="16"/>
        <v>41</v>
      </c>
    </row>
    <row r="54" spans="1:44" ht="18">
      <c r="A54" s="3">
        <f t="shared" si="3"/>
        <v>37</v>
      </c>
      <c r="B54" s="41" t="s">
        <v>96</v>
      </c>
      <c r="C54" s="1">
        <f t="shared" si="4"/>
        <v>37</v>
      </c>
      <c r="D54" s="1"/>
      <c r="E54" s="1">
        <f>VLOOKUP(B54,'2026-2027 adp'!A:C,3,FALSE)</f>
        <v>26.7</v>
      </c>
      <c r="F54" s="1">
        <f t="shared" si="0"/>
        <v>-10.3</v>
      </c>
      <c r="G54" s="1"/>
      <c r="H54" s="22" t="s">
        <v>532</v>
      </c>
      <c r="I54" s="22" t="s">
        <v>533</v>
      </c>
      <c r="J54" s="42">
        <v>1.4</v>
      </c>
      <c r="K54" s="42">
        <v>19.3</v>
      </c>
      <c r="L54" s="42">
        <v>9.9</v>
      </c>
      <c r="M54" s="42">
        <v>3.8</v>
      </c>
      <c r="N54" s="42">
        <v>1.2</v>
      </c>
      <c r="O54" s="42">
        <v>0.7</v>
      </c>
      <c r="P54" s="42">
        <v>1.9</v>
      </c>
      <c r="Q54" s="43">
        <v>3.35</v>
      </c>
      <c r="R54" s="42">
        <v>7</v>
      </c>
      <c r="S54" s="42">
        <v>15.1</v>
      </c>
      <c r="T54">
        <f t="shared" si="1"/>
        <v>0.46357615894039739</v>
      </c>
      <c r="U54" s="42">
        <v>3.9</v>
      </c>
      <c r="V54" s="42">
        <v>5</v>
      </c>
      <c r="W54">
        <f t="shared" si="2"/>
        <v>0.78</v>
      </c>
      <c r="X54" s="7">
        <f>IF(((T54 - '2026-2027 means'!E$2) / '2026-2027 means'!R$2) * (S54 / '2026-2027 means'!B$2) / 2 &lt; -2, -2, ((T54 - '2026-2027 means'!E$2) / '2026-2027 means'!R$2) * (S54 / '2026-2027 means'!B$2) / 2)</f>
        <v>-0.53088057070012307</v>
      </c>
      <c r="Y54" s="11">
        <f>IF(((W54 - '2026-2027 means'!F$2) / '2026-2027 means'!S$2) * (V54 / '2026-2027 means'!D$2) &lt; -2, -2, ((W54 - '2026-2027 means'!F$2) / '2026-2027 means'!S$2) * (V54 / '2026-2027 means'!D$2))</f>
        <v>-0.25922872355317922</v>
      </c>
      <c r="Z54" s="7">
        <f>(J54-'2026-2027 means'!G$2)/'2026-2027 means'!T$2</f>
        <v>-0.28109833709644944</v>
      </c>
      <c r="AA54" s="7">
        <f>(K54-'2026-2027 means'!H$2)/'2026-2027 means'!U$2</f>
        <v>0.64415143131381747</v>
      </c>
      <c r="AB54" s="7">
        <f>(L54-'2026-2027 means'!I$2)/'2026-2027 means'!V$2</f>
        <v>1.7535369906841372</v>
      </c>
      <c r="AC54" s="7">
        <f>(M54-'2026-2027 means'!J$2)/'2026-2027 means'!W$2</f>
        <v>7.7833499762676783E-2</v>
      </c>
      <c r="AD54" s="7">
        <f>(N54-'2026-2027 means'!K$2)/'2026-2027 means'!X$2</f>
        <v>0.53883188173995089</v>
      </c>
      <c r="AE54" s="7">
        <f>(O54-'2026-2027 means'!L$2)/'2026-2027 means'!Y$2</f>
        <v>4.3434608004692253E-2</v>
      </c>
      <c r="AF54" s="7">
        <f>IF(((P54 - '2026-2027 means'!M$2) / '2026-2027 means'!Z$2 * -1) &lt; -2, -2, (P54 - '2026-2027 means'!M$2) / '2026-2027 means'!Z$2 * -1)</f>
        <v>-7.4002349891146874E-2</v>
      </c>
      <c r="AG54">
        <f t="shared" si="6"/>
        <v>1</v>
      </c>
      <c r="AH54">
        <f t="shared" si="7"/>
        <v>3</v>
      </c>
      <c r="AI54" s="8">
        <f t="shared" si="8"/>
        <v>0.33333333333333331</v>
      </c>
      <c r="AJ54" s="8" t="e" vm="1">
        <f t="shared" ca="1" si="9"/>
        <v>#NAME?</v>
      </c>
      <c r="AK54" s="8" t="str">
        <f t="shared" si="10"/>
        <v>FG%, FT%, 3PM, TO</v>
      </c>
      <c r="AL54" t="str">
        <f t="shared" si="11"/>
        <v/>
      </c>
      <c r="AM54" t="str">
        <f t="shared" si="12"/>
        <v>, TREB</v>
      </c>
      <c r="AN54" t="str">
        <f t="shared" si="13"/>
        <v>, PTS, AST, STL, BLK</v>
      </c>
      <c r="AO54" t="str">
        <f t="shared" si="14"/>
        <v>FG%, FT%, 3PM, TO</v>
      </c>
      <c r="AP54">
        <f>VLOOKUP(B54,'2025-2026 actuals'!B:Q,16,FALSE)</f>
        <v>55</v>
      </c>
      <c r="AQ54" s="7">
        <f t="shared" ref="AQ54" si="20">SUM(X54:AF54)</f>
        <v>1.912578430264376</v>
      </c>
      <c r="AR54">
        <f t="shared" si="16"/>
        <v>37</v>
      </c>
    </row>
    <row r="55" spans="1:44" ht="18">
      <c r="A55" s="3">
        <f t="shared" si="3"/>
        <v>72</v>
      </c>
      <c r="B55" s="41" t="s">
        <v>167</v>
      </c>
      <c r="C55" s="1">
        <f t="shared" si="4"/>
        <v>72</v>
      </c>
      <c r="D55" s="1"/>
      <c r="E55" s="1">
        <f>VLOOKUP(B55,'2026-2027 adp'!A:C,3,FALSE)</f>
        <v>106.9</v>
      </c>
      <c r="F55" s="1">
        <f t="shared" si="0"/>
        <v>34.900000000000006</v>
      </c>
      <c r="G55" s="1"/>
      <c r="H55" s="22" t="s">
        <v>534</v>
      </c>
      <c r="I55" s="22" t="s">
        <v>535</v>
      </c>
      <c r="J55" s="42">
        <v>2.2000000000000002</v>
      </c>
      <c r="K55" s="42">
        <v>15.1</v>
      </c>
      <c r="L55" s="42">
        <v>4</v>
      </c>
      <c r="M55" s="42">
        <v>4.9000000000000004</v>
      </c>
      <c r="N55" s="42">
        <v>1.7</v>
      </c>
      <c r="O55" s="42">
        <v>0.8</v>
      </c>
      <c r="P55" s="42">
        <v>2.8</v>
      </c>
      <c r="Q55" s="43">
        <v>3.33</v>
      </c>
      <c r="R55" s="42">
        <v>5.3</v>
      </c>
      <c r="S55" s="42">
        <v>12.6</v>
      </c>
      <c r="T55">
        <f t="shared" si="1"/>
        <v>0.42063492063492064</v>
      </c>
      <c r="U55" s="42">
        <v>2.2000000000000002</v>
      </c>
      <c r="V55" s="42">
        <v>2.5</v>
      </c>
      <c r="W55">
        <f t="shared" si="2"/>
        <v>0.88000000000000012</v>
      </c>
      <c r="X55" s="7">
        <f>IF(((T55 - '2026-2027 means'!E$2) / '2026-2027 means'!R$2) * (S55 / '2026-2027 means'!B$2) / 2 &lt; -2, -2, ((T55 - '2026-2027 means'!E$2) / '2026-2027 means'!R$2) * (S55 / '2026-2027 means'!B$2) / 2)</f>
        <v>-1.4391112838962579</v>
      </c>
      <c r="Y55" s="11">
        <f>IF(((W55 - '2026-2027 means'!F$2) / '2026-2027 means'!S$2) * (V55 / '2026-2027 means'!D$2) &lt; -2, -2, ((W55 - '2026-2027 means'!F$2) / '2026-2027 means'!S$2) * (V55 / '2026-2027 means'!D$2))</f>
        <v>0.73950717687121426</v>
      </c>
      <c r="Z55" s="7">
        <f>(J55-'2026-2027 means'!G$2)/'2026-2027 means'!T$2</f>
        <v>0.56062629242140904</v>
      </c>
      <c r="AA55" s="7">
        <f>(K55-'2026-2027 means'!H$2)/'2026-2027 means'!U$2</f>
        <v>-0.15086704575507684</v>
      </c>
      <c r="AB55" s="7">
        <f>(L55-'2026-2027 means'!I$2)/'2026-2027 means'!V$2</f>
        <v>-0.70162182543430229</v>
      </c>
      <c r="AC55" s="7">
        <f>(M55-'2026-2027 means'!J$2)/'2026-2027 means'!W$2</f>
        <v>0.64578685941706004</v>
      </c>
      <c r="AD55" s="7">
        <f>(N55-'2026-2027 means'!K$2)/'2026-2027 means'!X$2</f>
        <v>2.0063821287552726</v>
      </c>
      <c r="AE55" s="7">
        <f>(O55-'2026-2027 means'!L$2)/'2026-2027 means'!Y$2</f>
        <v>0.24646614774755957</v>
      </c>
      <c r="AF55" s="7">
        <f>IF(((P55 - '2026-2027 means'!M$2) / '2026-2027 means'!Z$2 * -1) &lt; -2, -2, (P55 - '2026-2027 means'!M$2) / '2026-2027 means'!Z$2 * -1)</f>
        <v>-1.3021697898277191</v>
      </c>
      <c r="AG55">
        <f t="shared" si="6"/>
        <v>1</v>
      </c>
      <c r="AH55">
        <f t="shared" si="7"/>
        <v>2</v>
      </c>
      <c r="AI55" s="8">
        <f t="shared" si="8"/>
        <v>0.5</v>
      </c>
      <c r="AJ55" s="8" t="e" vm="1">
        <f t="shared" ca="1" si="9"/>
        <v>#NAME?</v>
      </c>
      <c r="AK55" s="8" t="str">
        <f t="shared" si="10"/>
        <v>FG%, PTS, TREB, TO</v>
      </c>
      <c r="AL55" t="str">
        <f t="shared" si="11"/>
        <v>, STL</v>
      </c>
      <c r="AM55" t="str">
        <f t="shared" si="12"/>
        <v/>
      </c>
      <c r="AN55" t="str">
        <f t="shared" si="13"/>
        <v>, FT%, 3PM, AST, BLK</v>
      </c>
      <c r="AO55" t="str">
        <f t="shared" si="14"/>
        <v>FG%, PTS, TREB, TO</v>
      </c>
      <c r="AP55">
        <f>VLOOKUP(B55,'2025-2026 actuals'!B:Q,16,FALSE)</f>
        <v>54</v>
      </c>
      <c r="AQ55" s="7">
        <f t="shared" ref="AQ55" si="21">SUM(X55:AF55)</f>
        <v>0.6049986602991595</v>
      </c>
      <c r="AR55">
        <f t="shared" ref="AR55" si="22">RANK(AQ55,AQ:AQ)</f>
        <v>72</v>
      </c>
    </row>
    <row r="56" spans="1:44" ht="18">
      <c r="A56" s="3">
        <f t="shared" si="3"/>
        <v>73</v>
      </c>
      <c r="B56" s="41" t="s">
        <v>163</v>
      </c>
      <c r="C56" s="1">
        <f t="shared" si="4"/>
        <v>73</v>
      </c>
      <c r="D56" s="1">
        <f t="shared" ref="D56:D117" si="23">AP56</f>
        <v>50</v>
      </c>
      <c r="E56" s="1">
        <f>VLOOKUP(B56,'2026-2027 adp'!A:C,3,FALSE)</f>
        <v>44.1</v>
      </c>
      <c r="F56" s="1">
        <f t="shared" si="0"/>
        <v>-28.9</v>
      </c>
      <c r="G56" s="1"/>
      <c r="H56" s="22" t="s">
        <v>536</v>
      </c>
      <c r="I56" s="22" t="s">
        <v>537</v>
      </c>
      <c r="J56" s="42">
        <v>3.4</v>
      </c>
      <c r="K56" s="42">
        <v>20.6</v>
      </c>
      <c r="L56" s="42">
        <v>4.9000000000000004</v>
      </c>
      <c r="M56" s="42">
        <v>3.5</v>
      </c>
      <c r="N56" s="42">
        <v>1</v>
      </c>
      <c r="O56" s="42">
        <v>0.7</v>
      </c>
      <c r="P56" s="42">
        <v>2.6</v>
      </c>
      <c r="Q56" s="43">
        <v>3.31</v>
      </c>
      <c r="R56" s="42">
        <v>7.2</v>
      </c>
      <c r="S56" s="42">
        <v>16.8</v>
      </c>
      <c r="T56">
        <f t="shared" si="1"/>
        <v>0.42857142857142855</v>
      </c>
      <c r="U56" s="42">
        <v>2.9</v>
      </c>
      <c r="V56" s="42">
        <v>3.3</v>
      </c>
      <c r="W56">
        <f t="shared" si="2"/>
        <v>0.87878787878787878</v>
      </c>
      <c r="X56" s="7">
        <f>IF(((T56 - '2026-2027 means'!E$2) / '2026-2027 means'!R$2) * (S56 / '2026-2027 means'!B$2) / 2 &lt; -2, -2, ((T56 - '2026-2027 means'!E$2) / '2026-2027 means'!R$2) * (S56 / '2026-2027 means'!B$2) / 2)</f>
        <v>-1.6733399705966934</v>
      </c>
      <c r="Y56" s="11">
        <f>IF(((W56 - '2026-2027 means'!F$2) / '2026-2027 means'!S$2) * (V56 / '2026-2027 means'!D$2) &lt; -2, -2, ((W56 - '2026-2027 means'!F$2) / '2026-2027 means'!S$2) * (V56 / '2026-2027 means'!D$2))</f>
        <v>0.96224352885163678</v>
      </c>
      <c r="Z56" s="7">
        <f>(J56-'2026-2027 means'!G$2)/'2026-2027 means'!T$2</f>
        <v>1.8232132366981961</v>
      </c>
      <c r="AA56" s="7">
        <f>(K56-'2026-2027 means'!H$2)/'2026-2027 means'!U$2</f>
        <v>0.89022857897799912</v>
      </c>
      <c r="AB56" s="7">
        <f>(L56-'2026-2027 means'!I$2)/'2026-2027 means'!V$2</f>
        <v>-0.32710607382301482</v>
      </c>
      <c r="AC56" s="7">
        <f>(M56-'2026-2027 means'!J$2)/'2026-2027 means'!W$2</f>
        <v>-7.7062871052154841E-2</v>
      </c>
      <c r="AD56" s="7">
        <f>(N56-'2026-2027 means'!K$2)/'2026-2027 means'!X$2</f>
        <v>-4.818821706617768E-2</v>
      </c>
      <c r="AE56" s="7">
        <f>(O56-'2026-2027 means'!L$2)/'2026-2027 means'!Y$2</f>
        <v>4.3434608004692253E-2</v>
      </c>
      <c r="AF56" s="7">
        <f>IF(((P56 - '2026-2027 means'!M$2) / '2026-2027 means'!Z$2 * -1) &lt; -2, -2, (P56 - '2026-2027 means'!M$2) / '2026-2027 means'!Z$2 * -1)</f>
        <v>-1.0292436920640367</v>
      </c>
      <c r="AG56">
        <f t="shared" si="6"/>
        <v>1</v>
      </c>
      <c r="AH56">
        <f t="shared" si="7"/>
        <v>2</v>
      </c>
      <c r="AI56" s="8">
        <f t="shared" si="8"/>
        <v>0.5</v>
      </c>
      <c r="AJ56" s="8" t="e" vm="1">
        <f t="shared" ca="1" si="9"/>
        <v>#NAME?</v>
      </c>
      <c r="AK56" s="8" t="str">
        <f t="shared" si="10"/>
        <v>FG%, TREB, AST, STL, TO</v>
      </c>
      <c r="AL56" t="str">
        <f t="shared" si="11"/>
        <v/>
      </c>
      <c r="AM56" t="str">
        <f t="shared" si="12"/>
        <v>, 3PM</v>
      </c>
      <c r="AN56" t="str">
        <f t="shared" si="13"/>
        <v>, FT%, PTS, BLK</v>
      </c>
      <c r="AO56" t="str">
        <f t="shared" si="14"/>
        <v>FG%, TREB, AST, STL, TO</v>
      </c>
      <c r="AP56">
        <f>VLOOKUP(B56,'2025-2026 actuals'!B:Q,16,FALSE)</f>
        <v>50</v>
      </c>
      <c r="AQ56" s="7">
        <f t="shared" ref="AQ56:AQ118" si="24">SUM(X56:AF56)</f>
        <v>0.56417912793044689</v>
      </c>
      <c r="AR56">
        <f t="shared" ref="AR56:AR118" si="25">RANK(AQ56,AQ:AQ)</f>
        <v>73</v>
      </c>
    </row>
    <row r="57" spans="1:44" ht="18">
      <c r="A57" s="3">
        <f t="shared" si="3"/>
        <v>36</v>
      </c>
      <c r="B57" s="41" t="s">
        <v>143</v>
      </c>
      <c r="C57" s="1">
        <f t="shared" si="4"/>
        <v>36</v>
      </c>
      <c r="D57" s="1">
        <f t="shared" si="23"/>
        <v>48</v>
      </c>
      <c r="E57" s="1">
        <f>VLOOKUP(B57,'2026-2027 adp'!A:C,3,FALSE)</f>
        <v>67.7</v>
      </c>
      <c r="F57" s="1">
        <f t="shared" si="0"/>
        <v>31.700000000000003</v>
      </c>
      <c r="G57" s="1"/>
      <c r="H57" s="22" t="s">
        <v>538</v>
      </c>
      <c r="I57" s="22" t="s">
        <v>539</v>
      </c>
      <c r="J57" s="42">
        <v>2.2000000000000002</v>
      </c>
      <c r="K57" s="42">
        <v>16.7</v>
      </c>
      <c r="L57" s="42">
        <v>4.8</v>
      </c>
      <c r="M57" s="42">
        <v>2.1</v>
      </c>
      <c r="N57" s="42">
        <v>1.5</v>
      </c>
      <c r="O57" s="42">
        <v>0.8</v>
      </c>
      <c r="P57" s="42">
        <v>1.5</v>
      </c>
      <c r="Q57" s="43">
        <v>3.05</v>
      </c>
      <c r="R57" s="42">
        <v>6</v>
      </c>
      <c r="S57" s="42">
        <v>12.5</v>
      </c>
      <c r="T57">
        <f t="shared" si="1"/>
        <v>0.48</v>
      </c>
      <c r="U57" s="42">
        <v>2.5</v>
      </c>
      <c r="V57" s="42">
        <v>3</v>
      </c>
      <c r="W57">
        <f t="shared" si="2"/>
        <v>0.83333333333333337</v>
      </c>
      <c r="X57" s="7">
        <f>IF(((T57 - '2026-2027 means'!E$2) / '2026-2027 means'!R$2) * (S57 / '2026-2027 means'!B$2) / 2 &lt; -2, -2, ((T57 - '2026-2027 means'!E$2) / '2026-2027 means'!R$2) * (S57 / '2026-2027 means'!B$2) / 2)</f>
        <v>-6.1504082737792391E-2</v>
      </c>
      <c r="Y57" s="11">
        <f>IF(((W57 - '2026-2027 means'!F$2) / '2026-2027 means'!S$2) * (V57 / '2026-2027 means'!D$2) &lt; -2, -2, ((W57 - '2026-2027 means'!F$2) / '2026-2027 means'!S$2) * (V57 / '2026-2027 means'!D$2))</f>
        <v>0.40070055060268667</v>
      </c>
      <c r="Z57" s="7">
        <f>(J57-'2026-2027 means'!G$2)/'2026-2027 means'!T$2</f>
        <v>0.56062629242140904</v>
      </c>
      <c r="AA57" s="7">
        <f>(K57-'2026-2027 means'!H$2)/'2026-2027 means'!U$2</f>
        <v>0.1519971359854542</v>
      </c>
      <c r="AB57" s="7">
        <f>(L57-'2026-2027 means'!I$2)/'2026-2027 means'!V$2</f>
        <v>-0.36871893511315806</v>
      </c>
      <c r="AC57" s="7">
        <f>(M57-'2026-2027 means'!J$2)/'2026-2027 means'!W$2</f>
        <v>-0.79991260152136945</v>
      </c>
      <c r="AD57" s="7">
        <f>(N57-'2026-2027 means'!K$2)/'2026-2027 means'!X$2</f>
        <v>1.4193620299491441</v>
      </c>
      <c r="AE57" s="7">
        <f>(O57-'2026-2027 means'!L$2)/'2026-2027 means'!Y$2</f>
        <v>0.24646614774755957</v>
      </c>
      <c r="AF57" s="7">
        <f>IF(((P57 - '2026-2027 means'!M$2) / '2026-2027 means'!Z$2 * -1) &lt; -2, -2, (P57 - '2026-2027 means'!M$2) / '2026-2027 means'!Z$2 * -1)</f>
        <v>0.47184984563621846</v>
      </c>
      <c r="AG57">
        <f t="shared" si="6"/>
        <v>1</v>
      </c>
      <c r="AH57">
        <f t="shared" si="7"/>
        <v>2</v>
      </c>
      <c r="AI57" s="8">
        <f t="shared" si="8"/>
        <v>0.5</v>
      </c>
      <c r="AJ57" s="8" t="e" vm="1">
        <f t="shared" ca="1" si="9"/>
        <v>#NAME?</v>
      </c>
      <c r="AK57" s="8" t="str">
        <f t="shared" si="10"/>
        <v>FG%, TREB, AST</v>
      </c>
      <c r="AL57" t="str">
        <f t="shared" si="11"/>
        <v/>
      </c>
      <c r="AM57" t="str">
        <f t="shared" si="12"/>
        <v>, STL</v>
      </c>
      <c r="AN57" t="str">
        <f t="shared" si="13"/>
        <v>, FT%, 3PM, PTS, BLK, TO</v>
      </c>
      <c r="AO57" t="str">
        <f t="shared" si="14"/>
        <v>FG%, TREB, AST</v>
      </c>
      <c r="AP57">
        <f>VLOOKUP(B57,'2025-2026 actuals'!B:Q,16,FALSE)</f>
        <v>48</v>
      </c>
      <c r="AQ57" s="7">
        <f t="shared" si="24"/>
        <v>2.0208663829701519</v>
      </c>
      <c r="AR57">
        <f t="shared" si="25"/>
        <v>36</v>
      </c>
    </row>
    <row r="58" spans="1:44" ht="18">
      <c r="A58" s="3">
        <f t="shared" si="3"/>
        <v>70</v>
      </c>
      <c r="B58" s="41" t="s">
        <v>694</v>
      </c>
      <c r="C58" s="1">
        <f t="shared" si="4"/>
        <v>70</v>
      </c>
      <c r="D58" s="1">
        <f t="shared" si="23"/>
        <v>64</v>
      </c>
      <c r="E58" s="1">
        <f>VLOOKUP(B58,'2026-2027 adp'!A:C,3,FALSE)</f>
        <v>49.8</v>
      </c>
      <c r="F58" s="1">
        <f t="shared" si="0"/>
        <v>-20.200000000000003</v>
      </c>
      <c r="G58" s="1"/>
      <c r="H58" s="22" t="s">
        <v>540</v>
      </c>
      <c r="I58" s="22" t="s">
        <v>541</v>
      </c>
      <c r="J58" s="42">
        <v>3.5</v>
      </c>
      <c r="K58" s="42">
        <v>19</v>
      </c>
      <c r="L58" s="42">
        <v>5.5</v>
      </c>
      <c r="M58" s="42">
        <v>3.5</v>
      </c>
      <c r="N58" s="42">
        <v>0.7</v>
      </c>
      <c r="O58" s="42">
        <v>0.2</v>
      </c>
      <c r="P58" s="42">
        <v>2</v>
      </c>
      <c r="Q58" s="43">
        <v>2.97</v>
      </c>
      <c r="R58" s="42">
        <v>6.5</v>
      </c>
      <c r="S58" s="42">
        <v>13.7</v>
      </c>
      <c r="T58">
        <f t="shared" si="1"/>
        <v>0.47445255474452558</v>
      </c>
      <c r="U58" s="42">
        <v>2.5</v>
      </c>
      <c r="V58" s="42">
        <v>2.9</v>
      </c>
      <c r="W58">
        <f t="shared" si="2"/>
        <v>0.86206896551724144</v>
      </c>
      <c r="X58" s="7">
        <f>IF(((T58 - '2026-2027 means'!E$2) / '2026-2027 means'!R$2) * (S58 / '2026-2027 means'!B$2) / 2 &lt; -2, -2, ((T58 - '2026-2027 means'!E$2) / '2026-2027 means'!R$2) * (S58 / '2026-2027 means'!B$2) / 2)</f>
        <v>-0.20732926720166048</v>
      </c>
      <c r="Y58" s="11">
        <f>IF(((W58 - '2026-2027 means'!F$2) / '2026-2027 means'!S$2) * (V58 / '2026-2027 means'!D$2) &lt; -2, -2, ((W58 - '2026-2027 means'!F$2) / '2026-2027 means'!S$2) * (V58 / '2026-2027 means'!D$2))</f>
        <v>0.67705104513186498</v>
      </c>
      <c r="Z58" s="7">
        <f>(J58-'2026-2027 means'!G$2)/'2026-2027 means'!T$2</f>
        <v>1.9284288153879285</v>
      </c>
      <c r="AA58" s="7">
        <f>(K58-'2026-2027 means'!H$2)/'2026-2027 means'!U$2</f>
        <v>0.58736439723746781</v>
      </c>
      <c r="AB58" s="7">
        <f>(L58-'2026-2027 means'!I$2)/'2026-2027 means'!V$2</f>
        <v>-7.7428906082156745E-2</v>
      </c>
      <c r="AC58" s="7">
        <f>(M58-'2026-2027 means'!J$2)/'2026-2027 means'!W$2</f>
        <v>-7.7062871052154841E-2</v>
      </c>
      <c r="AD58" s="7">
        <f>(N58-'2026-2027 means'!K$2)/'2026-2027 means'!X$2</f>
        <v>-0.92871836527537077</v>
      </c>
      <c r="AE58" s="7">
        <f>(O58-'2026-2027 means'!L$2)/'2026-2027 means'!Y$2</f>
        <v>-0.97172309070964324</v>
      </c>
      <c r="AF58" s="7">
        <f>IF(((P58 - '2026-2027 means'!M$2) / '2026-2027 means'!Z$2 * -1) &lt; -2, -2, (P58 - '2026-2027 means'!M$2) / '2026-2027 means'!Z$2 * -1)</f>
        <v>-0.21046539877298837</v>
      </c>
      <c r="AG58">
        <f t="shared" si="6"/>
        <v>1</v>
      </c>
      <c r="AH58">
        <f t="shared" si="7"/>
        <v>2</v>
      </c>
      <c r="AI58" s="8">
        <f t="shared" si="8"/>
        <v>0.5</v>
      </c>
      <c r="AJ58" s="8" t="e" vm="1">
        <f t="shared" ca="1" si="9"/>
        <v>#NAME?</v>
      </c>
      <c r="AK58" s="8" t="str">
        <f t="shared" si="10"/>
        <v>FG%, TREB, AST, STL, BLK, TO</v>
      </c>
      <c r="AL58" t="str">
        <f t="shared" si="11"/>
        <v/>
      </c>
      <c r="AM58" t="str">
        <f t="shared" si="12"/>
        <v>, 3PM</v>
      </c>
      <c r="AN58" t="str">
        <f t="shared" si="13"/>
        <v>, FT%, PTS</v>
      </c>
      <c r="AO58" t="str">
        <f t="shared" si="14"/>
        <v>FG%, TREB, AST, STL, BLK, TO</v>
      </c>
      <c r="AP58">
        <f>VLOOKUP(B58,'2025-2026 actuals'!B:Q,16,FALSE)</f>
        <v>64</v>
      </c>
      <c r="AQ58" s="7">
        <f t="shared" si="24"/>
        <v>0.72011635866328683</v>
      </c>
      <c r="AR58">
        <f t="shared" si="25"/>
        <v>70</v>
      </c>
    </row>
    <row r="59" spans="1:44" ht="18">
      <c r="A59" s="3">
        <f t="shared" si="3"/>
        <v>49</v>
      </c>
      <c r="B59" s="41" t="s">
        <v>272</v>
      </c>
      <c r="C59" s="1">
        <f t="shared" si="4"/>
        <v>49</v>
      </c>
      <c r="D59" s="1">
        <f t="shared" si="23"/>
        <v>56</v>
      </c>
      <c r="E59" s="1">
        <f>VLOOKUP(B59,'2026-2027 adp'!A:C,3,FALSE)</f>
        <v>43.5</v>
      </c>
      <c r="F59" s="1">
        <f t="shared" si="0"/>
        <v>-5.5</v>
      </c>
      <c r="G59" s="1"/>
      <c r="H59" s="22" t="s">
        <v>542</v>
      </c>
      <c r="I59" s="22" t="s">
        <v>543</v>
      </c>
      <c r="J59" s="42">
        <v>1.1000000000000001</v>
      </c>
      <c r="K59" s="42">
        <v>11.4</v>
      </c>
      <c r="L59" s="42">
        <v>11.4</v>
      </c>
      <c r="M59" s="42">
        <v>1.9</v>
      </c>
      <c r="N59" s="42">
        <v>0.6</v>
      </c>
      <c r="O59" s="42">
        <v>1.8</v>
      </c>
      <c r="P59" s="42">
        <v>1.3</v>
      </c>
      <c r="Q59" s="43">
        <v>2.88</v>
      </c>
      <c r="R59" s="42">
        <v>4.3</v>
      </c>
      <c r="S59" s="42">
        <v>8.1999999999999993</v>
      </c>
      <c r="T59">
        <f t="shared" si="1"/>
        <v>0.52439024390243905</v>
      </c>
      <c r="U59" s="42">
        <v>1.6</v>
      </c>
      <c r="V59" s="42">
        <v>2.4</v>
      </c>
      <c r="W59">
        <f t="shared" si="2"/>
        <v>0.66666666666666674</v>
      </c>
      <c r="X59" s="7">
        <f>IF(((T59 - '2026-2027 means'!E$2) / '2026-2027 means'!R$2) * (S59 / '2026-2027 means'!B$2) / 2 &lt; -2, -2, ((T59 - '2026-2027 means'!E$2) / '2026-2027 means'!R$2) * (S59 / '2026-2027 means'!B$2) / 2)</f>
        <v>0.62980027537741679</v>
      </c>
      <c r="Y59" s="11">
        <f>IF(((W59 - '2026-2027 means'!F$2) / '2026-2027 means'!S$2) * (V59 / '2026-2027 means'!D$2) &lt; -2, -2, ((W59 - '2026-2027 means'!F$2) / '2026-2027 means'!S$2) * (V59 / '2026-2027 means'!D$2))</f>
        <v>-1.0700340213543353</v>
      </c>
      <c r="Z59" s="7">
        <f>(J59-'2026-2027 means'!G$2)/'2026-2027 means'!T$2</f>
        <v>-0.59674507316564607</v>
      </c>
      <c r="AA59" s="7">
        <f>(K59-'2026-2027 means'!H$2)/'2026-2027 means'!U$2</f>
        <v>-0.85124046603005488</v>
      </c>
      <c r="AB59" s="7">
        <f>(L59-'2026-2027 means'!I$2)/'2026-2027 means'!V$2</f>
        <v>2.3777299100362828</v>
      </c>
      <c r="AC59" s="7">
        <f>(M59-'2026-2027 means'!J$2)/'2026-2027 means'!W$2</f>
        <v>-0.90317684873125736</v>
      </c>
      <c r="AD59" s="7">
        <f>(N59-'2026-2027 means'!K$2)/'2026-2027 means'!X$2</f>
        <v>-1.222228414678435</v>
      </c>
      <c r="AE59" s="7">
        <f>(O59-'2026-2027 means'!L$2)/'2026-2027 means'!Y$2</f>
        <v>2.276781545176231</v>
      </c>
      <c r="AF59" s="7">
        <f>IF(((P59 - '2026-2027 means'!M$2) / '2026-2027 means'!Z$2 * -1) &lt; -2, -2, (P59 - '2026-2027 means'!M$2) / '2026-2027 means'!Z$2 * -1)</f>
        <v>0.74477594339990116</v>
      </c>
      <c r="AG59">
        <f t="shared" si="6"/>
        <v>2</v>
      </c>
      <c r="AH59">
        <f t="shared" si="7"/>
        <v>5</v>
      </c>
      <c r="AI59" s="8">
        <f t="shared" si="8"/>
        <v>0.4</v>
      </c>
      <c r="AJ59" s="8" t="e" vm="1">
        <f t="shared" ca="1" si="9"/>
        <v>#NAME?</v>
      </c>
      <c r="AK59" s="8" t="str">
        <f t="shared" si="10"/>
        <v>, FT%, 3PM, PTS, AST, STL</v>
      </c>
      <c r="AL59" t="str">
        <f t="shared" si="11"/>
        <v>, TREB, BLK</v>
      </c>
      <c r="AM59" t="str">
        <f t="shared" si="12"/>
        <v/>
      </c>
      <c r="AN59" t="str">
        <f t="shared" si="13"/>
        <v>FG%, TO</v>
      </c>
      <c r="AO59" t="str">
        <f t="shared" si="14"/>
        <v>, FT%, 3PM, PTS, AST, STL</v>
      </c>
      <c r="AP59">
        <f>VLOOKUP(B59,'2025-2026 actuals'!B:Q,16,FALSE)</f>
        <v>56</v>
      </c>
      <c r="AQ59" s="7">
        <f t="shared" si="24"/>
        <v>1.3856628500301027</v>
      </c>
      <c r="AR59">
        <f t="shared" si="25"/>
        <v>49</v>
      </c>
    </row>
    <row r="60" spans="1:44" ht="18">
      <c r="A60" s="3">
        <f t="shared" si="3"/>
        <v>81</v>
      </c>
      <c r="B60" s="41" t="s">
        <v>957</v>
      </c>
      <c r="C60" s="1">
        <f t="shared" si="4"/>
        <v>81</v>
      </c>
      <c r="D60" s="1" t="e">
        <f t="shared" si="23"/>
        <v>#N/A</v>
      </c>
      <c r="E60" s="1">
        <f>VLOOKUP(B60,'2026-2027 adp'!A:C,3,FALSE)</f>
        <v>55.4</v>
      </c>
      <c r="F60" s="1">
        <f t="shared" si="0"/>
        <v>-25.6</v>
      </c>
      <c r="G60" s="1"/>
      <c r="H60" s="22" t="s">
        <v>544</v>
      </c>
      <c r="I60" s="22" t="s">
        <v>545</v>
      </c>
      <c r="J60" s="42">
        <v>1.2</v>
      </c>
      <c r="K60" s="42">
        <v>17.2</v>
      </c>
      <c r="L60" s="42">
        <v>7</v>
      </c>
      <c r="M60" s="42">
        <v>3.9</v>
      </c>
      <c r="N60" s="42">
        <v>1.1000000000000001</v>
      </c>
      <c r="O60" s="42">
        <v>0.6</v>
      </c>
      <c r="P60" s="42">
        <v>2.5</v>
      </c>
      <c r="Q60" s="43">
        <v>2.85</v>
      </c>
      <c r="R60" s="42">
        <v>6</v>
      </c>
      <c r="S60" s="42">
        <v>11.5</v>
      </c>
      <c r="T60">
        <f t="shared" si="1"/>
        <v>0.52173913043478259</v>
      </c>
      <c r="U60" s="42">
        <v>4</v>
      </c>
      <c r="V60" s="42">
        <v>5.0999999999999996</v>
      </c>
      <c r="W60">
        <f t="shared" si="2"/>
        <v>0.78431372549019618</v>
      </c>
      <c r="X60" s="7">
        <f>IF(((T60 - '2026-2027 means'!E$2) / '2026-2027 means'!R$2) * (S60 / '2026-2027 means'!B$2) / 2 &lt; -2, -2, ((T60 - '2026-2027 means'!E$2) / '2026-2027 means'!R$2) * (S60 / '2026-2027 means'!B$2) / 2)</f>
        <v>0.82712651243517565</v>
      </c>
      <c r="Y60" s="11">
        <f>IF(((W60 - '2026-2027 means'!F$2) / '2026-2027 means'!S$2) * (V60 / '2026-2027 means'!D$2) &lt; -2, -2, ((W60 - '2026-2027 means'!F$2) / '2026-2027 means'!S$2) * (V60 / '2026-2027 means'!D$2))</f>
        <v>-0.18793060262323483</v>
      </c>
      <c r="Z60" s="7">
        <f>(J60-'2026-2027 means'!G$2)/'2026-2027 means'!T$2</f>
        <v>-0.49152949447591393</v>
      </c>
      <c r="AA60" s="7">
        <f>(K60-'2026-2027 means'!H$2)/'2026-2027 means'!U$2</f>
        <v>0.24664219277937016</v>
      </c>
      <c r="AB60" s="7">
        <f>(L60-'2026-2027 means'!I$2)/'2026-2027 means'!V$2</f>
        <v>0.5467640132699888</v>
      </c>
      <c r="AC60" s="7">
        <f>(M60-'2026-2027 means'!J$2)/'2026-2027 means'!W$2</f>
        <v>0.12946562336762074</v>
      </c>
      <c r="AD60" s="7">
        <f>(N60-'2026-2027 means'!K$2)/'2026-2027 means'!X$2</f>
        <v>0.24532183233688692</v>
      </c>
      <c r="AE60" s="7">
        <f>(O60-'2026-2027 means'!L$2)/'2026-2027 means'!Y$2</f>
        <v>-0.15959693173817482</v>
      </c>
      <c r="AF60" s="7">
        <f>IF(((P60 - '2026-2027 means'!M$2) / '2026-2027 means'!Z$2 * -1) &lt; -2, -2, (P60 - '2026-2027 means'!M$2) / '2026-2027 means'!Z$2 * -1)</f>
        <v>-0.89278064318219519</v>
      </c>
      <c r="AG60">
        <f t="shared" si="6"/>
        <v>0</v>
      </c>
      <c r="AH60">
        <f t="shared" si="7"/>
        <v>1</v>
      </c>
      <c r="AI60" s="8">
        <f t="shared" si="8"/>
        <v>0</v>
      </c>
      <c r="AJ60" s="8" t="e" vm="1">
        <f t="shared" ca="1" si="9"/>
        <v>#NAME?</v>
      </c>
      <c r="AK60" s="8" t="str">
        <f t="shared" si="10"/>
        <v>, FT%, 3PM, BLK, TO</v>
      </c>
      <c r="AL60" t="str">
        <f t="shared" si="11"/>
        <v/>
      </c>
      <c r="AM60" t="str">
        <f t="shared" si="12"/>
        <v/>
      </c>
      <c r="AN60" t="str">
        <f t="shared" si="13"/>
        <v>FG%, PTS, TREB, AST, STL</v>
      </c>
      <c r="AO60" t="str">
        <f t="shared" si="14"/>
        <v>, FT%, 3PM, BLK, TO</v>
      </c>
      <c r="AP60" t="e">
        <f>VLOOKUP(B60,'2025-2026 actuals'!B:Q,16,FALSE)</f>
        <v>#N/A</v>
      </c>
      <c r="AQ60" s="7">
        <f t="shared" si="24"/>
        <v>0.26348250216952351</v>
      </c>
      <c r="AR60">
        <f t="shared" si="25"/>
        <v>81</v>
      </c>
    </row>
    <row r="61" spans="1:44" ht="18">
      <c r="A61" s="3">
        <f t="shared" si="3"/>
        <v>60</v>
      </c>
      <c r="B61" s="41" t="s">
        <v>357</v>
      </c>
      <c r="C61" s="1">
        <f t="shared" si="4"/>
        <v>60</v>
      </c>
      <c r="D61" s="1">
        <f t="shared" si="23"/>
        <v>38</v>
      </c>
      <c r="E61" s="1">
        <f>VLOOKUP(B61,'2026-2027 adp'!A:C,3,FALSE)</f>
        <v>110.2</v>
      </c>
      <c r="F61" s="1">
        <f t="shared" si="0"/>
        <v>50.2</v>
      </c>
      <c r="G61" s="1" t="s">
        <v>369</v>
      </c>
      <c r="H61" s="22" t="s">
        <v>546</v>
      </c>
      <c r="I61" s="22" t="s">
        <v>547</v>
      </c>
      <c r="J61" s="42">
        <v>2.2000000000000002</v>
      </c>
      <c r="K61" s="42">
        <v>16.399999999999999</v>
      </c>
      <c r="L61" s="42">
        <v>3</v>
      </c>
      <c r="M61" s="42">
        <v>5.2</v>
      </c>
      <c r="N61" s="42">
        <v>1.3</v>
      </c>
      <c r="O61" s="42">
        <v>0.2</v>
      </c>
      <c r="P61" s="42">
        <v>1.7</v>
      </c>
      <c r="Q61" s="43">
        <v>2.77</v>
      </c>
      <c r="R61" s="42">
        <v>5.9</v>
      </c>
      <c r="S61" s="42">
        <v>12.3</v>
      </c>
      <c r="T61">
        <f t="shared" si="1"/>
        <v>0.47967479674796748</v>
      </c>
      <c r="U61" s="42">
        <v>2.5</v>
      </c>
      <c r="V61" s="42">
        <v>2.9</v>
      </c>
      <c r="W61">
        <f t="shared" si="2"/>
        <v>0.86206896551724144</v>
      </c>
      <c r="X61" s="7">
        <f>IF(((T61 - '2026-2027 means'!E$2) / '2026-2027 means'!R$2) * (S61 / '2026-2027 means'!B$2) / 2 &lt; -2, -2, ((T61 - '2026-2027 means'!E$2) / '2026-2027 means'!R$2) * (S61 / '2026-2027 means'!B$2) / 2)</f>
        <v>-6.7884269651936849E-2</v>
      </c>
      <c r="Y61" s="11">
        <f>IF(((W61 - '2026-2027 means'!F$2) / '2026-2027 means'!S$2) * (V61 / '2026-2027 means'!D$2) &lt; -2, -2, ((W61 - '2026-2027 means'!F$2) / '2026-2027 means'!S$2) * (V61 / '2026-2027 means'!D$2))</f>
        <v>0.67705104513186498</v>
      </c>
      <c r="Z61" s="7">
        <f>(J61-'2026-2027 means'!G$2)/'2026-2027 means'!T$2</f>
        <v>0.56062629242140904</v>
      </c>
      <c r="AA61" s="7">
        <f>(K61-'2026-2027 means'!H$2)/'2026-2027 means'!U$2</f>
        <v>9.5210101909104478E-2</v>
      </c>
      <c r="AB61" s="7">
        <f>(L61-'2026-2027 means'!I$2)/'2026-2027 means'!V$2</f>
        <v>-1.1177504383357326</v>
      </c>
      <c r="AC61" s="7">
        <f>(M61-'2026-2027 means'!J$2)/'2026-2027 means'!W$2</f>
        <v>0.8006832302318917</v>
      </c>
      <c r="AD61" s="7">
        <f>(N61-'2026-2027 means'!K$2)/'2026-2027 means'!X$2</f>
        <v>0.83234193114301547</v>
      </c>
      <c r="AE61" s="7">
        <f>(O61-'2026-2027 means'!L$2)/'2026-2027 means'!Y$2</f>
        <v>-0.97172309070964324</v>
      </c>
      <c r="AF61" s="7">
        <f>IF(((P61 - '2026-2027 means'!M$2) / '2026-2027 means'!Z$2 * -1) &lt; -2, -2, (P61 - '2026-2027 means'!M$2) / '2026-2027 means'!Z$2 * -1)</f>
        <v>0.19892374787253581</v>
      </c>
      <c r="AG61">
        <f t="shared" si="6"/>
        <v>0</v>
      </c>
      <c r="AH61">
        <f t="shared" si="7"/>
        <v>2</v>
      </c>
      <c r="AI61" s="8">
        <f t="shared" si="8"/>
        <v>0</v>
      </c>
      <c r="AJ61" s="8" t="e" vm="1">
        <f t="shared" ca="1" si="9"/>
        <v>#NAME?</v>
      </c>
      <c r="AK61" s="8" t="str">
        <f t="shared" si="10"/>
        <v>FG%, TREB, BLK</v>
      </c>
      <c r="AL61" t="str">
        <f t="shared" si="11"/>
        <v/>
      </c>
      <c r="AM61" t="str">
        <f t="shared" si="12"/>
        <v/>
      </c>
      <c r="AN61" t="str">
        <f t="shared" si="13"/>
        <v>, FT%, 3PM, PTS, AST, STL, TO</v>
      </c>
      <c r="AO61" t="str">
        <f t="shared" si="14"/>
        <v>FG%, TREB, BLK</v>
      </c>
      <c r="AP61">
        <f>VLOOKUP(B61,'2025-2026 actuals'!B:Q,16,FALSE)</f>
        <v>38</v>
      </c>
      <c r="AQ61" s="7">
        <f t="shared" si="24"/>
        <v>1.007478550012509</v>
      </c>
      <c r="AR61">
        <f t="shared" si="25"/>
        <v>60</v>
      </c>
    </row>
    <row r="62" spans="1:44" ht="18">
      <c r="A62" s="3">
        <f t="shared" si="3"/>
        <v>48</v>
      </c>
      <c r="B62" s="41" t="s">
        <v>164</v>
      </c>
      <c r="C62" s="1">
        <f t="shared" si="4"/>
        <v>48</v>
      </c>
      <c r="D62" s="1">
        <f t="shared" si="23"/>
        <v>53</v>
      </c>
      <c r="E62" s="1">
        <f>VLOOKUP(B62,'2026-2027 adp'!A:C,3,FALSE)</f>
        <v>55</v>
      </c>
      <c r="F62" s="1">
        <f t="shared" si="0"/>
        <v>7</v>
      </c>
      <c r="G62" s="1"/>
      <c r="H62" s="22" t="s">
        <v>548</v>
      </c>
      <c r="I62" s="22" t="s">
        <v>549</v>
      </c>
      <c r="J62" s="42">
        <v>1.8</v>
      </c>
      <c r="K62" s="42">
        <v>15.4</v>
      </c>
      <c r="L62" s="42">
        <v>7.9</v>
      </c>
      <c r="M62" s="42">
        <v>2.9</v>
      </c>
      <c r="N62" s="42">
        <v>1.1000000000000001</v>
      </c>
      <c r="O62" s="42">
        <v>1.1000000000000001</v>
      </c>
      <c r="P62" s="42">
        <v>1.6</v>
      </c>
      <c r="Q62" s="43">
        <v>2.76</v>
      </c>
      <c r="R62" s="42">
        <v>5.6</v>
      </c>
      <c r="S62" s="42">
        <v>11.9</v>
      </c>
      <c r="T62">
        <f t="shared" si="1"/>
        <v>0.47058823529411759</v>
      </c>
      <c r="U62" s="42">
        <v>2.2999999999999998</v>
      </c>
      <c r="V62" s="42">
        <v>3</v>
      </c>
      <c r="W62">
        <f t="shared" si="2"/>
        <v>0.76666666666666661</v>
      </c>
      <c r="X62" s="7">
        <f>IF(((T62 - '2026-2027 means'!E$2) / '2026-2027 means'!R$2) * (S62 / '2026-2027 means'!B$2) / 2 &lt; -2, -2, ((T62 - '2026-2027 means'!E$2) / '2026-2027 means'!R$2) * (S62 / '2026-2027 means'!B$2) / 2)</f>
        <v>-0.26475094942896638</v>
      </c>
      <c r="Y62" s="11">
        <f>IF(((W62 - '2026-2027 means'!F$2) / '2026-2027 means'!S$2) * (V62 / '2026-2027 means'!D$2) &lt; -2, -2, ((W62 - '2026-2027 means'!F$2) / '2026-2027 means'!S$2) * (V62 / '2026-2027 means'!D$2))</f>
        <v>-0.29459668031555697</v>
      </c>
      <c r="Z62" s="7">
        <f>(J62-'2026-2027 means'!G$2)/'2026-2027 means'!T$2</f>
        <v>0.13976397766247983</v>
      </c>
      <c r="AA62" s="7">
        <f>(K62-'2026-2027 means'!H$2)/'2026-2027 means'!U$2</f>
        <v>-9.4080011678727121E-2</v>
      </c>
      <c r="AB62" s="7">
        <f>(L62-'2026-2027 means'!I$2)/'2026-2027 means'!V$2</f>
        <v>0.92127976488127628</v>
      </c>
      <c r="AC62" s="7">
        <f>(M62-'2026-2027 means'!J$2)/'2026-2027 means'!W$2</f>
        <v>-0.38685561268181834</v>
      </c>
      <c r="AD62" s="7">
        <f>(N62-'2026-2027 means'!K$2)/'2026-2027 means'!X$2</f>
        <v>0.24532183233688692</v>
      </c>
      <c r="AE62" s="7">
        <f>(O62-'2026-2027 means'!L$2)/'2026-2027 means'!Y$2</f>
        <v>0.85556076697616101</v>
      </c>
      <c r="AF62" s="7">
        <f>IF(((P62 - '2026-2027 means'!M$2) / '2026-2027 means'!Z$2 * -1) &lt; -2, -2, (P62 - '2026-2027 means'!M$2) / '2026-2027 means'!Z$2 * -1)</f>
        <v>0.33538679675437699</v>
      </c>
      <c r="AG62">
        <f t="shared" si="6"/>
        <v>0</v>
      </c>
      <c r="AH62">
        <f t="shared" si="7"/>
        <v>3</v>
      </c>
      <c r="AI62" s="8">
        <f t="shared" si="8"/>
        <v>0</v>
      </c>
      <c r="AJ62" s="8" t="e" vm="1">
        <f t="shared" ca="1" si="9"/>
        <v>#NAME?</v>
      </c>
      <c r="AK62" s="8" t="str">
        <f t="shared" si="10"/>
        <v>FG%, FT%, PTS, AST</v>
      </c>
      <c r="AL62" t="str">
        <f t="shared" si="11"/>
        <v/>
      </c>
      <c r="AM62" t="str">
        <f t="shared" si="12"/>
        <v/>
      </c>
      <c r="AN62" t="str">
        <f t="shared" si="13"/>
        <v>, 3PM, TREB, STL, BLK, TO</v>
      </c>
      <c r="AO62" t="str">
        <f t="shared" si="14"/>
        <v>FG%, FT%, PTS, AST</v>
      </c>
      <c r="AP62">
        <f>VLOOKUP(B62,'2025-2026 actuals'!B:Q,16,FALSE)</f>
        <v>53</v>
      </c>
      <c r="AQ62" s="7">
        <f t="shared" si="24"/>
        <v>1.4570298845061123</v>
      </c>
      <c r="AR62">
        <f t="shared" si="25"/>
        <v>48</v>
      </c>
    </row>
    <row r="63" spans="1:44" ht="18">
      <c r="A63" s="3">
        <f t="shared" si="3"/>
        <v>58</v>
      </c>
      <c r="B63" s="41" t="s">
        <v>131</v>
      </c>
      <c r="C63" s="1">
        <f t="shared" si="4"/>
        <v>58</v>
      </c>
      <c r="D63" s="1">
        <f t="shared" si="23"/>
        <v>28</v>
      </c>
      <c r="E63" s="1">
        <f>VLOOKUP(B63,'2026-2027 adp'!A:C,3,FALSE)</f>
        <v>62.2</v>
      </c>
      <c r="F63" s="23">
        <f t="shared" si="0"/>
        <v>4.2000000000000028</v>
      </c>
      <c r="G63" s="1"/>
      <c r="H63" s="22" t="s">
        <v>550</v>
      </c>
      <c r="I63" s="22" t="s">
        <v>551</v>
      </c>
      <c r="J63" s="42">
        <v>2.9</v>
      </c>
      <c r="K63" s="42">
        <v>20.100000000000001</v>
      </c>
      <c r="L63" s="42">
        <v>6.8</v>
      </c>
      <c r="M63" s="42">
        <v>2.4</v>
      </c>
      <c r="N63" s="42">
        <v>0.8</v>
      </c>
      <c r="O63" s="42">
        <v>0.4</v>
      </c>
      <c r="P63" s="42">
        <v>1.9</v>
      </c>
      <c r="Q63" s="43">
        <v>2.73</v>
      </c>
      <c r="R63" s="42">
        <v>7.2</v>
      </c>
      <c r="S63" s="42">
        <v>15.1</v>
      </c>
      <c r="T63">
        <f t="shared" si="1"/>
        <v>0.47682119205298018</v>
      </c>
      <c r="U63" s="42">
        <v>2.8</v>
      </c>
      <c r="V63" s="42">
        <v>3.3</v>
      </c>
      <c r="W63">
        <f t="shared" si="2"/>
        <v>0.84848484848484851</v>
      </c>
      <c r="X63" s="7">
        <f>IF(((T63 - '2026-2027 means'!E$2) / '2026-2027 means'!R$2) * (S63 / '2026-2027 means'!B$2) / 2 &lt; -2, -2, ((T63 - '2026-2027 means'!E$2) / '2026-2027 means'!R$2) * (S63 / '2026-2027 means'!B$2) / 2)</f>
        <v>-0.16266795880264584</v>
      </c>
      <c r="Y63" s="11">
        <f>IF(((W63 - '2026-2027 means'!F$2) / '2026-2027 means'!S$2) * (V63 / '2026-2027 means'!D$2) &lt; -2, -2, ((W63 - '2026-2027 means'!F$2) / '2026-2027 means'!S$2) * (V63 / '2026-2027 means'!D$2))</f>
        <v>0.61459491339251571</v>
      </c>
      <c r="Z63" s="7">
        <f>(J63-'2026-2027 means'!G$2)/'2026-2027 means'!T$2</f>
        <v>1.2971353432495347</v>
      </c>
      <c r="AA63" s="7">
        <f>(K63-'2026-2027 means'!H$2)/'2026-2027 means'!U$2</f>
        <v>0.79558352218408324</v>
      </c>
      <c r="AB63" s="7">
        <f>(L63-'2026-2027 means'!I$2)/'2026-2027 means'!V$2</f>
        <v>0.46353829068970265</v>
      </c>
      <c r="AC63" s="7">
        <f>(M63-'2026-2027 means'!J$2)/'2026-2027 means'!W$2</f>
        <v>-0.64501623070653791</v>
      </c>
      <c r="AD63" s="7">
        <f>(N63-'2026-2027 means'!K$2)/'2026-2027 means'!X$2</f>
        <v>-0.6352083158723062</v>
      </c>
      <c r="AE63" s="7">
        <f>(O63-'2026-2027 means'!L$2)/'2026-2027 means'!Y$2</f>
        <v>-0.56566001122390897</v>
      </c>
      <c r="AF63" s="7">
        <f>IF(((P63 - '2026-2027 means'!M$2) / '2026-2027 means'!Z$2 * -1) &lt; -2, -2, (P63 - '2026-2027 means'!M$2) / '2026-2027 means'!Z$2 * -1)</f>
        <v>-7.4002349891146874E-2</v>
      </c>
      <c r="AG63">
        <f t="shared" si="6"/>
        <v>1</v>
      </c>
      <c r="AH63">
        <f t="shared" si="7"/>
        <v>3</v>
      </c>
      <c r="AI63" s="8">
        <f t="shared" si="8"/>
        <v>0.33333333333333331</v>
      </c>
      <c r="AJ63" s="8" t="e" vm="1">
        <f t="shared" ca="1" si="9"/>
        <v>#NAME?</v>
      </c>
      <c r="AK63" s="8" t="str">
        <f t="shared" si="10"/>
        <v>FG%, AST, STL, BLK, TO</v>
      </c>
      <c r="AL63" t="str">
        <f t="shared" si="11"/>
        <v/>
      </c>
      <c r="AM63" t="str">
        <f t="shared" si="12"/>
        <v>, 3PM</v>
      </c>
      <c r="AN63" t="str">
        <f t="shared" si="13"/>
        <v>, FT%, PTS, TREB</v>
      </c>
      <c r="AO63" t="str">
        <f t="shared" si="14"/>
        <v>FG%, AST, STL, BLK, TO</v>
      </c>
      <c r="AP63">
        <f>VLOOKUP(B63,'2025-2026 actuals'!B:Q,16,FALSE)</f>
        <v>28</v>
      </c>
      <c r="AQ63" s="7">
        <f t="shared" si="24"/>
        <v>1.0882972030192908</v>
      </c>
      <c r="AR63">
        <f t="shared" si="25"/>
        <v>58</v>
      </c>
    </row>
    <row r="64" spans="1:44" ht="18">
      <c r="A64" s="3">
        <f t="shared" si="3"/>
        <v>71</v>
      </c>
      <c r="B64" s="41" t="s">
        <v>841</v>
      </c>
      <c r="C64" s="1">
        <f t="shared" si="4"/>
        <v>71</v>
      </c>
      <c r="D64" s="1">
        <f t="shared" si="23"/>
        <v>52</v>
      </c>
      <c r="E64" s="1">
        <f>VLOOKUP(B64,'2026-2027 adp'!A:C,3,FALSE)</f>
        <v>74.5</v>
      </c>
      <c r="F64" s="1">
        <f t="shared" si="0"/>
        <v>3.5</v>
      </c>
      <c r="G64" s="1"/>
      <c r="H64" s="22" t="s">
        <v>552</v>
      </c>
      <c r="I64" s="22" t="s">
        <v>553</v>
      </c>
      <c r="J64" s="42">
        <v>2.2000000000000002</v>
      </c>
      <c r="K64" s="42">
        <v>15.5</v>
      </c>
      <c r="L64" s="42">
        <v>4.2</v>
      </c>
      <c r="M64" s="42">
        <v>4.9000000000000004</v>
      </c>
      <c r="N64" s="42">
        <v>1.5</v>
      </c>
      <c r="O64" s="42">
        <v>0.5</v>
      </c>
      <c r="P64" s="42">
        <v>2.4</v>
      </c>
      <c r="Q64" s="43">
        <v>2.62</v>
      </c>
      <c r="R64" s="42">
        <v>5.9</v>
      </c>
      <c r="S64" s="42">
        <v>12.4</v>
      </c>
      <c r="T64">
        <f t="shared" si="1"/>
        <v>0.47580645161290325</v>
      </c>
      <c r="U64" s="42">
        <v>1.5</v>
      </c>
      <c r="V64" s="42">
        <v>1.9</v>
      </c>
      <c r="W64">
        <f t="shared" si="2"/>
        <v>0.78947368421052633</v>
      </c>
      <c r="X64" s="7">
        <f>IF(((T64 - '2026-2027 means'!E$2) / '2026-2027 means'!R$2) * (S64 / '2026-2027 means'!B$2) / 2 &lt; -2, -2, ((T64 - '2026-2027 means'!E$2) / '2026-2027 means'!R$2) * (S64 / '2026-2027 means'!B$2) / 2)</f>
        <v>-0.15674732916923317</v>
      </c>
      <c r="Y64" s="11">
        <f>IF(((W64 - '2026-2027 means'!F$2) / '2026-2027 means'!S$2) * (V64 / '2026-2027 means'!D$2) &lt; -2, -2, ((W64 - '2026-2027 means'!F$2) / '2026-2027 means'!S$2) * (V64 / '2026-2027 means'!D$2))</f>
        <v>-3.5930164167566371E-2</v>
      </c>
      <c r="Z64" s="7">
        <f>(J64-'2026-2027 means'!G$2)/'2026-2027 means'!T$2</f>
        <v>0.56062629242140904</v>
      </c>
      <c r="AA64" s="7">
        <f>(K64-'2026-2027 means'!H$2)/'2026-2027 means'!U$2</f>
        <v>-7.5151000319943997E-2</v>
      </c>
      <c r="AB64" s="7">
        <f>(L64-'2026-2027 means'!I$2)/'2026-2027 means'!V$2</f>
        <v>-0.61839610285401614</v>
      </c>
      <c r="AC64" s="7">
        <f>(M64-'2026-2027 means'!J$2)/'2026-2027 means'!W$2</f>
        <v>0.64578685941706004</v>
      </c>
      <c r="AD64" s="7">
        <f>(N64-'2026-2027 means'!K$2)/'2026-2027 means'!X$2</f>
        <v>1.4193620299491441</v>
      </c>
      <c r="AE64" s="7">
        <f>(O64-'2026-2027 means'!L$2)/'2026-2027 means'!Y$2</f>
        <v>-0.36262847148104194</v>
      </c>
      <c r="AF64" s="7">
        <f>IF(((P64 - '2026-2027 means'!M$2) / '2026-2027 means'!Z$2 * -1) &lt; -2, -2, (P64 - '2026-2027 means'!M$2) / '2026-2027 means'!Z$2 * -1)</f>
        <v>-0.75631759430035372</v>
      </c>
      <c r="AG64">
        <f t="shared" si="6"/>
        <v>1</v>
      </c>
      <c r="AH64">
        <f t="shared" si="7"/>
        <v>2</v>
      </c>
      <c r="AI64" s="8">
        <f t="shared" si="8"/>
        <v>0.5</v>
      </c>
      <c r="AJ64" s="8" t="e" vm="1">
        <f t="shared" ca="1" si="9"/>
        <v>#NAME?</v>
      </c>
      <c r="AK64" s="8" t="str">
        <f t="shared" si="10"/>
        <v>FG%, FT%, PTS, TREB, BLK, TO</v>
      </c>
      <c r="AL64" t="str">
        <f t="shared" si="11"/>
        <v/>
      </c>
      <c r="AM64" t="str">
        <f t="shared" si="12"/>
        <v>, STL</v>
      </c>
      <c r="AN64" t="str">
        <f t="shared" si="13"/>
        <v>, 3PM, AST</v>
      </c>
      <c r="AO64" t="str">
        <f t="shared" si="14"/>
        <v>FG%, FT%, PTS, TREB, BLK, TO</v>
      </c>
      <c r="AP64">
        <f>VLOOKUP(B64,'2025-2026 actuals'!B:Q,16,FALSE)</f>
        <v>52</v>
      </c>
      <c r="AQ64" s="7">
        <f t="shared" si="24"/>
        <v>0.62060451949545792</v>
      </c>
      <c r="AR64">
        <f t="shared" si="25"/>
        <v>71</v>
      </c>
    </row>
    <row r="65" spans="1:44" ht="18">
      <c r="A65" s="3">
        <f t="shared" si="3"/>
        <v>40</v>
      </c>
      <c r="B65" s="41" t="s">
        <v>237</v>
      </c>
      <c r="C65" s="1">
        <f t="shared" si="4"/>
        <v>40</v>
      </c>
      <c r="D65" s="1">
        <f t="shared" si="23"/>
        <v>68</v>
      </c>
      <c r="E65" s="1">
        <f>VLOOKUP(B65,'2026-2027 adp'!A:C,3,FALSE)</f>
        <v>65.2</v>
      </c>
      <c r="F65" s="1">
        <f t="shared" si="0"/>
        <v>25.200000000000003</v>
      </c>
      <c r="G65" s="1"/>
      <c r="H65" s="22" t="s">
        <v>865</v>
      </c>
      <c r="I65" s="22" t="s">
        <v>864</v>
      </c>
      <c r="J65" s="42">
        <v>0.6</v>
      </c>
      <c r="K65" s="42">
        <v>11.8</v>
      </c>
      <c r="L65" s="42">
        <v>6.1</v>
      </c>
      <c r="M65" s="42">
        <v>4.7</v>
      </c>
      <c r="N65" s="42">
        <v>2.2000000000000002</v>
      </c>
      <c r="O65" s="42">
        <v>0.6</v>
      </c>
      <c r="P65" s="42">
        <v>1.7</v>
      </c>
      <c r="Q65" s="43">
        <v>2.61</v>
      </c>
      <c r="R65" s="42">
        <v>5.0999999999999996</v>
      </c>
      <c r="S65" s="42">
        <v>10.1</v>
      </c>
      <c r="T65">
        <f t="shared" si="1"/>
        <v>0.50495049504950495</v>
      </c>
      <c r="U65" s="42">
        <v>1</v>
      </c>
      <c r="V65" s="42">
        <v>1.6</v>
      </c>
      <c r="W65">
        <f t="shared" si="2"/>
        <v>0.625</v>
      </c>
      <c r="X65" s="7">
        <f>IF(((T65 - '2026-2027 means'!E$2) / '2026-2027 means'!R$2) * (S65 / '2026-2027 means'!B$2) / 2 &lt; -2, -2, ((T65 - '2026-2027 means'!E$2) / '2026-2027 means'!R$2) * (S65 / '2026-2027 means'!B$2) / 2)</f>
        <v>0.41425259213868509</v>
      </c>
      <c r="Y65" s="11">
        <f>IF(((W65 - '2026-2027 means'!F$2) / '2026-2027 means'!S$2) * (V65 / '2026-2027 means'!D$2) &lt; -2, -2, ((W65 - '2026-2027 means'!F$2) / '2026-2027 means'!S$2) * (V65 / '2026-2027 means'!D$2))</f>
        <v>-0.94512175787563835</v>
      </c>
      <c r="Z65" s="7">
        <f>(J65-'2026-2027 means'!G$2)/'2026-2027 means'!T$2</f>
        <v>-1.1228229666143075</v>
      </c>
      <c r="AA65" s="7">
        <f>(K65-'2026-2027 means'!H$2)/'2026-2027 means'!U$2</f>
        <v>-0.77552442059492199</v>
      </c>
      <c r="AB65" s="7">
        <f>(L65-'2026-2027 means'!I$2)/'2026-2027 means'!V$2</f>
        <v>0.17224826165870133</v>
      </c>
      <c r="AC65" s="7">
        <f>(M65-'2026-2027 means'!J$2)/'2026-2027 means'!W$2</f>
        <v>0.54252261220717213</v>
      </c>
      <c r="AD65" s="7">
        <f>(N65-'2026-2027 means'!K$2)/'2026-2027 means'!X$2</f>
        <v>3.4739323757705947</v>
      </c>
      <c r="AE65" s="7">
        <f>(O65-'2026-2027 means'!L$2)/'2026-2027 means'!Y$2</f>
        <v>-0.15959693173817482</v>
      </c>
      <c r="AF65" s="7">
        <f>IF(((P65 - '2026-2027 means'!M$2) / '2026-2027 means'!Z$2 * -1) &lt; -2, -2, (P65 - '2026-2027 means'!M$2) / '2026-2027 means'!Z$2 * -1)</f>
        <v>0.19892374787253581</v>
      </c>
      <c r="AG65">
        <f t="shared" si="6"/>
        <v>1</v>
      </c>
      <c r="AH65">
        <f t="shared" si="7"/>
        <v>3</v>
      </c>
      <c r="AI65" s="8">
        <f t="shared" si="8"/>
        <v>0.33333333333333331</v>
      </c>
      <c r="AJ65" s="8" t="e" vm="1">
        <f t="shared" ca="1" si="9"/>
        <v>#NAME?</v>
      </c>
      <c r="AK65" s="8" t="str">
        <f t="shared" si="10"/>
        <v>, FT%, 3PM, PTS, BLK</v>
      </c>
      <c r="AL65" t="str">
        <f t="shared" si="11"/>
        <v>, STL</v>
      </c>
      <c r="AM65" t="str">
        <f t="shared" si="12"/>
        <v/>
      </c>
      <c r="AN65" t="str">
        <f t="shared" si="13"/>
        <v>FG%, TREB, AST, TO</v>
      </c>
      <c r="AO65" t="str">
        <f t="shared" si="14"/>
        <v>, FT%, 3PM, PTS, BLK</v>
      </c>
      <c r="AP65">
        <f>VLOOKUP(B65,'2025-2026 actuals'!B:Q,16,FALSE)</f>
        <v>68</v>
      </c>
      <c r="AQ65" s="7">
        <f t="shared" si="24"/>
        <v>1.7988135128246459</v>
      </c>
      <c r="AR65">
        <f t="shared" si="25"/>
        <v>40</v>
      </c>
    </row>
    <row r="66" spans="1:44" ht="18">
      <c r="A66" s="3">
        <f t="shared" si="3"/>
        <v>47</v>
      </c>
      <c r="B66" s="41" t="s">
        <v>122</v>
      </c>
      <c r="C66" s="1">
        <f t="shared" si="4"/>
        <v>47</v>
      </c>
      <c r="D66" s="1">
        <f t="shared" si="23"/>
        <v>98</v>
      </c>
      <c r="E66" s="1">
        <f>VLOOKUP(B66,'2026-2027 adp'!A:C,3,FALSE)</f>
        <v>50.2</v>
      </c>
      <c r="F66" s="1">
        <f t="shared" ref="F66:F129" si="26">E66-A66</f>
        <v>3.2000000000000028</v>
      </c>
      <c r="G66" s="1"/>
      <c r="H66" s="22" t="s">
        <v>554</v>
      </c>
      <c r="I66" s="22" t="s">
        <v>555</v>
      </c>
      <c r="J66" s="42">
        <v>1.8</v>
      </c>
      <c r="K66" s="42">
        <v>23.2</v>
      </c>
      <c r="L66" s="42">
        <v>7.2</v>
      </c>
      <c r="M66" s="42">
        <v>3.8</v>
      </c>
      <c r="N66" s="42">
        <v>1.1000000000000001</v>
      </c>
      <c r="O66" s="42">
        <v>0.5</v>
      </c>
      <c r="P66" s="42">
        <v>1.9</v>
      </c>
      <c r="Q66" s="43">
        <v>2.6</v>
      </c>
      <c r="R66" s="42">
        <v>8.9</v>
      </c>
      <c r="S66" s="42">
        <v>17.7</v>
      </c>
      <c r="T66">
        <f t="shared" ref="T66:T129" si="27">R66/S66</f>
        <v>0.50282485875706218</v>
      </c>
      <c r="U66" s="42">
        <v>3.7</v>
      </c>
      <c r="V66" s="42">
        <v>5.0999999999999996</v>
      </c>
      <c r="W66">
        <f t="shared" ref="W66:W129" si="28">U66/V66</f>
        <v>0.72549019607843146</v>
      </c>
      <c r="X66" s="7">
        <f>IF(((T66 - '2026-2027 means'!E$2) / '2026-2027 means'!R$2) * (S66 / '2026-2027 means'!B$2) / 2 &lt; -2, -2, ((T66 - '2026-2027 means'!E$2) / '2026-2027 means'!R$2) * (S66 / '2026-2027 means'!B$2) / 2)</f>
        <v>0.65669969487619095</v>
      </c>
      <c r="Y66" s="11">
        <f>IF(((W66 - '2026-2027 means'!F$2) / '2026-2027 means'!S$2) * (V66 / '2026-2027 means'!D$2) &lt; -2, -2, ((W66 - '2026-2027 means'!F$2) / '2026-2027 means'!S$2) * (V66 / '2026-2027 means'!D$2))</f>
        <v>-1.2308764490005988</v>
      </c>
      <c r="Z66" s="7">
        <f>(J66-'2026-2027 means'!G$2)/'2026-2027 means'!T$2</f>
        <v>0.13976397766247983</v>
      </c>
      <c r="AA66" s="7">
        <f>(K66-'2026-2027 means'!H$2)/'2026-2027 means'!U$2</f>
        <v>1.3823828743063618</v>
      </c>
      <c r="AB66" s="7">
        <f>(L66-'2026-2027 means'!I$2)/'2026-2027 means'!V$2</f>
        <v>0.62998973585027496</v>
      </c>
      <c r="AC66" s="7">
        <f>(M66-'2026-2027 means'!J$2)/'2026-2027 means'!W$2</f>
        <v>7.7833499762676783E-2</v>
      </c>
      <c r="AD66" s="7">
        <f>(N66-'2026-2027 means'!K$2)/'2026-2027 means'!X$2</f>
        <v>0.24532183233688692</v>
      </c>
      <c r="AE66" s="7">
        <f>(O66-'2026-2027 means'!L$2)/'2026-2027 means'!Y$2</f>
        <v>-0.36262847148104194</v>
      </c>
      <c r="AF66" s="7">
        <f>IF(((P66 - '2026-2027 means'!M$2) / '2026-2027 means'!Z$2 * -1) &lt; -2, -2, (P66 - '2026-2027 means'!M$2) / '2026-2027 means'!Z$2 * -1)</f>
        <v>-7.4002349891146874E-2</v>
      </c>
      <c r="AG66">
        <f t="shared" ref="AG66:AG129" si="29">COUNTIFS(X66:AE66,"&gt;="&amp;1)</f>
        <v>1</v>
      </c>
      <c r="AH66">
        <f t="shared" ref="AH66:AH129" si="30">COUNTIFS(X66:AE66,"&lt;="&amp;-0.25)</f>
        <v>2</v>
      </c>
      <c r="AI66" s="8">
        <f t="shared" ref="AI66:AI129" si="31">AG66/AH66</f>
        <v>0.5</v>
      </c>
      <c r="AJ66" s="8" t="e" vm="1">
        <f t="shared" ref="AJ66:AJ129" ca="1" si="32">_xlfn.CONCAT(AL66,AM66,AN66)</f>
        <v>#NAME?</v>
      </c>
      <c r="AK66" s="8" t="str">
        <f t="shared" ref="AK66:AK129" si="33">AO66</f>
        <v>, FT%, BLK, TO</v>
      </c>
      <c r="AL66" t="str">
        <f t="shared" ref="AL66:AL129" si="34">IF(X66&gt;2, "FG%", "") &amp; IF(Y66&gt;2, ", FT%", "") &amp; IF(Z66&gt;2, ", 3PM", "") &amp; IF(AA66&gt;2, ", PTS", "") &amp; IF(AB66&gt;2, ", TREB", "") &amp; IF(AC66&gt;2, ", AST", "") &amp; IF(AD66&gt;2, ", STL", "") &amp; IF(AE66&gt;2, ", BLK", "") &amp; IF(AF66&gt;2, ", TO", "")</f>
        <v/>
      </c>
      <c r="AM66" t="str">
        <f t="shared" ref="AM66:AM129" si="35">IF(AND(X66&gt;=1, X66&lt;2), "FG%", "") &amp; IF(AND(Y66&gt;=1, Y66&lt;2), IF(X66="", "FT%", ", FT%"), "") &amp; IF(AND(Z66&gt;=1, Z66&lt;2), IF(OR(X66="", Y66=""), "3PM", ", 3PM"), "") &amp; IF(AND(AA66&gt;=1, AA66&lt;2), IF(OR(X66="", Y66="", Z66=""), "PTS", ", PTS"), "") &amp; IF(AND(AB66&gt;=1, AB66&lt;2), IF(OR(X66="", Y66="", Z66="", AA66=""), "TREB", ", TREB"), "") &amp; IF(AND(AC66&gt;=1, AC66&lt;2), IF(OR(X66="", Y66="", Z66="", AA66="", AB66=""), "AST", ", AST"), "") &amp; IF(AND(AD66&gt;=1, AD66&lt;2), IF(OR(X66="", Y66="", Z66="", AA66="", AB66="", AC66=""), "STL", ", STL"), "") &amp; IF(AND(AE66&gt;=1, AE66&lt;2), IF(OR(X66="", Y66="", Z66="", AA66="", AB66="", AC66="", AD66=""), "BLK", ", BLK"), "") &amp; IF(AND(AF66&gt;=1, AF66&lt;2), IF(OR(X66="", Y66="", Z66="", AA66="", AB66="", AC66="", AD66="", AE66=""), "TO", ", TO"), "")</f>
        <v>, PTS</v>
      </c>
      <c r="AN66" t="str">
        <f t="shared" ref="AN66:AN129" si="36">IF(AND(X66&gt;=0, X66&lt;1), "FG%", "") &amp; IF(AND(Y66&gt;=0, Y66&lt;1), IF(X66="", "FT%", ", FT%"), "") &amp; IF(AND(Z66&gt;=0, Z66&lt;1), IF(AND(X66="", Y66=""), "3PM", ", 3PM"), "") &amp; IF(AND(AA66&gt;=0, AA66&lt;1), IF(AND(X66="", Y66="", Z66=""), "PTS", ", PTS"), "") &amp; IF(AND(AB66&gt;=0, AB66&lt;1), IF(AND(X66="", Y66="", Z66="", AA66=""), "TREB", ", TREB"), "") &amp; IF(AND(AC66&gt;=0, AC66&lt;1), IF(AND(X66="", Y66="", Z66="", AA66="", AB66=""), "AST", ", AST"), "") &amp; IF(AND(AD66&gt;=0, AD66&lt;1), IF(AND(X66="", Y66="", Z66="", AA66="", AB66="", AC66=""), "STL", ", STL"), "") &amp; IF(AND(AE66&gt;=0, AE66&lt;1), IF(AND(X66="", Y66="", Z66="", AA66="", AB66="", AC66="", AD66=""), "BLK", ", BLK"), "") &amp; IF(AND(AF66&gt;=0, AF66&lt;1), IF(AND(X66="", Y66="", Z66="", AA66="", AB66="", AC66="", AD66="", AE66=""), "TO", ", TO"), "")</f>
        <v>FG%, 3PM, TREB, AST, STL</v>
      </c>
      <c r="AO66" t="str">
        <f t="shared" ref="AO66:AO129" si="37">IF(X66&lt;0, "FG%", "") &amp; IF(Y66&lt;0, IF(X66="", "FT%", ", FT%"), "") &amp; IF(Z66&lt;0, IF(AND(X66="", Y66=""), "3PM", ", 3PM"), "") &amp; IF(AA66&lt;0, IF(AND(X66="", Y66="", Z66=""), "PTS", ", PTS"), "") &amp; IF(AB66&lt;0, IF(AND(X66="", Y66="", Z66="", AA66=""), "TREB", ", TREB"), "") &amp; IF(AC66&lt;0, IF(AND(X66="", Y66="", Z66="", AA66="", AB66=""), "AST", ", AST"), "") &amp; IF(AD66&lt;0, IF(AND(X66="", Y66="", Z66="", AA66="", AB66="", AC66=""), "STL", ", STL"), "") &amp; IF(AE66&lt;0, IF(AND(X66="", Y66="", Z66="", AA66="", AB66="", AC66="", AD66=""), "BLK", ", BLK"), "") &amp; IF(AF66&lt;0, IF(AND(X66="", Y66="", Z66="", AA66="", AB66="", AC66="", AD66="", AE66=""), "TO", ", TO"), "")</f>
        <v>, FT%, BLK, TO</v>
      </c>
      <c r="AP66">
        <f>VLOOKUP(B66,'2025-2026 actuals'!B:Q,16,FALSE)</f>
        <v>98</v>
      </c>
      <c r="AQ66" s="7">
        <f t="shared" si="24"/>
        <v>1.4644843444220836</v>
      </c>
      <c r="AR66">
        <f t="shared" si="25"/>
        <v>47</v>
      </c>
    </row>
    <row r="67" spans="1:44" ht="18">
      <c r="A67" s="3">
        <f t="shared" ref="A67:A130" si="38">C67</f>
        <v>64</v>
      </c>
      <c r="B67" s="41" t="s">
        <v>154</v>
      </c>
      <c r="C67" s="1">
        <f t="shared" ref="C67:C130" si="39">AR67</f>
        <v>64</v>
      </c>
      <c r="D67" s="1">
        <f t="shared" si="23"/>
        <v>99</v>
      </c>
      <c r="E67" s="1">
        <f>VLOOKUP(B67,'2026-2027 adp'!A:C,3,FALSE)</f>
        <v>61.9</v>
      </c>
      <c r="F67" s="1">
        <f t="shared" si="26"/>
        <v>-2.1000000000000014</v>
      </c>
      <c r="G67" s="1"/>
      <c r="H67" s="22" t="s">
        <v>556</v>
      </c>
      <c r="I67" s="22" t="s">
        <v>557</v>
      </c>
      <c r="J67" s="42">
        <v>0</v>
      </c>
      <c r="K67" s="42">
        <v>15.2</v>
      </c>
      <c r="L67" s="42">
        <v>11.5</v>
      </c>
      <c r="M67" s="42">
        <v>2.4</v>
      </c>
      <c r="N67" s="42">
        <v>0.6</v>
      </c>
      <c r="O67" s="42">
        <v>1</v>
      </c>
      <c r="P67" s="42">
        <v>1.6</v>
      </c>
      <c r="Q67" s="43">
        <v>2.59</v>
      </c>
      <c r="R67" s="42">
        <v>6.6</v>
      </c>
      <c r="S67" s="42">
        <v>10.7</v>
      </c>
      <c r="T67">
        <f t="shared" si="27"/>
        <v>0.61682242990654201</v>
      </c>
      <c r="U67" s="42">
        <v>1.9</v>
      </c>
      <c r="V67" s="42">
        <v>2.9</v>
      </c>
      <c r="W67">
        <f t="shared" si="28"/>
        <v>0.65517241379310343</v>
      </c>
      <c r="X67" s="7">
        <f>IF(((T67 - '2026-2027 means'!E$2) / '2026-2027 means'!R$2) * (S67 / '2026-2027 means'!B$2) / 2 &lt; -2, -2, ((T67 - '2026-2027 means'!E$2) / '2026-2027 means'!R$2) * (S67 / '2026-2027 means'!B$2) / 2)</f>
        <v>2.6426688242659804</v>
      </c>
      <c r="Y67" s="11">
        <f>IF(((W67 - '2026-2027 means'!F$2) / '2026-2027 means'!S$2) * (V67 / '2026-2027 means'!D$2) &lt; -2, -2, ((W67 - '2026-2027 means'!F$2) / '2026-2027 means'!S$2) * (V67 / '2026-2027 means'!D$2))</f>
        <v>-1.4088406476228634</v>
      </c>
      <c r="Z67" s="7">
        <f>(J67-'2026-2027 means'!G$2)/'2026-2027 means'!T$2</f>
        <v>-1.7541164387527013</v>
      </c>
      <c r="AA67" s="7">
        <f>(K67-'2026-2027 means'!H$2)/'2026-2027 means'!U$2</f>
        <v>-0.1319380343962937</v>
      </c>
      <c r="AB67" s="7">
        <f>(L67-'2026-2027 means'!I$2)/'2026-2027 means'!V$2</f>
        <v>2.4193427713264257</v>
      </c>
      <c r="AC67" s="7">
        <f>(M67-'2026-2027 means'!J$2)/'2026-2027 means'!W$2</f>
        <v>-0.64501623070653791</v>
      </c>
      <c r="AD67" s="7">
        <f>(N67-'2026-2027 means'!K$2)/'2026-2027 means'!X$2</f>
        <v>-1.222228414678435</v>
      </c>
      <c r="AE67" s="7">
        <f>(O67-'2026-2027 means'!L$2)/'2026-2027 means'!Y$2</f>
        <v>0.65252922723329376</v>
      </c>
      <c r="AF67" s="7">
        <f>IF(((P67 - '2026-2027 means'!M$2) / '2026-2027 means'!Z$2 * -1) &lt; -2, -2, (P67 - '2026-2027 means'!M$2) / '2026-2027 means'!Z$2 * -1)</f>
        <v>0.33538679675437699</v>
      </c>
      <c r="AG67">
        <f t="shared" si="29"/>
        <v>2</v>
      </c>
      <c r="AH67">
        <f t="shared" si="30"/>
        <v>4</v>
      </c>
      <c r="AI67" s="8">
        <f t="shared" si="31"/>
        <v>0.5</v>
      </c>
      <c r="AJ67" s="8" t="e" vm="1">
        <f t="shared" ca="1" si="32"/>
        <v>#NAME?</v>
      </c>
      <c r="AK67" s="8" t="str">
        <f t="shared" si="33"/>
        <v>, FT%, 3PM, PTS, AST, STL</v>
      </c>
      <c r="AL67" t="str">
        <f t="shared" si="34"/>
        <v>FG%, TREB</v>
      </c>
      <c r="AM67" t="str">
        <f t="shared" si="35"/>
        <v/>
      </c>
      <c r="AN67" t="str">
        <f t="shared" si="36"/>
        <v>, BLK, TO</v>
      </c>
      <c r="AO67" t="str">
        <f t="shared" si="37"/>
        <v>, FT%, 3PM, PTS, AST, STL</v>
      </c>
      <c r="AP67">
        <f>VLOOKUP(B67,'2025-2026 actuals'!B:Q,16,FALSE)</f>
        <v>99</v>
      </c>
      <c r="AQ67" s="7">
        <f t="shared" si="24"/>
        <v>0.88778785342324551</v>
      </c>
      <c r="AR67">
        <f t="shared" si="25"/>
        <v>64</v>
      </c>
    </row>
    <row r="68" spans="1:44" ht="18">
      <c r="A68" s="3">
        <f t="shared" si="38"/>
        <v>67</v>
      </c>
      <c r="B68" s="41" t="s">
        <v>227</v>
      </c>
      <c r="C68" s="1">
        <f t="shared" si="39"/>
        <v>67</v>
      </c>
      <c r="D68" s="1">
        <f t="shared" si="23"/>
        <v>67</v>
      </c>
      <c r="E68" s="1">
        <f>VLOOKUP(B68,'2026-2027 adp'!A:C,3,FALSE)</f>
        <v>92.1</v>
      </c>
      <c r="F68" s="1">
        <f t="shared" si="26"/>
        <v>25.099999999999994</v>
      </c>
      <c r="G68" s="1"/>
      <c r="H68" s="22" t="s">
        <v>558</v>
      </c>
      <c r="I68" s="22" t="s">
        <v>559</v>
      </c>
      <c r="J68" s="42">
        <v>1.5</v>
      </c>
      <c r="K68" s="42">
        <v>15.3</v>
      </c>
      <c r="L68" s="42">
        <v>5.8</v>
      </c>
      <c r="M68" s="42">
        <v>2.7</v>
      </c>
      <c r="N68" s="42">
        <v>1.1000000000000001</v>
      </c>
      <c r="O68" s="42">
        <v>1</v>
      </c>
      <c r="P68" s="42">
        <v>1.7</v>
      </c>
      <c r="Q68" s="43">
        <v>2.52</v>
      </c>
      <c r="R68" s="42">
        <v>6</v>
      </c>
      <c r="S68" s="42">
        <v>12.1</v>
      </c>
      <c r="T68">
        <f t="shared" si="27"/>
        <v>0.49586776859504134</v>
      </c>
      <c r="U68" s="42">
        <v>1.8</v>
      </c>
      <c r="V68" s="42">
        <v>2.2000000000000002</v>
      </c>
      <c r="W68">
        <f t="shared" si="28"/>
        <v>0.81818181818181812</v>
      </c>
      <c r="X68" s="7">
        <f>IF(((T68 - '2026-2027 means'!E$2) / '2026-2027 means'!R$2) * (S68 / '2026-2027 means'!B$2) / 2 &lt; -2, -2, ((T68 - '2026-2027 means'!E$2) / '2026-2027 means'!R$2) * (S68 / '2026-2027 means'!B$2) / 2)</f>
        <v>0.29394815533139551</v>
      </c>
      <c r="Y68" s="11">
        <f>IF(((W68 - '2026-2027 means'!F$2) / '2026-2027 means'!S$2) * (V68 / '2026-2027 means'!D$2) &lt; -2, -2, ((W68 - '2026-2027 means'!F$2) / '2026-2027 means'!S$2) * (V68 / '2026-2027 means'!D$2))</f>
        <v>0.17796419862226237</v>
      </c>
      <c r="Z68" s="7">
        <f>(J68-'2026-2027 means'!G$2)/'2026-2027 means'!T$2</f>
        <v>-0.17588275840671705</v>
      </c>
      <c r="AA68" s="7">
        <f>(K68-'2026-2027 means'!H$2)/'2026-2027 means'!U$2</f>
        <v>-0.11300902303751025</v>
      </c>
      <c r="AB68" s="7">
        <f>(L68-'2026-2027 means'!I$2)/'2026-2027 means'!V$2</f>
        <v>4.7409677788272299E-2</v>
      </c>
      <c r="AC68" s="7">
        <f>(M68-'2026-2027 means'!J$2)/'2026-2027 means'!W$2</f>
        <v>-0.49011985989170598</v>
      </c>
      <c r="AD68" s="7">
        <f>(N68-'2026-2027 means'!K$2)/'2026-2027 means'!X$2</f>
        <v>0.24532183233688692</v>
      </c>
      <c r="AE68" s="7">
        <f>(O68-'2026-2027 means'!L$2)/'2026-2027 means'!Y$2</f>
        <v>0.65252922723329376</v>
      </c>
      <c r="AF68" s="7">
        <f>IF(((P68 - '2026-2027 means'!M$2) / '2026-2027 means'!Z$2 * -1) &lt; -2, -2, (P68 - '2026-2027 means'!M$2) / '2026-2027 means'!Z$2 * -1)</f>
        <v>0.19892374787253581</v>
      </c>
      <c r="AG68">
        <f t="shared" si="29"/>
        <v>0</v>
      </c>
      <c r="AH68">
        <f t="shared" si="30"/>
        <v>1</v>
      </c>
      <c r="AI68" s="8">
        <f t="shared" si="31"/>
        <v>0</v>
      </c>
      <c r="AJ68" s="8" t="e" vm="1">
        <f t="shared" ca="1" si="32"/>
        <v>#NAME?</v>
      </c>
      <c r="AK68" s="8" t="str">
        <f t="shared" si="33"/>
        <v>, 3PM, PTS, AST</v>
      </c>
      <c r="AL68" t="str">
        <f t="shared" si="34"/>
        <v/>
      </c>
      <c r="AM68" t="str">
        <f t="shared" si="35"/>
        <v/>
      </c>
      <c r="AN68" t="str">
        <f t="shared" si="36"/>
        <v>FG%, FT%, TREB, STL, BLK, TO</v>
      </c>
      <c r="AO68" t="str">
        <f t="shared" si="37"/>
        <v>, 3PM, PTS, AST</v>
      </c>
      <c r="AP68">
        <f>VLOOKUP(B68,'2025-2026 actuals'!B:Q,16,FALSE)</f>
        <v>67</v>
      </c>
      <c r="AQ68" s="7">
        <f t="shared" si="24"/>
        <v>0.83708519784871349</v>
      </c>
      <c r="AR68">
        <f t="shared" si="25"/>
        <v>67</v>
      </c>
    </row>
    <row r="69" spans="1:44" ht="18">
      <c r="A69" s="3">
        <f t="shared" si="38"/>
        <v>97</v>
      </c>
      <c r="B69" s="41" t="s">
        <v>124</v>
      </c>
      <c r="C69" s="1">
        <f t="shared" si="39"/>
        <v>97</v>
      </c>
      <c r="D69" s="1">
        <f t="shared" si="23"/>
        <v>96</v>
      </c>
      <c r="E69" s="1">
        <f>VLOOKUP(B69,'2026-2027 adp'!A:C,3,FALSE)</f>
        <v>101.8</v>
      </c>
      <c r="F69" s="23">
        <f t="shared" si="26"/>
        <v>4.7999999999999972</v>
      </c>
      <c r="G69" s="1"/>
      <c r="H69" s="22" t="s">
        <v>560</v>
      </c>
      <c r="I69" s="22" t="s">
        <v>561</v>
      </c>
      <c r="J69" s="42">
        <v>2.9</v>
      </c>
      <c r="K69" s="42">
        <v>21.1</v>
      </c>
      <c r="L69" s="42">
        <v>3.6</v>
      </c>
      <c r="M69" s="42">
        <v>3.4</v>
      </c>
      <c r="N69" s="42">
        <v>0.7</v>
      </c>
      <c r="O69" s="42">
        <v>0.2</v>
      </c>
      <c r="P69" s="42">
        <v>2.4</v>
      </c>
      <c r="Q69" s="43">
        <v>2.4700000000000002</v>
      </c>
      <c r="R69" s="42">
        <v>7.6</v>
      </c>
      <c r="S69" s="42">
        <v>15.1</v>
      </c>
      <c r="T69">
        <f t="shared" si="27"/>
        <v>0.50331125827814571</v>
      </c>
      <c r="U69" s="42">
        <v>3.1</v>
      </c>
      <c r="V69" s="42">
        <v>3.7</v>
      </c>
      <c r="W69">
        <f t="shared" si="28"/>
        <v>0.83783783783783783</v>
      </c>
      <c r="X69" s="7">
        <f>IF(((T69 - '2026-2027 means'!E$2) / '2026-2027 means'!R$2) * (S69 / '2026-2027 means'!B$2) / 2 &lt; -2, -2, ((T69 - '2026-2027 means'!E$2) / '2026-2027 means'!R$2) * (S69 / '2026-2027 means'!B$2) / 2)</f>
        <v>0.57375726499230717</v>
      </c>
      <c r="Y69" s="11">
        <f>IF(((W69 - '2026-2027 means'!F$2) / '2026-2027 means'!S$2) * (V69 / '2026-2027 means'!D$2) &lt; -2, -2, ((W69 - '2026-2027 means'!F$2) / '2026-2027 means'!S$2) * (V69 / '2026-2027 means'!D$2))</f>
        <v>0.55213878165316654</v>
      </c>
      <c r="Z69" s="7">
        <f>(J69-'2026-2027 means'!G$2)/'2026-2027 means'!T$2</f>
        <v>1.2971353432495347</v>
      </c>
      <c r="AA69" s="7">
        <f>(K69-'2026-2027 means'!H$2)/'2026-2027 means'!U$2</f>
        <v>0.98487363577191511</v>
      </c>
      <c r="AB69" s="7">
        <f>(L69-'2026-2027 means'!I$2)/'2026-2027 means'!V$2</f>
        <v>-0.86807327059487438</v>
      </c>
      <c r="AC69" s="7">
        <f>(M69-'2026-2027 means'!J$2)/'2026-2027 means'!W$2</f>
        <v>-0.1286949946570988</v>
      </c>
      <c r="AD69" s="7">
        <f>(N69-'2026-2027 means'!K$2)/'2026-2027 means'!X$2</f>
        <v>-0.92871836527537077</v>
      </c>
      <c r="AE69" s="7">
        <f>(O69-'2026-2027 means'!L$2)/'2026-2027 means'!Y$2</f>
        <v>-0.97172309070964324</v>
      </c>
      <c r="AF69" s="7">
        <f>IF(((P69 - '2026-2027 means'!M$2) / '2026-2027 means'!Z$2 * -1) &lt; -2, -2, (P69 - '2026-2027 means'!M$2) / '2026-2027 means'!Z$2 * -1)</f>
        <v>-0.75631759430035372</v>
      </c>
      <c r="AG69">
        <f t="shared" si="29"/>
        <v>1</v>
      </c>
      <c r="AH69">
        <f t="shared" si="30"/>
        <v>3</v>
      </c>
      <c r="AI69" s="8">
        <f t="shared" si="31"/>
        <v>0.33333333333333331</v>
      </c>
      <c r="AJ69" s="8" t="e" vm="1">
        <f t="shared" ca="1" si="32"/>
        <v>#NAME?</v>
      </c>
      <c r="AK69" s="8" t="str">
        <f t="shared" si="33"/>
        <v>, TREB, AST, STL, BLK, TO</v>
      </c>
      <c r="AL69" t="str">
        <f t="shared" si="34"/>
        <v/>
      </c>
      <c r="AM69" t="str">
        <f t="shared" si="35"/>
        <v>, 3PM</v>
      </c>
      <c r="AN69" t="str">
        <f t="shared" si="36"/>
        <v>FG%, FT%, PTS</v>
      </c>
      <c r="AO69" t="str">
        <f t="shared" si="37"/>
        <v>, TREB, AST, STL, BLK, TO</v>
      </c>
      <c r="AP69">
        <f>VLOOKUP(B69,'2025-2026 actuals'!B:Q,16,FALSE)</f>
        <v>96</v>
      </c>
      <c r="AQ69" s="7">
        <f t="shared" si="24"/>
        <v>-0.24562228987041723</v>
      </c>
      <c r="AR69">
        <f t="shared" si="25"/>
        <v>97</v>
      </c>
    </row>
    <row r="70" spans="1:44" ht="18">
      <c r="A70" s="3">
        <f t="shared" si="38"/>
        <v>95</v>
      </c>
      <c r="B70" s="41" t="s">
        <v>118</v>
      </c>
      <c r="C70" s="1">
        <f t="shared" si="39"/>
        <v>95</v>
      </c>
      <c r="D70" s="1">
        <f t="shared" si="23"/>
        <v>33</v>
      </c>
      <c r="E70" s="1">
        <f>VLOOKUP(B70,'2026-2027 adp'!A:C,3,FALSE)</f>
        <v>30.3</v>
      </c>
      <c r="F70" s="1">
        <f t="shared" si="26"/>
        <v>-64.7</v>
      </c>
      <c r="G70" s="1"/>
      <c r="H70" s="22" t="s">
        <v>562</v>
      </c>
      <c r="I70" s="22" t="s">
        <v>563</v>
      </c>
      <c r="J70" s="42">
        <v>1.7</v>
      </c>
      <c r="K70" s="42">
        <v>22.6</v>
      </c>
      <c r="L70" s="42">
        <v>5.7</v>
      </c>
      <c r="M70" s="42">
        <v>3.4</v>
      </c>
      <c r="N70" s="42">
        <v>1.1000000000000001</v>
      </c>
      <c r="O70" s="42">
        <v>0.5</v>
      </c>
      <c r="P70" s="42">
        <v>2.5</v>
      </c>
      <c r="Q70" s="43">
        <v>2.42</v>
      </c>
      <c r="R70" s="42">
        <v>8.3000000000000007</v>
      </c>
      <c r="S70" s="42">
        <v>17</v>
      </c>
      <c r="T70">
        <f t="shared" si="27"/>
        <v>0.4882352941176471</v>
      </c>
      <c r="U70" s="42">
        <v>4.3</v>
      </c>
      <c r="V70" s="42">
        <v>5.6</v>
      </c>
      <c r="W70">
        <f t="shared" si="28"/>
        <v>0.7678571428571429</v>
      </c>
      <c r="X70" s="7">
        <f>IF(((T70 - '2026-2027 means'!E$2) / '2026-2027 means'!R$2) * (S70 / '2026-2027 means'!B$2) / 2 &lt; -2, -2, ((T70 - '2026-2027 means'!E$2) / '2026-2027 means'!R$2) * (S70 / '2026-2027 means'!B$2) / 2)</f>
        <v>0.17410327580483809</v>
      </c>
      <c r="Y70" s="11">
        <f>IF(((W70 - '2026-2027 means'!F$2) / '2026-2027 means'!S$2) * (V70 / '2026-2027 means'!D$2) &lt; -2, -2, ((W70 - '2026-2027 means'!F$2) / '2026-2027 means'!S$2) * (V70 / '2026-2027 means'!D$2))</f>
        <v>-0.52673722889176278</v>
      </c>
      <c r="Z70" s="7">
        <f>(J70-'2026-2027 means'!G$2)/'2026-2027 means'!T$2</f>
        <v>3.4548398972747453E-2</v>
      </c>
      <c r="AA70" s="7">
        <f>(K70-'2026-2027 means'!H$2)/'2026-2027 means'!U$2</f>
        <v>1.2688088061536631</v>
      </c>
      <c r="AB70" s="7">
        <f>(L70-'2026-2027 means'!I$2)/'2026-2027 means'!V$2</f>
        <v>5.7968164981294073E-3</v>
      </c>
      <c r="AC70" s="7">
        <f>(M70-'2026-2027 means'!J$2)/'2026-2027 means'!W$2</f>
        <v>-0.1286949946570988</v>
      </c>
      <c r="AD70" s="7">
        <f>(N70-'2026-2027 means'!K$2)/'2026-2027 means'!X$2</f>
        <v>0.24532183233688692</v>
      </c>
      <c r="AE70" s="7">
        <f>(O70-'2026-2027 means'!L$2)/'2026-2027 means'!Y$2</f>
        <v>-0.36262847148104194</v>
      </c>
      <c r="AF70" s="7">
        <f>IF(((P70 - '2026-2027 means'!M$2) / '2026-2027 means'!Z$2 * -1) &lt; -2, -2, (P70 - '2026-2027 means'!M$2) / '2026-2027 means'!Z$2 * -1)</f>
        <v>-0.89278064318219519</v>
      </c>
      <c r="AG70">
        <f t="shared" si="29"/>
        <v>1</v>
      </c>
      <c r="AH70">
        <f t="shared" si="30"/>
        <v>2</v>
      </c>
      <c r="AI70" s="8">
        <f t="shared" si="31"/>
        <v>0.5</v>
      </c>
      <c r="AJ70" s="8" t="e" vm="1">
        <f t="shared" ca="1" si="32"/>
        <v>#NAME?</v>
      </c>
      <c r="AK70" s="8" t="str">
        <f t="shared" si="33"/>
        <v>, FT%, AST, BLK, TO</v>
      </c>
      <c r="AL70" t="str">
        <f t="shared" si="34"/>
        <v/>
      </c>
      <c r="AM70" t="str">
        <f t="shared" si="35"/>
        <v>, PTS</v>
      </c>
      <c r="AN70" t="str">
        <f t="shared" si="36"/>
        <v>FG%, 3PM, TREB, STL</v>
      </c>
      <c r="AO70" t="str">
        <f t="shared" si="37"/>
        <v>, FT%, AST, BLK, TO</v>
      </c>
      <c r="AP70">
        <f>VLOOKUP(B70,'2025-2026 actuals'!B:Q,16,FALSE)</f>
        <v>33</v>
      </c>
      <c r="AQ70" s="7">
        <f t="shared" si="24"/>
        <v>-0.18226220844583363</v>
      </c>
      <c r="AR70">
        <f t="shared" si="25"/>
        <v>95</v>
      </c>
    </row>
    <row r="71" spans="1:44" ht="18">
      <c r="A71" s="3">
        <f t="shared" si="38"/>
        <v>87</v>
      </c>
      <c r="B71" s="41" t="s">
        <v>83</v>
      </c>
      <c r="C71" s="1">
        <f t="shared" si="39"/>
        <v>87</v>
      </c>
      <c r="D71" s="1">
        <f t="shared" si="23"/>
        <v>71</v>
      </c>
      <c r="E71" s="1">
        <f>VLOOKUP(B71,'2026-2027 adp'!A:C,3,FALSE)</f>
        <v>80.099999999999994</v>
      </c>
      <c r="F71" s="1">
        <f t="shared" si="26"/>
        <v>-6.9000000000000057</v>
      </c>
      <c r="G71" s="1"/>
      <c r="H71" s="22" t="s">
        <v>564</v>
      </c>
      <c r="I71" s="22" t="s">
        <v>565</v>
      </c>
      <c r="J71" s="42">
        <v>1.7</v>
      </c>
      <c r="K71" s="42">
        <v>18.899999999999999</v>
      </c>
      <c r="L71" s="42">
        <v>3.9</v>
      </c>
      <c r="M71" s="42">
        <v>5.8</v>
      </c>
      <c r="N71" s="42">
        <v>1.2</v>
      </c>
      <c r="O71" s="42">
        <v>0.3</v>
      </c>
      <c r="P71" s="42">
        <v>2.2999999999999998</v>
      </c>
      <c r="Q71" s="43">
        <v>2.42</v>
      </c>
      <c r="R71" s="42">
        <v>7</v>
      </c>
      <c r="S71" s="42">
        <v>14.5</v>
      </c>
      <c r="T71">
        <f t="shared" si="27"/>
        <v>0.48275862068965519</v>
      </c>
      <c r="U71" s="42">
        <v>3.1</v>
      </c>
      <c r="V71" s="42">
        <v>3.9</v>
      </c>
      <c r="W71">
        <f t="shared" si="28"/>
        <v>0.79487179487179493</v>
      </c>
      <c r="X71" s="7">
        <f>IF(((T71 - '2026-2027 means'!E$2) / '2026-2027 means'!R$2) * (S71 / '2026-2027 means'!B$2) / 2 &lt; -2, -2, ((T71 - '2026-2027 means'!E$2) / '2026-2027 means'!R$2) * (S71 / '2026-2027 means'!B$2) / 2)</f>
        <v>2.2977864036572591E-3</v>
      </c>
      <c r="Y71" s="11">
        <f>IF(((W71 - '2026-2027 means'!F$2) / '2026-2027 means'!S$2) * (V71 / '2026-2027 means'!D$2) &lt; -2, -2, ((W71 - '2026-2027 means'!F$2) / '2026-2027 means'!S$2) * (V71 / '2026-2027 means'!D$2))</f>
        <v>-5.6220740518896767E-4</v>
      </c>
      <c r="Z71" s="7">
        <f>(J71-'2026-2027 means'!G$2)/'2026-2027 means'!T$2</f>
        <v>3.4548398972747453E-2</v>
      </c>
      <c r="AA71" s="7">
        <f>(K71-'2026-2027 means'!H$2)/'2026-2027 means'!U$2</f>
        <v>0.56843538587868436</v>
      </c>
      <c r="AB71" s="7">
        <f>(L71-'2026-2027 means'!I$2)/'2026-2027 means'!V$2</f>
        <v>-0.74323468672444537</v>
      </c>
      <c r="AC71" s="7">
        <f>(M71-'2026-2027 means'!J$2)/'2026-2027 means'!W$2</f>
        <v>1.1104759718615549</v>
      </c>
      <c r="AD71" s="7">
        <f>(N71-'2026-2027 means'!K$2)/'2026-2027 means'!X$2</f>
        <v>0.53883188173995089</v>
      </c>
      <c r="AE71" s="7">
        <f>(O71-'2026-2027 means'!L$2)/'2026-2027 means'!Y$2</f>
        <v>-0.76869155096677622</v>
      </c>
      <c r="AF71" s="7">
        <f>IF(((P71 - '2026-2027 means'!M$2) / '2026-2027 means'!Z$2 * -1) &lt; -2, -2, (P71 - '2026-2027 means'!M$2) / '2026-2027 means'!Z$2 * -1)</f>
        <v>-0.61985454541851226</v>
      </c>
      <c r="AG71">
        <f t="shared" si="29"/>
        <v>1</v>
      </c>
      <c r="AH71">
        <f t="shared" si="30"/>
        <v>2</v>
      </c>
      <c r="AI71" s="8">
        <f t="shared" si="31"/>
        <v>0.5</v>
      </c>
      <c r="AJ71" s="8" t="e" vm="1">
        <f t="shared" ca="1" si="32"/>
        <v>#NAME?</v>
      </c>
      <c r="AK71" s="8" t="str">
        <f t="shared" si="33"/>
        <v>, FT%, TREB, BLK, TO</v>
      </c>
      <c r="AL71" t="str">
        <f t="shared" si="34"/>
        <v/>
      </c>
      <c r="AM71" t="str">
        <f t="shared" si="35"/>
        <v>, AST</v>
      </c>
      <c r="AN71" t="str">
        <f t="shared" si="36"/>
        <v>FG%, 3PM, PTS, STL</v>
      </c>
      <c r="AO71" t="str">
        <f t="shared" si="37"/>
        <v>, FT%, TREB, BLK, TO</v>
      </c>
      <c r="AP71">
        <f>VLOOKUP(B71,'2025-2026 actuals'!B:Q,16,FALSE)</f>
        <v>71</v>
      </c>
      <c r="AQ71" s="7">
        <f t="shared" si="24"/>
        <v>0.12224643434167204</v>
      </c>
      <c r="AR71">
        <f t="shared" si="25"/>
        <v>87</v>
      </c>
    </row>
    <row r="72" spans="1:44" ht="18">
      <c r="A72" s="3">
        <f t="shared" si="38"/>
        <v>78</v>
      </c>
      <c r="B72" s="41" t="s">
        <v>130</v>
      </c>
      <c r="C72" s="1">
        <f t="shared" si="39"/>
        <v>78</v>
      </c>
      <c r="D72" s="1">
        <f t="shared" si="23"/>
        <v>118</v>
      </c>
      <c r="E72" s="1">
        <f>VLOOKUP(B72,'2026-2027 adp'!A:C,3,FALSE)</f>
        <v>111.3</v>
      </c>
      <c r="F72" s="1">
        <f t="shared" si="26"/>
        <v>33.299999999999997</v>
      </c>
      <c r="G72" s="1"/>
      <c r="H72" s="22" t="s">
        <v>566</v>
      </c>
      <c r="I72" s="22" t="s">
        <v>567</v>
      </c>
      <c r="J72" s="42">
        <v>1.4</v>
      </c>
      <c r="K72" s="42">
        <v>16</v>
      </c>
      <c r="L72" s="42">
        <v>6.6</v>
      </c>
      <c r="M72" s="42">
        <v>1.4</v>
      </c>
      <c r="N72" s="42">
        <v>0.9</v>
      </c>
      <c r="O72" s="42">
        <v>0.9</v>
      </c>
      <c r="P72" s="42">
        <v>1.9</v>
      </c>
      <c r="Q72" s="43">
        <v>2.41</v>
      </c>
      <c r="R72" s="42">
        <v>6.1</v>
      </c>
      <c r="S72" s="42">
        <v>11.2</v>
      </c>
      <c r="T72">
        <f t="shared" si="27"/>
        <v>0.5446428571428571</v>
      </c>
      <c r="U72" s="42">
        <v>2.4</v>
      </c>
      <c r="V72" s="42">
        <v>3</v>
      </c>
      <c r="W72">
        <f t="shared" si="28"/>
        <v>0.79999999999999993</v>
      </c>
      <c r="X72" s="7">
        <f>IF(((T72 - '2026-2027 means'!E$2) / '2026-2027 means'!R$2) * (S72 / '2026-2027 means'!B$2) / 2 &lt; -2, -2, ((T72 - '2026-2027 means'!E$2) / '2026-2027 means'!R$2) * (S72 / '2026-2027 means'!B$2) / 2)</f>
        <v>1.2778219969358038</v>
      </c>
      <c r="Y72" s="11">
        <f>IF(((W72 - '2026-2027 means'!F$2) / '2026-2027 means'!S$2) * (V72 / '2026-2027 means'!D$2) &lt; -2, -2, ((W72 - '2026-2027 means'!F$2) / '2026-2027 means'!S$2) * (V72 / '2026-2027 means'!D$2))</f>
        <v>5.3051935143564259E-2</v>
      </c>
      <c r="Z72" s="7">
        <f>(J72-'2026-2027 means'!G$2)/'2026-2027 means'!T$2</f>
        <v>-0.28109833709644944</v>
      </c>
      <c r="AA72" s="7">
        <f>(K72-'2026-2027 means'!H$2)/'2026-2027 means'!U$2</f>
        <v>1.9494056473971972E-2</v>
      </c>
      <c r="AB72" s="7">
        <f>(L72-'2026-2027 means'!I$2)/'2026-2027 means'!V$2</f>
        <v>0.38031256810941655</v>
      </c>
      <c r="AC72" s="7">
        <f>(M72-'2026-2027 means'!J$2)/'2026-2027 means'!W$2</f>
        <v>-1.1613374667559768</v>
      </c>
      <c r="AD72" s="7">
        <f>(N72-'2026-2027 means'!K$2)/'2026-2027 means'!X$2</f>
        <v>-0.34169826646924195</v>
      </c>
      <c r="AE72" s="7">
        <f>(O72-'2026-2027 means'!L$2)/'2026-2027 means'!Y$2</f>
        <v>0.44949768749042662</v>
      </c>
      <c r="AF72" s="7">
        <f>IF(((P72 - '2026-2027 means'!M$2) / '2026-2027 means'!Z$2 * -1) &lt; -2, -2, (P72 - '2026-2027 means'!M$2) / '2026-2027 means'!Z$2 * -1)</f>
        <v>-7.4002349891146874E-2</v>
      </c>
      <c r="AG72">
        <f t="shared" si="29"/>
        <v>1</v>
      </c>
      <c r="AH72">
        <f t="shared" si="30"/>
        <v>3</v>
      </c>
      <c r="AI72" s="8">
        <f t="shared" si="31"/>
        <v>0.33333333333333331</v>
      </c>
      <c r="AJ72" s="8" t="e" vm="1">
        <f t="shared" ca="1" si="32"/>
        <v>#NAME?</v>
      </c>
      <c r="AK72" s="8" t="str">
        <f t="shared" si="33"/>
        <v>, 3PM, AST, STL, TO</v>
      </c>
      <c r="AL72" t="str">
        <f t="shared" si="34"/>
        <v/>
      </c>
      <c r="AM72" t="str">
        <f t="shared" si="35"/>
        <v>FG%</v>
      </c>
      <c r="AN72" t="str">
        <f t="shared" si="36"/>
        <v>, FT%, PTS, TREB, BLK</v>
      </c>
      <c r="AO72" t="str">
        <f t="shared" si="37"/>
        <v>, 3PM, AST, STL, TO</v>
      </c>
      <c r="AP72">
        <f>VLOOKUP(B72,'2025-2026 actuals'!B:Q,16,FALSE)</f>
        <v>118</v>
      </c>
      <c r="AQ72" s="7">
        <f t="shared" si="24"/>
        <v>0.32204182394036829</v>
      </c>
      <c r="AR72">
        <f t="shared" si="25"/>
        <v>78</v>
      </c>
    </row>
    <row r="73" spans="1:44" ht="18">
      <c r="A73" s="3">
        <f t="shared" si="38"/>
        <v>75</v>
      </c>
      <c r="B73" s="41" t="s">
        <v>54</v>
      </c>
      <c r="C73" s="1">
        <f t="shared" si="39"/>
        <v>75</v>
      </c>
      <c r="D73" s="1" t="e">
        <f t="shared" si="23"/>
        <v>#N/A</v>
      </c>
      <c r="E73" s="1">
        <f>VLOOKUP(B73,'2026-2027 adp'!A:C,3,FALSE)</f>
        <v>69.3</v>
      </c>
      <c r="F73" s="1">
        <f t="shared" si="26"/>
        <v>-5.7000000000000028</v>
      </c>
      <c r="G73" s="1"/>
      <c r="H73" s="22" t="s">
        <v>568</v>
      </c>
      <c r="I73" s="22" t="s">
        <v>569</v>
      </c>
      <c r="J73" s="42">
        <v>3.1</v>
      </c>
      <c r="K73" s="42">
        <v>19.100000000000001</v>
      </c>
      <c r="L73" s="42">
        <v>3.5</v>
      </c>
      <c r="M73" s="42">
        <v>5</v>
      </c>
      <c r="N73" s="42">
        <v>0.9</v>
      </c>
      <c r="O73" s="42">
        <v>0.1</v>
      </c>
      <c r="P73" s="42">
        <v>2.1</v>
      </c>
      <c r="Q73" s="43">
        <v>2.41</v>
      </c>
      <c r="R73" s="42">
        <v>5.8</v>
      </c>
      <c r="S73" s="42">
        <v>13.2</v>
      </c>
      <c r="T73">
        <f t="shared" si="27"/>
        <v>0.43939393939393939</v>
      </c>
      <c r="U73" s="42">
        <v>4.4000000000000004</v>
      </c>
      <c r="V73" s="42">
        <v>5</v>
      </c>
      <c r="W73">
        <f t="shared" si="28"/>
        <v>0.88000000000000012</v>
      </c>
      <c r="X73" s="7">
        <f>IF(((T73 - '2026-2027 means'!E$2) / '2026-2027 means'!R$2) * (S73 / '2026-2027 means'!B$2) / 2 &lt; -2, -2, ((T73 - '2026-2027 means'!E$2) / '2026-2027 means'!R$2) * (S73 / '2026-2027 means'!B$2) / 2)</f>
        <v>-1.0517581112563466</v>
      </c>
      <c r="Y73" s="11">
        <f>IF(((W73 - '2026-2027 means'!F$2) / '2026-2027 means'!S$2) * (V73 / '2026-2027 means'!D$2) &lt; -2, -2, ((W73 - '2026-2027 means'!F$2) / '2026-2027 means'!S$2) * (V73 / '2026-2027 means'!D$2))</f>
        <v>1.4790143537424285</v>
      </c>
      <c r="Z73" s="7">
        <f>(J73-'2026-2027 means'!G$2)/'2026-2027 means'!T$2</f>
        <v>1.5075665006289996</v>
      </c>
      <c r="AA73" s="7">
        <f>(K73-'2026-2027 means'!H$2)/'2026-2027 means'!U$2</f>
        <v>0.60629340859625125</v>
      </c>
      <c r="AB73" s="7">
        <f>(L73-'2026-2027 means'!I$2)/'2026-2027 means'!V$2</f>
        <v>-0.90968613188501746</v>
      </c>
      <c r="AC73" s="7">
        <f>(M73-'2026-2027 means'!J$2)/'2026-2027 means'!W$2</f>
        <v>0.69741898302200378</v>
      </c>
      <c r="AD73" s="7">
        <f>(N73-'2026-2027 means'!K$2)/'2026-2027 means'!X$2</f>
        <v>-0.34169826646924195</v>
      </c>
      <c r="AE73" s="7">
        <f>(O73-'2026-2027 means'!L$2)/'2026-2027 means'!Y$2</f>
        <v>-1.1747546304525105</v>
      </c>
      <c r="AF73" s="7">
        <f>IF(((P73 - '2026-2027 means'!M$2) / '2026-2027 means'!Z$2 * -1) &lt; -2, -2, (P73 - '2026-2027 means'!M$2) / '2026-2027 means'!Z$2 * -1)</f>
        <v>-0.34692844765482989</v>
      </c>
      <c r="AG73">
        <f t="shared" si="29"/>
        <v>2</v>
      </c>
      <c r="AH73">
        <f t="shared" si="30"/>
        <v>4</v>
      </c>
      <c r="AI73" s="8">
        <f t="shared" si="31"/>
        <v>0.5</v>
      </c>
      <c r="AJ73" s="8" t="e" vm="1">
        <f t="shared" ca="1" si="32"/>
        <v>#NAME?</v>
      </c>
      <c r="AK73" s="8" t="str">
        <f t="shared" si="33"/>
        <v>FG%, TREB, STL, BLK, TO</v>
      </c>
      <c r="AL73" t="str">
        <f t="shared" si="34"/>
        <v/>
      </c>
      <c r="AM73" t="str">
        <f t="shared" si="35"/>
        <v>, FT%, 3PM</v>
      </c>
      <c r="AN73" t="str">
        <f t="shared" si="36"/>
        <v>, PTS, AST</v>
      </c>
      <c r="AO73" t="str">
        <f t="shared" si="37"/>
        <v>FG%, TREB, STL, BLK, TO</v>
      </c>
      <c r="AP73" t="e">
        <f>VLOOKUP(B73,'2025-2026 actuals'!B:Q,16,FALSE)</f>
        <v>#N/A</v>
      </c>
      <c r="AQ73" s="7">
        <f t="shared" si="24"/>
        <v>0.46546765827173708</v>
      </c>
      <c r="AR73">
        <f t="shared" si="25"/>
        <v>75</v>
      </c>
    </row>
    <row r="74" spans="1:44" ht="18">
      <c r="A74" s="3">
        <f t="shared" si="38"/>
        <v>53</v>
      </c>
      <c r="B74" s="41" t="s">
        <v>159</v>
      </c>
      <c r="C74" s="1">
        <f t="shared" si="39"/>
        <v>53</v>
      </c>
      <c r="D74" s="1">
        <f t="shared" si="23"/>
        <v>70</v>
      </c>
      <c r="E74" s="1">
        <f>VLOOKUP(B74,'2026-2027 adp'!A:C,3,FALSE)</f>
        <v>96.1</v>
      </c>
      <c r="F74" s="1">
        <f t="shared" si="26"/>
        <v>43.099999999999994</v>
      </c>
      <c r="G74" s="1"/>
      <c r="H74" s="22" t="s">
        <v>570</v>
      </c>
      <c r="I74" s="22" t="s">
        <v>571</v>
      </c>
      <c r="J74" s="42">
        <v>2.7</v>
      </c>
      <c r="K74" s="42">
        <v>17.600000000000001</v>
      </c>
      <c r="L74" s="42">
        <v>4.0999999999999996</v>
      </c>
      <c r="M74" s="42">
        <v>6.2</v>
      </c>
      <c r="N74" s="42">
        <v>1.2</v>
      </c>
      <c r="O74" s="42">
        <v>0.1</v>
      </c>
      <c r="P74" s="42">
        <v>1.6</v>
      </c>
      <c r="Q74" s="43">
        <v>2.39</v>
      </c>
      <c r="R74" s="42">
        <v>6</v>
      </c>
      <c r="S74" s="42">
        <v>13.8</v>
      </c>
      <c r="T74">
        <f t="shared" si="27"/>
        <v>0.43478260869565216</v>
      </c>
      <c r="U74" s="42">
        <v>2.9</v>
      </c>
      <c r="V74" s="42">
        <v>3.4</v>
      </c>
      <c r="W74">
        <f t="shared" si="28"/>
        <v>0.8529411764705882</v>
      </c>
      <c r="X74" s="7">
        <f>IF(((T74 - '2026-2027 means'!E$2) / '2026-2027 means'!R$2) * (S74 / '2026-2027 means'!B$2) / 2 &lt; -2, -2, ((T74 - '2026-2027 means'!E$2) / '2026-2027 means'!R$2) * (S74 / '2026-2027 means'!B$2) / 2)</f>
        <v>-1.2167238564626508</v>
      </c>
      <c r="Y74" s="11">
        <f>IF(((W74 - '2026-2027 means'!F$2) / '2026-2027 means'!S$2) * (V74 / '2026-2027 means'!D$2) &lt; -2, -2, ((W74 - '2026-2027 means'!F$2) / '2026-2027 means'!S$2) * (V74 / '2026-2027 means'!D$2))</f>
        <v>0.68589303432245807</v>
      </c>
      <c r="Z74" s="7">
        <f>(J74-'2026-2027 means'!G$2)/'2026-2027 means'!T$2</f>
        <v>1.0867041858700703</v>
      </c>
      <c r="AA74" s="7">
        <f>(K74-'2026-2027 means'!H$2)/'2026-2027 means'!U$2</f>
        <v>0.32235823821450332</v>
      </c>
      <c r="AB74" s="7">
        <f>(L74-'2026-2027 means'!I$2)/'2026-2027 means'!V$2</f>
        <v>-0.66000896414415944</v>
      </c>
      <c r="AC74" s="7">
        <f>(M74-'2026-2027 means'!J$2)/'2026-2027 means'!W$2</f>
        <v>1.3170044662813307</v>
      </c>
      <c r="AD74" s="7">
        <f>(N74-'2026-2027 means'!K$2)/'2026-2027 means'!X$2</f>
        <v>0.53883188173995089</v>
      </c>
      <c r="AE74" s="7">
        <f>(O74-'2026-2027 means'!L$2)/'2026-2027 means'!Y$2</f>
        <v>-1.1747546304525105</v>
      </c>
      <c r="AF74" s="7">
        <f>IF(((P74 - '2026-2027 means'!M$2) / '2026-2027 means'!Z$2 * -1) &lt; -2, -2, (P74 - '2026-2027 means'!M$2) / '2026-2027 means'!Z$2 * -1)</f>
        <v>0.33538679675437699</v>
      </c>
      <c r="AG74">
        <f t="shared" si="29"/>
        <v>2</v>
      </c>
      <c r="AH74">
        <f t="shared" si="30"/>
        <v>3</v>
      </c>
      <c r="AI74" s="8">
        <f t="shared" si="31"/>
        <v>0.66666666666666663</v>
      </c>
      <c r="AJ74" s="8" t="e" vm="1">
        <f t="shared" ca="1" si="32"/>
        <v>#NAME?</v>
      </c>
      <c r="AK74" s="8" t="str">
        <f t="shared" si="33"/>
        <v>FG%, TREB, BLK</v>
      </c>
      <c r="AL74" t="str">
        <f t="shared" si="34"/>
        <v/>
      </c>
      <c r="AM74" t="str">
        <f t="shared" si="35"/>
        <v>, 3PM, AST</v>
      </c>
      <c r="AN74" t="str">
        <f t="shared" si="36"/>
        <v>, FT%, PTS, STL, TO</v>
      </c>
      <c r="AO74" t="str">
        <f t="shared" si="37"/>
        <v>FG%, TREB, BLK</v>
      </c>
      <c r="AP74">
        <f>VLOOKUP(B74,'2025-2026 actuals'!B:Q,16,FALSE)</f>
        <v>70</v>
      </c>
      <c r="AQ74" s="7">
        <f t="shared" si="24"/>
        <v>1.2346911521233697</v>
      </c>
      <c r="AR74">
        <f t="shared" si="25"/>
        <v>53</v>
      </c>
    </row>
    <row r="75" spans="1:44" ht="18">
      <c r="A75" s="3">
        <f t="shared" si="38"/>
        <v>62</v>
      </c>
      <c r="B75" s="41" t="s">
        <v>175</v>
      </c>
      <c r="C75" s="1">
        <f t="shared" si="39"/>
        <v>62</v>
      </c>
      <c r="D75" s="1">
        <f t="shared" si="23"/>
        <v>97</v>
      </c>
      <c r="E75" s="1">
        <f>VLOOKUP(B75,'2026-2027 adp'!A:C,3,FALSE)</f>
        <v>64</v>
      </c>
      <c r="F75" s="1">
        <f t="shared" si="26"/>
        <v>2</v>
      </c>
      <c r="G75" s="1"/>
      <c r="H75" s="22" t="s">
        <v>572</v>
      </c>
      <c r="I75" s="22" t="s">
        <v>573</v>
      </c>
      <c r="J75" s="42">
        <v>2.5</v>
      </c>
      <c r="K75" s="42">
        <v>16.100000000000001</v>
      </c>
      <c r="L75" s="42">
        <v>7.1</v>
      </c>
      <c r="M75" s="42">
        <v>2.6</v>
      </c>
      <c r="N75" s="42">
        <v>1</v>
      </c>
      <c r="O75" s="42">
        <v>1.1000000000000001</v>
      </c>
      <c r="P75" s="42">
        <v>1.7</v>
      </c>
      <c r="Q75" s="43">
        <v>2.39</v>
      </c>
      <c r="R75" s="42">
        <v>6.1</v>
      </c>
      <c r="S75" s="42">
        <v>13.5</v>
      </c>
      <c r="T75">
        <f t="shared" si="27"/>
        <v>0.45185185185185184</v>
      </c>
      <c r="U75" s="42">
        <v>1.5</v>
      </c>
      <c r="V75" s="42">
        <v>2</v>
      </c>
      <c r="W75">
        <f t="shared" si="28"/>
        <v>0.75</v>
      </c>
      <c r="X75" s="7">
        <f>IF(((T75 - '2026-2027 means'!E$2) / '2026-2027 means'!R$2) * (S75 / '2026-2027 means'!B$2) / 2 &lt; -2, -2, ((T75 - '2026-2027 means'!E$2) / '2026-2027 means'!R$2) * (S75 / '2026-2027 means'!B$2) / 2)</f>
        <v>-0.76602837196202189</v>
      </c>
      <c r="Y75" s="11">
        <f>IF(((W75 - '2026-2027 means'!F$2) / '2026-2027 means'!S$2) * (V75 / '2026-2027 means'!D$2) &lt; -2, -2, ((W75 - '2026-2027 means'!F$2) / '2026-2027 means'!S$2) * (V75 / '2026-2027 means'!D$2))</f>
        <v>-0.31228065869674465</v>
      </c>
      <c r="Z75" s="7">
        <f>(J75-'2026-2027 means'!G$2)/'2026-2027 means'!T$2</f>
        <v>0.87627302849060573</v>
      </c>
      <c r="AA75" s="7">
        <f>(K75-'2026-2027 means'!H$2)/'2026-2027 means'!U$2</f>
        <v>3.8423067832755432E-2</v>
      </c>
      <c r="AB75" s="7">
        <f>(L75-'2026-2027 means'!I$2)/'2026-2027 means'!V$2</f>
        <v>0.58837687456013166</v>
      </c>
      <c r="AC75" s="7">
        <f>(M75-'2026-2027 means'!J$2)/'2026-2027 means'!W$2</f>
        <v>-0.54175198349664999</v>
      </c>
      <c r="AD75" s="7">
        <f>(N75-'2026-2027 means'!K$2)/'2026-2027 means'!X$2</f>
        <v>-4.818821706617768E-2</v>
      </c>
      <c r="AE75" s="7">
        <f>(O75-'2026-2027 means'!L$2)/'2026-2027 means'!Y$2</f>
        <v>0.85556076697616101</v>
      </c>
      <c r="AF75" s="7">
        <f>IF(((P75 - '2026-2027 means'!M$2) / '2026-2027 means'!Z$2 * -1) &lt; -2, -2, (P75 - '2026-2027 means'!M$2) / '2026-2027 means'!Z$2 * -1)</f>
        <v>0.19892374787253581</v>
      </c>
      <c r="AG75">
        <f t="shared" si="29"/>
        <v>0</v>
      </c>
      <c r="AH75">
        <f t="shared" si="30"/>
        <v>3</v>
      </c>
      <c r="AI75" s="8">
        <f t="shared" si="31"/>
        <v>0</v>
      </c>
      <c r="AJ75" s="8" t="e" vm="1">
        <f t="shared" ca="1" si="32"/>
        <v>#NAME?</v>
      </c>
      <c r="AK75" s="8" t="str">
        <f t="shared" si="33"/>
        <v>FG%, FT%, AST, STL</v>
      </c>
      <c r="AL75" t="str">
        <f t="shared" si="34"/>
        <v/>
      </c>
      <c r="AM75" t="str">
        <f t="shared" si="35"/>
        <v/>
      </c>
      <c r="AN75" t="str">
        <f t="shared" si="36"/>
        <v>, 3PM, PTS, TREB, BLK, TO</v>
      </c>
      <c r="AO75" t="str">
        <f t="shared" si="37"/>
        <v>FG%, FT%, AST, STL</v>
      </c>
      <c r="AP75">
        <f>VLOOKUP(B75,'2025-2026 actuals'!B:Q,16,FALSE)</f>
        <v>97</v>
      </c>
      <c r="AQ75" s="7">
        <f t="shared" si="24"/>
        <v>0.88930825451059525</v>
      </c>
      <c r="AR75">
        <f t="shared" si="25"/>
        <v>62</v>
      </c>
    </row>
    <row r="76" spans="1:44" ht="18">
      <c r="A76" s="3">
        <f t="shared" si="38"/>
        <v>42</v>
      </c>
      <c r="B76" s="41" t="s">
        <v>958</v>
      </c>
      <c r="C76" s="1">
        <f t="shared" si="39"/>
        <v>42</v>
      </c>
      <c r="D76" s="1">
        <f t="shared" si="23"/>
        <v>26</v>
      </c>
      <c r="E76" s="1">
        <f>VLOOKUP(B76,'2026-2027 adp'!A:C,3,FALSE)</f>
        <v>115.8</v>
      </c>
      <c r="F76" s="1">
        <f t="shared" si="26"/>
        <v>73.8</v>
      </c>
      <c r="G76" s="1"/>
      <c r="H76" s="22" t="s">
        <v>574</v>
      </c>
      <c r="I76" s="22" t="s">
        <v>575</v>
      </c>
      <c r="J76" s="42">
        <v>0.6</v>
      </c>
      <c r="K76" s="42">
        <v>16.399999999999999</v>
      </c>
      <c r="L76" s="42">
        <v>4.8</v>
      </c>
      <c r="M76" s="42">
        <v>4.5999999999999996</v>
      </c>
      <c r="N76" s="42">
        <v>1.3</v>
      </c>
      <c r="O76" s="42">
        <v>0.3</v>
      </c>
      <c r="P76" s="42">
        <v>1.3</v>
      </c>
      <c r="Q76" s="43">
        <v>2.36</v>
      </c>
      <c r="R76" s="42">
        <v>5.0999999999999996</v>
      </c>
      <c r="S76" s="42">
        <v>10.1</v>
      </c>
      <c r="T76">
        <f t="shared" si="27"/>
        <v>0.50495049504950495</v>
      </c>
      <c r="U76" s="42">
        <v>5.5</v>
      </c>
      <c r="V76" s="42">
        <v>6.4</v>
      </c>
      <c r="W76">
        <f t="shared" si="28"/>
        <v>0.859375</v>
      </c>
      <c r="X76" s="7">
        <f>IF(((T76 - '2026-2027 means'!E$2) / '2026-2027 means'!R$2) * (S76 / '2026-2027 means'!B$2) / 2 &lt; -2, -2, ((T76 - '2026-2027 means'!E$2) / '2026-2027 means'!R$2) * (S76 / '2026-2027 means'!B$2) / 2)</f>
        <v>0.41425259213868509</v>
      </c>
      <c r="Y76" s="11">
        <f>IF(((W76 - '2026-2027 means'!F$2) / '2026-2027 means'!S$2) * (V76 / '2026-2027 means'!D$2) &lt; -2, -2, ((W76 - '2026-2027 means'!F$2) / '2026-2027 means'!S$2) * (V76 / '2026-2027 means'!D$2))</f>
        <v>1.4342422003842661</v>
      </c>
      <c r="Z76" s="7">
        <f>(J76-'2026-2027 means'!G$2)/'2026-2027 means'!T$2</f>
        <v>-1.1228229666143075</v>
      </c>
      <c r="AA76" s="7">
        <f>(K76-'2026-2027 means'!H$2)/'2026-2027 means'!U$2</f>
        <v>9.5210101909104478E-2</v>
      </c>
      <c r="AB76" s="7">
        <f>(L76-'2026-2027 means'!I$2)/'2026-2027 means'!V$2</f>
        <v>-0.36871893511315806</v>
      </c>
      <c r="AC76" s="7">
        <f>(M76-'2026-2027 means'!J$2)/'2026-2027 means'!W$2</f>
        <v>0.49089048860222795</v>
      </c>
      <c r="AD76" s="7">
        <f>(N76-'2026-2027 means'!K$2)/'2026-2027 means'!X$2</f>
        <v>0.83234193114301547</v>
      </c>
      <c r="AE76" s="7">
        <f>(O76-'2026-2027 means'!L$2)/'2026-2027 means'!Y$2</f>
        <v>-0.76869155096677622</v>
      </c>
      <c r="AF76" s="7">
        <f>IF(((P76 - '2026-2027 means'!M$2) / '2026-2027 means'!Z$2 * -1) &lt; -2, -2, (P76 - '2026-2027 means'!M$2) / '2026-2027 means'!Z$2 * -1)</f>
        <v>0.74477594339990116</v>
      </c>
      <c r="AG76">
        <f t="shared" si="29"/>
        <v>1</v>
      </c>
      <c r="AH76">
        <f t="shared" si="30"/>
        <v>3</v>
      </c>
      <c r="AI76" s="8">
        <f t="shared" si="31"/>
        <v>0.33333333333333331</v>
      </c>
      <c r="AJ76" s="8" t="e" vm="1">
        <f t="shared" ca="1" si="32"/>
        <v>#NAME?</v>
      </c>
      <c r="AK76" s="8" t="str">
        <f t="shared" si="33"/>
        <v>, 3PM, TREB, BLK</v>
      </c>
      <c r="AL76" t="str">
        <f t="shared" si="34"/>
        <v/>
      </c>
      <c r="AM76" t="str">
        <f t="shared" si="35"/>
        <v>, FT%</v>
      </c>
      <c r="AN76" t="str">
        <f t="shared" si="36"/>
        <v>FG%, PTS, AST, STL, TO</v>
      </c>
      <c r="AO76" t="str">
        <f t="shared" si="37"/>
        <v>, 3PM, TREB, BLK</v>
      </c>
      <c r="AP76">
        <f>VLOOKUP(B76,'2025-2026 actuals'!B:Q,16,FALSE)</f>
        <v>26</v>
      </c>
      <c r="AQ76" s="7">
        <f t="shared" si="24"/>
        <v>1.7514798048829583</v>
      </c>
      <c r="AR76">
        <f t="shared" si="25"/>
        <v>42</v>
      </c>
    </row>
    <row r="77" spans="1:44" ht="18">
      <c r="A77" s="3">
        <f t="shared" si="38"/>
        <v>69</v>
      </c>
      <c r="B77" s="41" t="s">
        <v>101</v>
      </c>
      <c r="C77" s="1">
        <f t="shared" si="39"/>
        <v>69</v>
      </c>
      <c r="D77" s="1">
        <f t="shared" si="23"/>
        <v>59</v>
      </c>
      <c r="E77" s="1">
        <f>VLOOKUP(B77,'2026-2027 adp'!A:C,3,FALSE)</f>
        <v>73.8</v>
      </c>
      <c r="F77" s="1">
        <f t="shared" si="26"/>
        <v>4.7999999999999972</v>
      </c>
      <c r="G77" s="1"/>
      <c r="H77" s="22" t="s">
        <v>576</v>
      </c>
      <c r="I77" s="22" t="s">
        <v>577</v>
      </c>
      <c r="J77" s="42">
        <v>0</v>
      </c>
      <c r="K77" s="42">
        <v>11.3</v>
      </c>
      <c r="L77" s="42">
        <v>11.1</v>
      </c>
      <c r="M77" s="42">
        <v>1.7</v>
      </c>
      <c r="N77" s="42">
        <v>0.8</v>
      </c>
      <c r="O77" s="42">
        <v>1.5</v>
      </c>
      <c r="P77" s="42">
        <v>1.3</v>
      </c>
      <c r="Q77" s="43">
        <v>2.25</v>
      </c>
      <c r="R77" s="42">
        <v>4.5</v>
      </c>
      <c r="S77" s="42">
        <v>6.7</v>
      </c>
      <c r="T77">
        <f t="shared" si="27"/>
        <v>0.67164179104477606</v>
      </c>
      <c r="U77" s="42">
        <v>2.2999999999999998</v>
      </c>
      <c r="V77" s="42">
        <v>3.8</v>
      </c>
      <c r="W77">
        <f t="shared" si="28"/>
        <v>0.60526315789473684</v>
      </c>
      <c r="X77" s="7">
        <f>IF(((T77 - '2026-2027 means'!E$2) / '2026-2027 means'!R$2) * (S77 / '2026-2027 means'!B$2) / 2 &lt; -2, -2, ((T77 - '2026-2027 means'!E$2) / '2026-2027 means'!R$2) * (S77 / '2026-2027 means'!B$2) / 2)</f>
        <v>2.3309587800343445</v>
      </c>
      <c r="Y77" s="11">
        <f>IF(((W77 - '2026-2027 means'!F$2) / '2026-2027 means'!S$2) * (V77 / '2026-2027 means'!D$2) &lt; -2, -2, ((W77 - '2026-2027 means'!F$2) / '2026-2027 means'!S$2) * (V77 / '2026-2027 means'!D$2))</f>
        <v>-2</v>
      </c>
      <c r="Z77" s="7">
        <f>(J77-'2026-2027 means'!G$2)/'2026-2027 means'!T$2</f>
        <v>-1.7541164387527013</v>
      </c>
      <c r="AA77" s="7">
        <f>(K77-'2026-2027 means'!H$2)/'2026-2027 means'!U$2</f>
        <v>-0.87016947738883799</v>
      </c>
      <c r="AB77" s="7">
        <f>(L77-'2026-2027 means'!I$2)/'2026-2027 means'!V$2</f>
        <v>2.2528913261658534</v>
      </c>
      <c r="AC77" s="7">
        <f>(M77-'2026-2027 means'!J$2)/'2026-2027 means'!W$2</f>
        <v>-1.0064410959411452</v>
      </c>
      <c r="AD77" s="7">
        <f>(N77-'2026-2027 means'!K$2)/'2026-2027 means'!X$2</f>
        <v>-0.6352083158723062</v>
      </c>
      <c r="AE77" s="7">
        <f>(O77-'2026-2027 means'!L$2)/'2026-2027 means'!Y$2</f>
        <v>1.6676869259476295</v>
      </c>
      <c r="AF77" s="7">
        <f>IF(((P77 - '2026-2027 means'!M$2) / '2026-2027 means'!Z$2 * -1) &lt; -2, -2, (P77 - '2026-2027 means'!M$2) / '2026-2027 means'!Z$2 * -1)</f>
        <v>0.74477594339990116</v>
      </c>
      <c r="AG77">
        <f t="shared" si="29"/>
        <v>3</v>
      </c>
      <c r="AH77">
        <f t="shared" si="30"/>
        <v>5</v>
      </c>
      <c r="AI77" s="8">
        <f t="shared" si="31"/>
        <v>0.6</v>
      </c>
      <c r="AJ77" s="8" t="e" vm="1">
        <f t="shared" ca="1" si="32"/>
        <v>#NAME?</v>
      </c>
      <c r="AK77" s="8" t="str">
        <f t="shared" si="33"/>
        <v>, FT%, 3PM, PTS, AST, STL</v>
      </c>
      <c r="AL77" t="str">
        <f t="shared" si="34"/>
        <v>FG%, TREB</v>
      </c>
      <c r="AM77" t="str">
        <f t="shared" si="35"/>
        <v>, BLK</v>
      </c>
      <c r="AN77" t="str">
        <f t="shared" si="36"/>
        <v>, TO</v>
      </c>
      <c r="AO77" t="str">
        <f t="shared" si="37"/>
        <v>, FT%, 3PM, PTS, AST, STL</v>
      </c>
      <c r="AP77">
        <f>VLOOKUP(B77,'2025-2026 actuals'!B:Q,16,FALSE)</f>
        <v>59</v>
      </c>
      <c r="AQ77" s="7">
        <f t="shared" si="24"/>
        <v>0.73037764759273804</v>
      </c>
      <c r="AR77">
        <f t="shared" si="25"/>
        <v>69</v>
      </c>
    </row>
    <row r="78" spans="1:44" ht="18">
      <c r="A78" s="3">
        <f t="shared" si="38"/>
        <v>116</v>
      </c>
      <c r="B78" s="41" t="s">
        <v>165</v>
      </c>
      <c r="C78" s="1">
        <f t="shared" si="39"/>
        <v>116</v>
      </c>
      <c r="D78" s="1">
        <f t="shared" si="23"/>
        <v>35</v>
      </c>
      <c r="E78" s="1">
        <f>VLOOKUP(B78,'2026-2027 adp'!A:C,3,FALSE)</f>
        <v>40.299999999999997</v>
      </c>
      <c r="F78" s="1">
        <f t="shared" si="26"/>
        <v>-75.7</v>
      </c>
      <c r="G78" s="1"/>
      <c r="H78" s="22" t="s">
        <v>578</v>
      </c>
      <c r="I78" s="22" t="s">
        <v>579</v>
      </c>
      <c r="J78" s="42">
        <v>1.7</v>
      </c>
      <c r="K78" s="42">
        <v>19.600000000000001</v>
      </c>
      <c r="L78" s="42">
        <v>6.8</v>
      </c>
      <c r="M78" s="42">
        <v>5</v>
      </c>
      <c r="N78" s="42">
        <v>0.9</v>
      </c>
      <c r="O78" s="42">
        <v>0.5</v>
      </c>
      <c r="P78" s="42">
        <v>3.1</v>
      </c>
      <c r="Q78" s="43">
        <v>2.25</v>
      </c>
      <c r="R78" s="42">
        <v>6.2</v>
      </c>
      <c r="S78" s="42">
        <v>13.3</v>
      </c>
      <c r="T78">
        <f t="shared" si="27"/>
        <v>0.46616541353383456</v>
      </c>
      <c r="U78" s="42">
        <v>5.4</v>
      </c>
      <c r="V78" s="42">
        <v>6.8</v>
      </c>
      <c r="W78">
        <f t="shared" si="28"/>
        <v>0.79411764705882359</v>
      </c>
      <c r="X78" s="7">
        <f>IF(((T78 - '2026-2027 means'!E$2) / '2026-2027 means'!R$2) * (S78 / '2026-2027 means'!B$2) / 2 &lt; -2, -2, ((T78 - '2026-2027 means'!E$2) / '2026-2027 means'!R$2) * (S78 / '2026-2027 means'!B$2) / 2)</f>
        <v>-0.4041959469786901</v>
      </c>
      <c r="Y78" s="11">
        <f>IF(((W78 - '2026-2027 means'!F$2) / '2026-2027 means'!S$2) * (V78 / '2026-2027 means'!D$2) &lt; -2, -2, ((W78 - '2026-2027 means'!F$2) / '2026-2027 means'!S$2) * (V78 / '2026-2027 means'!D$2))</f>
        <v>-1.8808393191566408E-2</v>
      </c>
      <c r="Z78" s="7">
        <f>(J78-'2026-2027 means'!G$2)/'2026-2027 means'!T$2</f>
        <v>3.4548398972747453E-2</v>
      </c>
      <c r="AA78" s="7">
        <f>(K78-'2026-2027 means'!H$2)/'2026-2027 means'!U$2</f>
        <v>0.70093846539016724</v>
      </c>
      <c r="AB78" s="7">
        <f>(L78-'2026-2027 means'!I$2)/'2026-2027 means'!V$2</f>
        <v>0.46353829068970265</v>
      </c>
      <c r="AC78" s="7">
        <f>(M78-'2026-2027 means'!J$2)/'2026-2027 means'!W$2</f>
        <v>0.69741898302200378</v>
      </c>
      <c r="AD78" s="7">
        <f>(N78-'2026-2027 means'!K$2)/'2026-2027 means'!X$2</f>
        <v>-0.34169826646924195</v>
      </c>
      <c r="AE78" s="7">
        <f>(O78-'2026-2027 means'!L$2)/'2026-2027 means'!Y$2</f>
        <v>-0.36262847148104194</v>
      </c>
      <c r="AF78" s="7">
        <f>IF(((P78 - '2026-2027 means'!M$2) / '2026-2027 means'!Z$2 * -1) &lt; -2, -2, (P78 - '2026-2027 means'!M$2) / '2026-2027 means'!Z$2 * -1)</f>
        <v>-1.7115589364732435</v>
      </c>
      <c r="AG78">
        <f t="shared" si="29"/>
        <v>0</v>
      </c>
      <c r="AH78">
        <f t="shared" si="30"/>
        <v>3</v>
      </c>
      <c r="AI78" s="8">
        <f t="shared" si="31"/>
        <v>0</v>
      </c>
      <c r="AJ78" s="8" t="e" vm="1">
        <f t="shared" ca="1" si="32"/>
        <v>#NAME?</v>
      </c>
      <c r="AK78" s="8" t="str">
        <f t="shared" si="33"/>
        <v>FG%, FT%, STL, BLK, TO</v>
      </c>
      <c r="AL78" t="str">
        <f t="shared" si="34"/>
        <v/>
      </c>
      <c r="AM78" t="str">
        <f t="shared" si="35"/>
        <v/>
      </c>
      <c r="AN78" t="str">
        <f t="shared" si="36"/>
        <v>, 3PM, PTS, TREB, AST</v>
      </c>
      <c r="AO78" t="str">
        <f t="shared" si="37"/>
        <v>FG%, FT%, STL, BLK, TO</v>
      </c>
      <c r="AP78">
        <f>VLOOKUP(B78,'2025-2026 actuals'!B:Q,16,FALSE)</f>
        <v>35</v>
      </c>
      <c r="AQ78" s="7">
        <f t="shared" si="24"/>
        <v>-0.94244587651916256</v>
      </c>
      <c r="AR78">
        <f t="shared" si="25"/>
        <v>116</v>
      </c>
    </row>
    <row r="79" spans="1:44" ht="18">
      <c r="A79" s="3">
        <f t="shared" si="38"/>
        <v>85</v>
      </c>
      <c r="B79" s="41" t="s">
        <v>128</v>
      </c>
      <c r="C79" s="1">
        <f t="shared" si="39"/>
        <v>85</v>
      </c>
      <c r="D79" s="1">
        <f t="shared" si="23"/>
        <v>94</v>
      </c>
      <c r="E79" s="1">
        <f>VLOOKUP(B79,'2026-2027 adp'!A:C,3,FALSE)</f>
        <v>67.7</v>
      </c>
      <c r="F79" s="1">
        <f t="shared" si="26"/>
        <v>-17.299999999999997</v>
      </c>
      <c r="G79" s="1"/>
      <c r="H79" s="22" t="s">
        <v>580</v>
      </c>
      <c r="I79" s="22" t="s">
        <v>581</v>
      </c>
      <c r="J79" s="42">
        <v>0.1</v>
      </c>
      <c r="K79" s="42">
        <v>22.1</v>
      </c>
      <c r="L79" s="42">
        <v>6.2</v>
      </c>
      <c r="M79" s="42">
        <v>3.9</v>
      </c>
      <c r="N79" s="42">
        <v>1.1000000000000001</v>
      </c>
      <c r="O79" s="42">
        <v>0.7</v>
      </c>
      <c r="P79" s="42">
        <v>2.4</v>
      </c>
      <c r="Q79" s="43">
        <v>2.1800000000000002</v>
      </c>
      <c r="R79" s="42">
        <v>8.4</v>
      </c>
      <c r="S79" s="42">
        <v>14.3</v>
      </c>
      <c r="T79">
        <f t="shared" si="27"/>
        <v>0.58741258741258739</v>
      </c>
      <c r="U79" s="42">
        <v>5.3</v>
      </c>
      <c r="V79" s="42">
        <v>7.7</v>
      </c>
      <c r="W79">
        <f t="shared" si="28"/>
        <v>0.68831168831168832</v>
      </c>
      <c r="X79" s="7">
        <f>IF(((T79 - '2026-2027 means'!E$2) / '2026-2027 means'!R$2) * (S79 / '2026-2027 means'!B$2) / 2 &lt; -2, -2, ((T79 - '2026-2027 means'!E$2) / '2026-2027 means'!R$2) * (S79 / '2026-2027 means'!B$2) / 2)</f>
        <v>2.7575121887205887</v>
      </c>
      <c r="Y79" s="11">
        <f>IF(((W79 - '2026-2027 means'!F$2) / '2026-2027 means'!S$2) * (V79 / '2026-2027 means'!D$2) &lt; -2, -2, ((W79 - '2026-2027 means'!F$2) / '2026-2027 means'!S$2) * (V79 / '2026-2027 means'!D$2))</f>
        <v>-2</v>
      </c>
      <c r="Z79" s="7">
        <f>(J79-'2026-2027 means'!G$2)/'2026-2027 means'!T$2</f>
        <v>-1.6489008600629689</v>
      </c>
      <c r="AA79" s="7">
        <f>(K79-'2026-2027 means'!H$2)/'2026-2027 means'!U$2</f>
        <v>1.174163749359747</v>
      </c>
      <c r="AB79" s="7">
        <f>(L79-'2026-2027 means'!I$2)/'2026-2027 means'!V$2</f>
        <v>0.2138611229488446</v>
      </c>
      <c r="AC79" s="7">
        <f>(M79-'2026-2027 means'!J$2)/'2026-2027 means'!W$2</f>
        <v>0.12946562336762074</v>
      </c>
      <c r="AD79" s="7">
        <f>(N79-'2026-2027 means'!K$2)/'2026-2027 means'!X$2</f>
        <v>0.24532183233688692</v>
      </c>
      <c r="AE79" s="7">
        <f>(O79-'2026-2027 means'!L$2)/'2026-2027 means'!Y$2</f>
        <v>4.3434608004692253E-2</v>
      </c>
      <c r="AF79" s="7">
        <f>IF(((P79 - '2026-2027 means'!M$2) / '2026-2027 means'!Z$2 * -1) &lt; -2, -2, (P79 - '2026-2027 means'!M$2) / '2026-2027 means'!Z$2 * -1)</f>
        <v>-0.75631759430035372</v>
      </c>
      <c r="AG79">
        <f t="shared" si="29"/>
        <v>2</v>
      </c>
      <c r="AH79">
        <f t="shared" si="30"/>
        <v>2</v>
      </c>
      <c r="AI79" s="8">
        <f t="shared" si="31"/>
        <v>1</v>
      </c>
      <c r="AJ79" s="8" t="e" vm="1">
        <f t="shared" ca="1" si="32"/>
        <v>#NAME?</v>
      </c>
      <c r="AK79" s="8" t="str">
        <f t="shared" si="33"/>
        <v>, FT%, 3PM, TO</v>
      </c>
      <c r="AL79" t="str">
        <f t="shared" si="34"/>
        <v>FG%</v>
      </c>
      <c r="AM79" t="str">
        <f t="shared" si="35"/>
        <v>, PTS</v>
      </c>
      <c r="AN79" t="str">
        <f t="shared" si="36"/>
        <v>, TREB, AST, STL, BLK</v>
      </c>
      <c r="AO79" t="str">
        <f t="shared" si="37"/>
        <v>, FT%, 3PM, TO</v>
      </c>
      <c r="AP79">
        <f>VLOOKUP(B79,'2025-2026 actuals'!B:Q,16,FALSE)</f>
        <v>94</v>
      </c>
      <c r="AQ79" s="7">
        <f t="shared" si="24"/>
        <v>0.15854067037505748</v>
      </c>
      <c r="AR79">
        <f t="shared" si="25"/>
        <v>85</v>
      </c>
    </row>
    <row r="80" spans="1:44" ht="18">
      <c r="A80" s="3">
        <f t="shared" si="38"/>
        <v>82</v>
      </c>
      <c r="B80" s="41" t="s">
        <v>304</v>
      </c>
      <c r="C80" s="1">
        <f t="shared" si="39"/>
        <v>82</v>
      </c>
      <c r="D80" s="1">
        <f t="shared" si="23"/>
        <v>197</v>
      </c>
      <c r="E80" s="1">
        <f>VLOOKUP(B80,'2026-2027 adp'!A:C,3,FALSE)</f>
        <v>94.1</v>
      </c>
      <c r="F80" s="1">
        <f t="shared" si="26"/>
        <v>12.099999999999994</v>
      </c>
      <c r="G80" s="1"/>
      <c r="H80" s="22" t="s">
        <v>582</v>
      </c>
      <c r="I80" s="22" t="s">
        <v>583</v>
      </c>
      <c r="J80" s="42">
        <v>0.3</v>
      </c>
      <c r="K80" s="42">
        <v>11.9</v>
      </c>
      <c r="L80" s="42">
        <v>9.4</v>
      </c>
      <c r="M80" s="42">
        <v>3</v>
      </c>
      <c r="N80" s="42">
        <v>1.4</v>
      </c>
      <c r="O80" s="42">
        <v>0.9</v>
      </c>
      <c r="P80" s="42">
        <v>2.2000000000000002</v>
      </c>
      <c r="Q80" s="43">
        <v>2.17</v>
      </c>
      <c r="R80" s="42">
        <v>4.8</v>
      </c>
      <c r="S80" s="42">
        <v>8.6</v>
      </c>
      <c r="T80">
        <f t="shared" si="27"/>
        <v>0.55813953488372092</v>
      </c>
      <c r="U80" s="42">
        <v>2</v>
      </c>
      <c r="V80" s="42">
        <v>2.9</v>
      </c>
      <c r="W80">
        <f t="shared" si="28"/>
        <v>0.68965517241379315</v>
      </c>
      <c r="X80" s="7">
        <f>IF(((T80 - '2026-2027 means'!E$2) / '2026-2027 means'!R$2) * (S80 / '2026-2027 means'!B$2) / 2 &lt; -2, -2, ((T80 - '2026-2027 means'!E$2) / '2026-2027 means'!R$2) * (S80 / '2026-2027 means'!B$2) / 2)</f>
        <v>1.1948795670519214</v>
      </c>
      <c r="Y80" s="11">
        <f>IF(((W80 - '2026-2027 means'!F$2) / '2026-2027 means'!S$2) * (V80 / '2026-2027 means'!D$2) &lt; -2, -2, ((W80 - '2026-2027 means'!F$2) / '2026-2027 means'!S$2) * (V80 / '2026-2027 means'!D$2))</f>
        <v>-1.0611920321637416</v>
      </c>
      <c r="Z80" s="7">
        <f>(J80-'2026-2027 means'!G$2)/'2026-2027 means'!T$2</f>
        <v>-1.4384697026835043</v>
      </c>
      <c r="AA80" s="7">
        <f>(K80-'2026-2027 means'!H$2)/'2026-2027 means'!U$2</f>
        <v>-0.75659540923613888</v>
      </c>
      <c r="AB80" s="7">
        <f>(L80-'2026-2027 means'!I$2)/'2026-2027 means'!V$2</f>
        <v>1.5454726842334219</v>
      </c>
      <c r="AC80" s="7">
        <f>(M80-'2026-2027 means'!J$2)/'2026-2027 means'!W$2</f>
        <v>-0.33522348907687438</v>
      </c>
      <c r="AD80" s="7">
        <f>(N80-'2026-2027 means'!K$2)/'2026-2027 means'!X$2</f>
        <v>1.1258519805460794</v>
      </c>
      <c r="AE80" s="7">
        <f>(O80-'2026-2027 means'!L$2)/'2026-2027 means'!Y$2</f>
        <v>0.44949768749042662</v>
      </c>
      <c r="AF80" s="7">
        <f>IF(((P80 - '2026-2027 means'!M$2) / '2026-2027 means'!Z$2 * -1) &lt; -2, -2, (P80 - '2026-2027 means'!M$2) / '2026-2027 means'!Z$2 * -1)</f>
        <v>-0.48339149653667135</v>
      </c>
      <c r="AG80">
        <f t="shared" si="29"/>
        <v>3</v>
      </c>
      <c r="AH80">
        <f t="shared" si="30"/>
        <v>4</v>
      </c>
      <c r="AI80" s="8">
        <f t="shared" si="31"/>
        <v>0.75</v>
      </c>
      <c r="AJ80" s="8" t="e" vm="1">
        <f t="shared" ca="1" si="32"/>
        <v>#NAME?</v>
      </c>
      <c r="AK80" s="8" t="str">
        <f t="shared" si="33"/>
        <v>, FT%, 3PM, PTS, AST, TO</v>
      </c>
      <c r="AL80" t="str">
        <f t="shared" si="34"/>
        <v/>
      </c>
      <c r="AM80" t="str">
        <f t="shared" si="35"/>
        <v>FG%, TREB, STL</v>
      </c>
      <c r="AN80" t="str">
        <f t="shared" si="36"/>
        <v>, BLK</v>
      </c>
      <c r="AO80" t="str">
        <f t="shared" si="37"/>
        <v>, FT%, 3PM, PTS, AST, TO</v>
      </c>
      <c r="AP80">
        <f>VLOOKUP(B80,'2025-2026 actuals'!B:Q,16,FALSE)</f>
        <v>197</v>
      </c>
      <c r="AQ80" s="7">
        <f t="shared" si="24"/>
        <v>0.24082978962491886</v>
      </c>
      <c r="AR80">
        <f t="shared" si="25"/>
        <v>82</v>
      </c>
    </row>
    <row r="81" spans="1:44" ht="18">
      <c r="A81" s="3">
        <f t="shared" si="38"/>
        <v>68</v>
      </c>
      <c r="B81" s="41" t="s">
        <v>88</v>
      </c>
      <c r="C81" s="1">
        <f t="shared" si="39"/>
        <v>68</v>
      </c>
      <c r="D81" s="1">
        <f t="shared" si="23"/>
        <v>79</v>
      </c>
      <c r="E81" s="1">
        <f>VLOOKUP(B81,'2026-2027 adp'!A:C,3,FALSE)</f>
        <v>70.099999999999994</v>
      </c>
      <c r="F81" s="1">
        <f t="shared" si="26"/>
        <v>2.0999999999999943</v>
      </c>
      <c r="G81" s="1"/>
      <c r="H81" s="22" t="s">
        <v>584</v>
      </c>
      <c r="I81" s="22" t="s">
        <v>585</v>
      </c>
      <c r="J81" s="42">
        <v>0</v>
      </c>
      <c r="K81" s="42">
        <v>13.8</v>
      </c>
      <c r="L81" s="42">
        <v>8.9</v>
      </c>
      <c r="M81" s="42">
        <v>1.8</v>
      </c>
      <c r="N81" s="42">
        <v>0.9</v>
      </c>
      <c r="O81" s="42">
        <v>0.8</v>
      </c>
      <c r="P81" s="42">
        <v>1.2</v>
      </c>
      <c r="Q81" s="43">
        <v>2.1</v>
      </c>
      <c r="R81" s="42">
        <v>5.5</v>
      </c>
      <c r="S81" s="42">
        <v>8.1999999999999993</v>
      </c>
      <c r="T81">
        <f t="shared" si="27"/>
        <v>0.67073170731707321</v>
      </c>
      <c r="U81" s="42">
        <v>2.7</v>
      </c>
      <c r="V81" s="42">
        <v>3.8</v>
      </c>
      <c r="W81">
        <f t="shared" si="28"/>
        <v>0.71052631578947378</v>
      </c>
      <c r="X81" s="7">
        <f>IF(((T81 - '2026-2027 means'!E$2) / '2026-2027 means'!R$2) * (S81 / '2026-2027 means'!B$2) / 2 &lt; -2, -2, ((T81 - '2026-2027 means'!E$2) / '2026-2027 means'!R$2) * (S81 / '2026-2027 means'!B$2) / 2)</f>
        <v>2.8390759467622786</v>
      </c>
      <c r="Y81" s="11">
        <f>IF(((W81 - '2026-2027 means'!F$2) / '2026-2027 means'!S$2) * (V81 / '2026-2027 means'!D$2) &lt; -2, -2, ((W81 - '2026-2027 means'!F$2) / '2026-2027 means'!S$2) * (V81 / '2026-2027 means'!D$2))</f>
        <v>-1.1148061747124953</v>
      </c>
      <c r="Z81" s="7">
        <f>(J81-'2026-2027 means'!G$2)/'2026-2027 means'!T$2</f>
        <v>-1.7541164387527013</v>
      </c>
      <c r="AA81" s="7">
        <f>(K81-'2026-2027 means'!H$2)/'2026-2027 means'!U$2</f>
        <v>-0.39694419341925813</v>
      </c>
      <c r="AB81" s="7">
        <f>(L81-'2026-2027 means'!I$2)/'2026-2027 means'!V$2</f>
        <v>1.3374083777827066</v>
      </c>
      <c r="AC81" s="7">
        <f>(M81-'2026-2027 means'!J$2)/'2026-2027 means'!W$2</f>
        <v>-0.95480897233620121</v>
      </c>
      <c r="AD81" s="7">
        <f>(N81-'2026-2027 means'!K$2)/'2026-2027 means'!X$2</f>
        <v>-0.34169826646924195</v>
      </c>
      <c r="AE81" s="7">
        <f>(O81-'2026-2027 means'!L$2)/'2026-2027 means'!Y$2</f>
        <v>0.24646614774755957</v>
      </c>
      <c r="AF81" s="7">
        <f>IF(((P81 - '2026-2027 means'!M$2) / '2026-2027 means'!Z$2 * -1) &lt; -2, -2, (P81 - '2026-2027 means'!M$2) / '2026-2027 means'!Z$2 * -1)</f>
        <v>0.88123899228174263</v>
      </c>
      <c r="AG81">
        <f t="shared" si="29"/>
        <v>2</v>
      </c>
      <c r="AH81">
        <f t="shared" si="30"/>
        <v>5</v>
      </c>
      <c r="AI81" s="8">
        <f t="shared" si="31"/>
        <v>0.4</v>
      </c>
      <c r="AJ81" s="8" t="e" vm="1">
        <f t="shared" ca="1" si="32"/>
        <v>#NAME?</v>
      </c>
      <c r="AK81" s="8" t="str">
        <f t="shared" si="33"/>
        <v>, FT%, 3PM, PTS, AST, STL</v>
      </c>
      <c r="AL81" t="str">
        <f t="shared" si="34"/>
        <v>FG%</v>
      </c>
      <c r="AM81" t="str">
        <f t="shared" si="35"/>
        <v>, TREB</v>
      </c>
      <c r="AN81" t="str">
        <f t="shared" si="36"/>
        <v>, BLK, TO</v>
      </c>
      <c r="AO81" t="str">
        <f t="shared" si="37"/>
        <v>, FT%, 3PM, PTS, AST, STL</v>
      </c>
      <c r="AP81">
        <f>VLOOKUP(B81,'2025-2026 actuals'!B:Q,16,FALSE)</f>
        <v>79</v>
      </c>
      <c r="AQ81" s="7">
        <f t="shared" si="24"/>
        <v>0.74181541888438951</v>
      </c>
      <c r="AR81">
        <f t="shared" si="25"/>
        <v>68</v>
      </c>
    </row>
    <row r="82" spans="1:44" ht="18">
      <c r="A82" s="3">
        <f t="shared" si="38"/>
        <v>139</v>
      </c>
      <c r="B82" s="41" t="s">
        <v>85</v>
      </c>
      <c r="C82" s="1">
        <f t="shared" si="39"/>
        <v>139</v>
      </c>
      <c r="D82" s="1">
        <f t="shared" si="23"/>
        <v>69</v>
      </c>
      <c r="E82" s="1">
        <f>VLOOKUP(B82,'2026-2027 adp'!A:C,3,FALSE)</f>
        <v>89.2</v>
      </c>
      <c r="F82" s="1">
        <f t="shared" si="26"/>
        <v>-49.8</v>
      </c>
      <c r="G82" s="1"/>
      <c r="H82" s="22" t="s">
        <v>586</v>
      </c>
      <c r="I82" s="22" t="s">
        <v>587</v>
      </c>
      <c r="J82" s="42">
        <v>1.4</v>
      </c>
      <c r="K82" s="42">
        <v>19.5</v>
      </c>
      <c r="L82" s="42">
        <v>3.4</v>
      </c>
      <c r="M82" s="42">
        <v>6.6</v>
      </c>
      <c r="N82" s="42">
        <v>1</v>
      </c>
      <c r="O82" s="42">
        <v>0.2</v>
      </c>
      <c r="P82" s="42">
        <v>3.2</v>
      </c>
      <c r="Q82" s="43">
        <v>2.0299999999999998</v>
      </c>
      <c r="R82" s="42">
        <v>6.7</v>
      </c>
      <c r="S82" s="42">
        <v>14.5</v>
      </c>
      <c r="T82">
        <f t="shared" si="27"/>
        <v>0.46206896551724141</v>
      </c>
      <c r="U82" s="42">
        <v>4.5999999999999996</v>
      </c>
      <c r="V82" s="42">
        <v>5.5</v>
      </c>
      <c r="W82">
        <f t="shared" si="28"/>
        <v>0.83636363636363631</v>
      </c>
      <c r="X82" s="7">
        <f>IF(((T82 - '2026-2027 means'!E$2) / '2026-2027 means'!R$2) * (S82 / '2026-2027 means'!B$2) / 2 &lt; -2, -2, ((T82 - '2026-2027 means'!E$2) / '2026-2027 means'!R$2) * (S82 / '2026-2027 means'!B$2) / 2)</f>
        <v>-0.55002113144255771</v>
      </c>
      <c r="Y82" s="11">
        <f>IF(((W82 - '2026-2027 means'!F$2) / '2026-2027 means'!S$2) * (V82 / '2026-2027 means'!D$2) &lt; -2, -2, ((W82 - '2026-2027 means'!F$2) / '2026-2027 means'!S$2) * (V82 / '2026-2027 means'!D$2))</f>
        <v>0.79255911201477725</v>
      </c>
      <c r="Z82" s="7">
        <f>(J82-'2026-2027 means'!G$2)/'2026-2027 means'!T$2</f>
        <v>-0.28109833709644944</v>
      </c>
      <c r="AA82" s="7">
        <f>(K82-'2026-2027 means'!H$2)/'2026-2027 means'!U$2</f>
        <v>0.6820094540313838</v>
      </c>
      <c r="AB82" s="7">
        <f>(L82-'2026-2027 means'!I$2)/'2026-2027 means'!V$2</f>
        <v>-0.95129899317516053</v>
      </c>
      <c r="AC82" s="7">
        <f>(M82-'2026-2027 means'!J$2)/'2026-2027 means'!W$2</f>
        <v>1.5235329607011061</v>
      </c>
      <c r="AD82" s="7">
        <f>(N82-'2026-2027 means'!K$2)/'2026-2027 means'!X$2</f>
        <v>-4.818821706617768E-2</v>
      </c>
      <c r="AE82" s="7">
        <f>(O82-'2026-2027 means'!L$2)/'2026-2027 means'!Y$2</f>
        <v>-0.97172309070964324</v>
      </c>
      <c r="AF82" s="7">
        <f>IF(((P82 - '2026-2027 means'!M$2) / '2026-2027 means'!Z$2 * -1) &lt; -2, -2, (P82 - '2026-2027 means'!M$2) / '2026-2027 means'!Z$2 * -1)</f>
        <v>-1.848021985355085</v>
      </c>
      <c r="AG82">
        <f t="shared" si="29"/>
        <v>1</v>
      </c>
      <c r="AH82">
        <f t="shared" si="30"/>
        <v>4</v>
      </c>
      <c r="AI82" s="8">
        <f t="shared" si="31"/>
        <v>0.25</v>
      </c>
      <c r="AJ82" s="8" t="e" vm="1">
        <f t="shared" ca="1" si="32"/>
        <v>#NAME?</v>
      </c>
      <c r="AK82" s="8" t="str">
        <f t="shared" si="33"/>
        <v>FG%, 3PM, TREB, STL, BLK, TO</v>
      </c>
      <c r="AL82" t="str">
        <f t="shared" si="34"/>
        <v/>
      </c>
      <c r="AM82" t="str">
        <f t="shared" si="35"/>
        <v>, AST</v>
      </c>
      <c r="AN82" t="str">
        <f t="shared" si="36"/>
        <v>, FT%, PTS</v>
      </c>
      <c r="AO82" t="str">
        <f t="shared" si="37"/>
        <v>FG%, 3PM, TREB, STL, BLK, TO</v>
      </c>
      <c r="AP82">
        <f>VLOOKUP(B82,'2025-2026 actuals'!B:Q,16,FALSE)</f>
        <v>69</v>
      </c>
      <c r="AQ82" s="7">
        <f t="shared" si="24"/>
        <v>-1.6522502280978064</v>
      </c>
      <c r="AR82">
        <f t="shared" si="25"/>
        <v>139</v>
      </c>
    </row>
    <row r="83" spans="1:44" ht="18">
      <c r="A83" s="3">
        <f t="shared" si="38"/>
        <v>101</v>
      </c>
      <c r="B83" s="41" t="s">
        <v>109</v>
      </c>
      <c r="C83" s="1">
        <f t="shared" si="39"/>
        <v>101</v>
      </c>
      <c r="D83" s="1">
        <f t="shared" si="23"/>
        <v>61</v>
      </c>
      <c r="E83" s="1">
        <f>VLOOKUP(B83,'2026-2027 adp'!A:C,3,FALSE)</f>
        <v>71.8</v>
      </c>
      <c r="F83" s="1">
        <f t="shared" si="26"/>
        <v>-29.200000000000003</v>
      </c>
      <c r="G83" s="1"/>
      <c r="H83" s="22" t="s">
        <v>588</v>
      </c>
      <c r="I83" s="22" t="s">
        <v>589</v>
      </c>
      <c r="J83" s="42">
        <v>1.9</v>
      </c>
      <c r="K83" s="42">
        <v>21.4</v>
      </c>
      <c r="L83" s="42">
        <v>5.5</v>
      </c>
      <c r="M83" s="42">
        <v>3.9</v>
      </c>
      <c r="N83" s="42">
        <v>0.8</v>
      </c>
      <c r="O83" s="42">
        <v>0.7</v>
      </c>
      <c r="P83" s="42">
        <v>2.7</v>
      </c>
      <c r="Q83" s="43">
        <v>2.0099999999999998</v>
      </c>
      <c r="R83" s="42">
        <v>8</v>
      </c>
      <c r="S83" s="42">
        <v>16.899999999999999</v>
      </c>
      <c r="T83">
        <f t="shared" si="27"/>
        <v>0.47337278106508879</v>
      </c>
      <c r="U83" s="42">
        <v>3.5</v>
      </c>
      <c r="V83" s="42">
        <v>4.3</v>
      </c>
      <c r="W83">
        <f t="shared" si="28"/>
        <v>0.81395348837209303</v>
      </c>
      <c r="X83" s="7">
        <f>IF(((T83 - '2026-2027 means'!E$2) / '2026-2027 means'!R$2) * (S83 / '2026-2027 means'!B$2) / 2 &lt; -2, -2, ((T83 - '2026-2027 means'!E$2) / '2026-2027 means'!R$2) * (S83 / '2026-2027 means'!B$2) / 2)</f>
        <v>-0.28935258252408086</v>
      </c>
      <c r="Y83" s="11">
        <f>IF(((W83 - '2026-2027 means'!F$2) / '2026-2027 means'!S$2) * (V83 / '2026-2027 means'!D$2) &lt; -2, -2, ((W83 - '2026-2027 means'!F$2) / '2026-2027 means'!S$2) * (V83 / '2026-2027 means'!D$2))</f>
        <v>0.28463027631458254</v>
      </c>
      <c r="Z83" s="7">
        <f>(J83-'2026-2027 means'!G$2)/'2026-2027 means'!T$2</f>
        <v>0.24497955635221194</v>
      </c>
      <c r="AA83" s="7">
        <f>(K83-'2026-2027 means'!H$2)/'2026-2027 means'!U$2</f>
        <v>1.0416606698482642</v>
      </c>
      <c r="AB83" s="7">
        <f>(L83-'2026-2027 means'!I$2)/'2026-2027 means'!V$2</f>
        <v>-7.7428906082156745E-2</v>
      </c>
      <c r="AC83" s="7">
        <f>(M83-'2026-2027 means'!J$2)/'2026-2027 means'!W$2</f>
        <v>0.12946562336762074</v>
      </c>
      <c r="AD83" s="7">
        <f>(N83-'2026-2027 means'!K$2)/'2026-2027 means'!X$2</f>
        <v>-0.6352083158723062</v>
      </c>
      <c r="AE83" s="7">
        <f>(O83-'2026-2027 means'!L$2)/'2026-2027 means'!Y$2</f>
        <v>4.3434608004692253E-2</v>
      </c>
      <c r="AF83" s="7">
        <f>IF(((P83 - '2026-2027 means'!M$2) / '2026-2027 means'!Z$2 * -1) &lt; -2, -2, (P83 - '2026-2027 means'!M$2) / '2026-2027 means'!Z$2 * -1)</f>
        <v>-1.1657067409458781</v>
      </c>
      <c r="AG83">
        <f t="shared" si="29"/>
        <v>1</v>
      </c>
      <c r="AH83">
        <f t="shared" si="30"/>
        <v>2</v>
      </c>
      <c r="AI83" s="8">
        <f t="shared" si="31"/>
        <v>0.5</v>
      </c>
      <c r="AJ83" s="8" t="e" vm="1">
        <f t="shared" ca="1" si="32"/>
        <v>#NAME?</v>
      </c>
      <c r="AK83" s="8" t="str">
        <f t="shared" si="33"/>
        <v>FG%, TREB, STL, TO</v>
      </c>
      <c r="AL83" t="str">
        <f t="shared" si="34"/>
        <v/>
      </c>
      <c r="AM83" t="str">
        <f t="shared" si="35"/>
        <v>, PTS</v>
      </c>
      <c r="AN83" t="str">
        <f t="shared" si="36"/>
        <v>, FT%, 3PM, AST, BLK</v>
      </c>
      <c r="AO83" t="str">
        <f t="shared" si="37"/>
        <v>FG%, TREB, STL, TO</v>
      </c>
      <c r="AP83">
        <f>VLOOKUP(B83,'2025-2026 actuals'!B:Q,16,FALSE)</f>
        <v>61</v>
      </c>
      <c r="AQ83" s="7">
        <f t="shared" si="24"/>
        <v>-0.42352581153705016</v>
      </c>
      <c r="AR83">
        <f t="shared" si="25"/>
        <v>101</v>
      </c>
    </row>
    <row r="84" spans="1:44" ht="18">
      <c r="A84" s="3">
        <f t="shared" si="38"/>
        <v>120</v>
      </c>
      <c r="B84" s="41" t="s">
        <v>268</v>
      </c>
      <c r="C84" s="1">
        <f t="shared" si="39"/>
        <v>120</v>
      </c>
      <c r="D84" s="1">
        <f t="shared" si="23"/>
        <v>24</v>
      </c>
      <c r="E84" s="1">
        <f>VLOOKUP(B84,'2026-2027 adp'!A:C,3,FALSE)</f>
        <v>53.3</v>
      </c>
      <c r="F84" s="1">
        <f t="shared" si="26"/>
        <v>-66.7</v>
      </c>
      <c r="G84" s="1"/>
      <c r="H84" s="22" t="s">
        <v>590</v>
      </c>
      <c r="I84" s="22" t="s">
        <v>591</v>
      </c>
      <c r="J84" s="42">
        <v>2.6</v>
      </c>
      <c r="K84" s="42">
        <v>19.899999999999999</v>
      </c>
      <c r="L84" s="42">
        <v>3.7</v>
      </c>
      <c r="M84" s="42">
        <v>6.1</v>
      </c>
      <c r="N84" s="42">
        <v>0.9</v>
      </c>
      <c r="O84" s="42">
        <v>0.2</v>
      </c>
      <c r="P84" s="42">
        <v>2.9</v>
      </c>
      <c r="Q84" s="43">
        <v>2</v>
      </c>
      <c r="R84" s="42">
        <v>6.3</v>
      </c>
      <c r="S84" s="42">
        <v>14.9</v>
      </c>
      <c r="T84">
        <f t="shared" si="27"/>
        <v>0.42281879194630873</v>
      </c>
      <c r="U84" s="42">
        <v>4.7</v>
      </c>
      <c r="V84" s="42">
        <v>5.5</v>
      </c>
      <c r="W84">
        <f t="shared" si="28"/>
        <v>0.85454545454545461</v>
      </c>
      <c r="X84" s="7">
        <f>IF(((T84 - '2026-2027 means'!E$2) / '2026-2027 means'!R$2) * (S84 / '2026-2027 means'!B$2) / 2 &lt; -2, -2, ((T84 - '2026-2027 means'!E$2) / '2026-2027 means'!R$2) * (S84 / '2026-2027 means'!B$2) / 2)</f>
        <v>-1.6418985933066998</v>
      </c>
      <c r="Y84" s="11">
        <f>IF(((W84 - '2026-2027 means'!F$2) / '2026-2027 means'!S$2) * (V84 / '2026-2027 means'!D$2) &lt; -2, -2, ((W84 - '2026-2027 means'!F$2) / '2026-2027 means'!S$2) * (V84 / '2026-2027 means'!D$2))</f>
        <v>1.1402077274739006</v>
      </c>
      <c r="Z84" s="7">
        <f>(J84-'2026-2027 means'!G$2)/'2026-2027 means'!T$2</f>
        <v>0.98148860718033804</v>
      </c>
      <c r="AA84" s="7">
        <f>(K84-'2026-2027 means'!H$2)/'2026-2027 means'!U$2</f>
        <v>0.75772549946651624</v>
      </c>
      <c r="AB84" s="7">
        <f>(L84-'2026-2027 means'!I$2)/'2026-2027 means'!V$2</f>
        <v>-0.8264604093047313</v>
      </c>
      <c r="AC84" s="7">
        <f>(M84-'2026-2027 means'!J$2)/'2026-2027 means'!W$2</f>
        <v>1.2653723426763865</v>
      </c>
      <c r="AD84" s="7">
        <f>(N84-'2026-2027 means'!K$2)/'2026-2027 means'!X$2</f>
        <v>-0.34169826646924195</v>
      </c>
      <c r="AE84" s="7">
        <f>(O84-'2026-2027 means'!L$2)/'2026-2027 means'!Y$2</f>
        <v>-0.97172309070964324</v>
      </c>
      <c r="AF84" s="7">
        <f>IF(((P84 - '2026-2027 means'!M$2) / '2026-2027 means'!Z$2 * -1) &lt; -2, -2, (P84 - '2026-2027 means'!M$2) / '2026-2027 means'!Z$2 * -1)</f>
        <v>-1.4386328387095606</v>
      </c>
      <c r="AG84">
        <f t="shared" si="29"/>
        <v>2</v>
      </c>
      <c r="AH84">
        <f t="shared" si="30"/>
        <v>4</v>
      </c>
      <c r="AI84" s="8">
        <f t="shared" si="31"/>
        <v>0.5</v>
      </c>
      <c r="AJ84" s="8" t="e" vm="1">
        <f t="shared" ca="1" si="32"/>
        <v>#NAME?</v>
      </c>
      <c r="AK84" s="8" t="str">
        <f t="shared" si="33"/>
        <v>FG%, TREB, STL, BLK, TO</v>
      </c>
      <c r="AL84" t="str">
        <f t="shared" si="34"/>
        <v/>
      </c>
      <c r="AM84" t="str">
        <f t="shared" si="35"/>
        <v>, FT%, AST</v>
      </c>
      <c r="AN84" t="str">
        <f t="shared" si="36"/>
        <v>, 3PM, PTS</v>
      </c>
      <c r="AO84" t="str">
        <f t="shared" si="37"/>
        <v>FG%, TREB, STL, BLK, TO</v>
      </c>
      <c r="AP84">
        <f>VLOOKUP(B84,'2025-2026 actuals'!B:Q,16,FALSE)</f>
        <v>24</v>
      </c>
      <c r="AQ84" s="7">
        <f t="shared" si="24"/>
        <v>-1.0756190217027353</v>
      </c>
      <c r="AR84">
        <f t="shared" si="25"/>
        <v>120</v>
      </c>
    </row>
    <row r="85" spans="1:44" ht="18">
      <c r="A85" s="3">
        <f t="shared" si="38"/>
        <v>80</v>
      </c>
      <c r="B85" s="41" t="s">
        <v>186</v>
      </c>
      <c r="C85" s="1">
        <f t="shared" si="39"/>
        <v>80</v>
      </c>
      <c r="D85" s="1">
        <f t="shared" si="23"/>
        <v>92</v>
      </c>
      <c r="E85" s="1">
        <f>VLOOKUP(B85,'2026-2027 adp'!A:C,3,FALSE)</f>
        <v>96</v>
      </c>
      <c r="F85" s="1">
        <f t="shared" si="26"/>
        <v>16</v>
      </c>
      <c r="G85" s="1"/>
      <c r="H85" s="22" t="s">
        <v>592</v>
      </c>
      <c r="I85" s="22" t="s">
        <v>593</v>
      </c>
      <c r="J85" s="42">
        <v>1.2</v>
      </c>
      <c r="K85" s="42">
        <v>12</v>
      </c>
      <c r="L85" s="42">
        <v>8</v>
      </c>
      <c r="M85" s="42">
        <v>5</v>
      </c>
      <c r="N85" s="42">
        <v>1.3</v>
      </c>
      <c r="O85" s="42">
        <v>0.3</v>
      </c>
      <c r="P85" s="42">
        <v>1.9</v>
      </c>
      <c r="Q85" s="43">
        <v>1.88</v>
      </c>
      <c r="R85" s="42">
        <v>4.5999999999999996</v>
      </c>
      <c r="S85" s="42">
        <v>9.1</v>
      </c>
      <c r="T85">
        <f t="shared" si="27"/>
        <v>0.50549450549450547</v>
      </c>
      <c r="U85" s="42">
        <v>1.6</v>
      </c>
      <c r="V85" s="42">
        <v>2.2000000000000002</v>
      </c>
      <c r="W85">
        <f t="shared" si="28"/>
        <v>0.72727272727272729</v>
      </c>
      <c r="X85" s="7">
        <f>IF(((T85 - '2026-2027 means'!E$2) / '2026-2027 means'!R$2) * (S85 / '2026-2027 means'!B$2) / 2 &lt; -2, -2, ((T85 - '2026-2027 means'!E$2) / '2026-2027 means'!R$2) * (S85 / '2026-2027 means'!B$2) / 2)</f>
        <v>0.38235165756796036</v>
      </c>
      <c r="Y85" s="11">
        <f>IF(((W85 - '2026-2027 means'!F$2) / '2026-2027 means'!S$2) * (V85 / '2026-2027 means'!D$2) &lt; -2, -2, ((W85 - '2026-2027 means'!F$2) / '2026-2027 means'!S$2) * (V85 / '2026-2027 means'!D$2))</f>
        <v>-0.5173330322959796</v>
      </c>
      <c r="Z85" s="7">
        <f>(J85-'2026-2027 means'!G$2)/'2026-2027 means'!T$2</f>
        <v>-0.49152949447591393</v>
      </c>
      <c r="AA85" s="7">
        <f>(K85-'2026-2027 means'!H$2)/'2026-2027 means'!U$2</f>
        <v>-0.73766639787735577</v>
      </c>
      <c r="AB85" s="7">
        <f>(L85-'2026-2027 means'!I$2)/'2026-2027 means'!V$2</f>
        <v>0.96289262617141924</v>
      </c>
      <c r="AC85" s="7">
        <f>(M85-'2026-2027 means'!J$2)/'2026-2027 means'!W$2</f>
        <v>0.69741898302200378</v>
      </c>
      <c r="AD85" s="7">
        <f>(N85-'2026-2027 means'!K$2)/'2026-2027 means'!X$2</f>
        <v>0.83234193114301547</v>
      </c>
      <c r="AE85" s="7">
        <f>(O85-'2026-2027 means'!L$2)/'2026-2027 means'!Y$2</f>
        <v>-0.76869155096677622</v>
      </c>
      <c r="AF85" s="7">
        <f>IF(((P85 - '2026-2027 means'!M$2) / '2026-2027 means'!Z$2 * -1) &lt; -2, -2, (P85 - '2026-2027 means'!M$2) / '2026-2027 means'!Z$2 * -1)</f>
        <v>-7.4002349891146874E-2</v>
      </c>
      <c r="AG85">
        <f t="shared" si="29"/>
        <v>0</v>
      </c>
      <c r="AH85">
        <f t="shared" si="30"/>
        <v>4</v>
      </c>
      <c r="AI85" s="8">
        <f t="shared" si="31"/>
        <v>0</v>
      </c>
      <c r="AJ85" s="8" t="e" vm="1">
        <f t="shared" ca="1" si="32"/>
        <v>#NAME?</v>
      </c>
      <c r="AK85" s="8" t="str">
        <f t="shared" si="33"/>
        <v>, FT%, 3PM, PTS, BLK, TO</v>
      </c>
      <c r="AL85" t="str">
        <f t="shared" si="34"/>
        <v/>
      </c>
      <c r="AM85" t="str">
        <f t="shared" si="35"/>
        <v/>
      </c>
      <c r="AN85" t="str">
        <f t="shared" si="36"/>
        <v>FG%, TREB, AST, STL</v>
      </c>
      <c r="AO85" t="str">
        <f t="shared" si="37"/>
        <v>, FT%, 3PM, PTS, BLK, TO</v>
      </c>
      <c r="AP85">
        <f>VLOOKUP(B85,'2025-2026 actuals'!B:Q,16,FALSE)</f>
        <v>92</v>
      </c>
      <c r="AQ85" s="7">
        <f t="shared" si="24"/>
        <v>0.28578237239722659</v>
      </c>
      <c r="AR85">
        <f t="shared" si="25"/>
        <v>80</v>
      </c>
    </row>
    <row r="86" spans="1:44" ht="18">
      <c r="A86" s="3">
        <f t="shared" si="38"/>
        <v>84</v>
      </c>
      <c r="B86" s="41" t="s">
        <v>719</v>
      </c>
      <c r="C86" s="1">
        <f t="shared" si="39"/>
        <v>84</v>
      </c>
      <c r="D86" s="1">
        <f t="shared" si="23"/>
        <v>73</v>
      </c>
      <c r="E86" s="1">
        <f>VLOOKUP(B86,'2026-2027 adp'!A:C,3,FALSE)</f>
        <v>74.599999999999994</v>
      </c>
      <c r="F86" s="1">
        <f t="shared" si="26"/>
        <v>-9.4000000000000057</v>
      </c>
      <c r="G86" s="1"/>
      <c r="H86" s="22" t="s">
        <v>594</v>
      </c>
      <c r="I86" s="22" t="s">
        <v>595</v>
      </c>
      <c r="J86" s="42">
        <v>2</v>
      </c>
      <c r="K86" s="42">
        <v>15.7</v>
      </c>
      <c r="L86" s="42">
        <v>5.6</v>
      </c>
      <c r="M86" s="42">
        <v>4.0999999999999996</v>
      </c>
      <c r="N86" s="42">
        <v>1.4</v>
      </c>
      <c r="O86" s="42">
        <v>0.5</v>
      </c>
      <c r="P86" s="42">
        <v>1.8</v>
      </c>
      <c r="Q86" s="43">
        <v>1.82</v>
      </c>
      <c r="R86" s="42">
        <v>5.9</v>
      </c>
      <c r="S86" s="42">
        <v>13.5</v>
      </c>
      <c r="T86">
        <f t="shared" si="27"/>
        <v>0.43703703703703706</v>
      </c>
      <c r="U86" s="42">
        <v>1.9</v>
      </c>
      <c r="V86" s="42">
        <v>2.4</v>
      </c>
      <c r="W86">
        <f t="shared" si="28"/>
        <v>0.79166666666666663</v>
      </c>
      <c r="X86" s="7">
        <f>IF(((T86 - '2026-2027 means'!E$2) / '2026-2027 means'!R$2) * (S86 / '2026-2027 means'!B$2) / 2 &lt; -2, -2, ((T86 - '2026-2027 means'!E$2) / '2026-2027 means'!R$2) * (S86 / '2026-2027 means'!B$2) / 2)</f>
        <v>-1.134240983859498</v>
      </c>
      <c r="Y86" s="11">
        <f>IF(((W86 - '2026-2027 means'!F$2) / '2026-2027 means'!S$2) * (V86 / '2026-2027 means'!D$2) &lt; -2, -2, ((W86 - '2026-2027 means'!F$2) / '2026-2027 means'!S$2) * (V86 / '2026-2027 means'!D$2))</f>
        <v>-2.70881749769726E-2</v>
      </c>
      <c r="Z86" s="7">
        <f>(J86-'2026-2027 means'!G$2)/'2026-2027 means'!T$2</f>
        <v>0.35019513504194433</v>
      </c>
      <c r="AA86" s="7">
        <f>(K86-'2026-2027 means'!H$2)/'2026-2027 means'!U$2</f>
        <v>-3.7292977602377743E-2</v>
      </c>
      <c r="AB86" s="7">
        <f>(L86-'2026-2027 means'!I$2)/'2026-2027 means'!V$2</f>
        <v>-3.5816044792013849E-2</v>
      </c>
      <c r="AC86" s="7">
        <f>(M86-'2026-2027 means'!J$2)/'2026-2027 means'!W$2</f>
        <v>0.23272987057750841</v>
      </c>
      <c r="AD86" s="7">
        <f>(N86-'2026-2027 means'!K$2)/'2026-2027 means'!X$2</f>
        <v>1.1258519805460794</v>
      </c>
      <c r="AE86" s="7">
        <f>(O86-'2026-2027 means'!L$2)/'2026-2027 means'!Y$2</f>
        <v>-0.36262847148104194</v>
      </c>
      <c r="AF86" s="7">
        <f>IF(((P86 - '2026-2027 means'!M$2) / '2026-2027 means'!Z$2 * -1) &lt; -2, -2, (P86 - '2026-2027 means'!M$2) / '2026-2027 means'!Z$2 * -1)</f>
        <v>6.2460698990694306E-2</v>
      </c>
      <c r="AG86">
        <f t="shared" si="29"/>
        <v>1</v>
      </c>
      <c r="AH86">
        <f t="shared" si="30"/>
        <v>2</v>
      </c>
      <c r="AI86" s="8">
        <f t="shared" si="31"/>
        <v>0.5</v>
      </c>
      <c r="AJ86" s="8" t="e" vm="1">
        <f t="shared" ca="1" si="32"/>
        <v>#NAME?</v>
      </c>
      <c r="AK86" s="8" t="str">
        <f t="shared" si="33"/>
        <v>FG%, FT%, PTS, TREB, BLK</v>
      </c>
      <c r="AL86" t="str">
        <f t="shared" si="34"/>
        <v/>
      </c>
      <c r="AM86" t="str">
        <f t="shared" si="35"/>
        <v>, STL</v>
      </c>
      <c r="AN86" t="str">
        <f t="shared" si="36"/>
        <v>, 3PM, AST, TO</v>
      </c>
      <c r="AO86" t="str">
        <f t="shared" si="37"/>
        <v>FG%, FT%, PTS, TREB, BLK</v>
      </c>
      <c r="AP86">
        <f>VLOOKUP(B86,'2025-2026 actuals'!B:Q,16,FALSE)</f>
        <v>73</v>
      </c>
      <c r="AQ86" s="7">
        <f t="shared" si="24"/>
        <v>0.17417103244432222</v>
      </c>
      <c r="AR86">
        <f t="shared" si="25"/>
        <v>84</v>
      </c>
    </row>
    <row r="87" spans="1:44" ht="18">
      <c r="A87" s="3">
        <f t="shared" si="38"/>
        <v>113</v>
      </c>
      <c r="B87" s="41" t="s">
        <v>146</v>
      </c>
      <c r="C87" s="1">
        <f t="shared" si="39"/>
        <v>113</v>
      </c>
      <c r="D87" s="1">
        <f t="shared" si="23"/>
        <v>167</v>
      </c>
      <c r="E87" s="1">
        <f>VLOOKUP(B87,'2026-2027 adp'!A:C,3,FALSE)</f>
        <v>90.2</v>
      </c>
      <c r="F87" s="1">
        <f t="shared" si="26"/>
        <v>-22.799999999999997</v>
      </c>
      <c r="G87" s="1"/>
      <c r="H87" s="22" t="s">
        <v>596</v>
      </c>
      <c r="I87" s="22" t="s">
        <v>597</v>
      </c>
      <c r="J87" s="42">
        <v>2.7</v>
      </c>
      <c r="K87" s="42">
        <v>19.5</v>
      </c>
      <c r="L87" s="42">
        <v>3.6</v>
      </c>
      <c r="M87" s="42">
        <v>4.7</v>
      </c>
      <c r="N87" s="42">
        <v>0.8</v>
      </c>
      <c r="O87" s="42">
        <v>0.2</v>
      </c>
      <c r="P87" s="42">
        <v>2.5</v>
      </c>
      <c r="Q87" s="43">
        <v>1.81</v>
      </c>
      <c r="R87" s="42">
        <v>6.4</v>
      </c>
      <c r="S87" s="42">
        <v>14.3</v>
      </c>
      <c r="T87">
        <f t="shared" si="27"/>
        <v>0.44755244755244755</v>
      </c>
      <c r="U87" s="42">
        <v>3.9</v>
      </c>
      <c r="V87" s="42">
        <v>4.5</v>
      </c>
      <c r="W87">
        <f t="shared" si="28"/>
        <v>0.8666666666666667</v>
      </c>
      <c r="X87" s="7">
        <f>IF(((T87 - '2026-2027 means'!E$2) / '2026-2027 means'!R$2) * (S87 / '2026-2027 means'!B$2) / 2 &lt; -2, -2, ((T87 - '2026-2027 means'!E$2) / '2026-2027 means'!R$2) * (S87 / '2026-2027 means'!B$2) / 2)</f>
        <v>-0.92461393025418048</v>
      </c>
      <c r="Y87" s="11">
        <f>IF(((W87 - '2026-2027 means'!F$2) / '2026-2027 means'!S$2) * (V87 / '2026-2027 means'!D$2) &lt; -2, -2, ((W87 - '2026-2027 means'!F$2) / '2026-2027 means'!S$2) * (V87 / '2026-2027 means'!D$2))</f>
        <v>1.1225237490927118</v>
      </c>
      <c r="Z87" s="7">
        <f>(J87-'2026-2027 means'!G$2)/'2026-2027 means'!T$2</f>
        <v>1.0867041858700703</v>
      </c>
      <c r="AA87" s="7">
        <f>(K87-'2026-2027 means'!H$2)/'2026-2027 means'!U$2</f>
        <v>0.6820094540313838</v>
      </c>
      <c r="AB87" s="7">
        <f>(L87-'2026-2027 means'!I$2)/'2026-2027 means'!V$2</f>
        <v>-0.86807327059487438</v>
      </c>
      <c r="AC87" s="7">
        <f>(M87-'2026-2027 means'!J$2)/'2026-2027 means'!W$2</f>
        <v>0.54252261220717213</v>
      </c>
      <c r="AD87" s="7">
        <f>(N87-'2026-2027 means'!K$2)/'2026-2027 means'!X$2</f>
        <v>-0.6352083158723062</v>
      </c>
      <c r="AE87" s="7">
        <f>(O87-'2026-2027 means'!L$2)/'2026-2027 means'!Y$2</f>
        <v>-0.97172309070964324</v>
      </c>
      <c r="AF87" s="7">
        <f>IF(((P87 - '2026-2027 means'!M$2) / '2026-2027 means'!Z$2 * -1) &lt; -2, -2, (P87 - '2026-2027 means'!M$2) / '2026-2027 means'!Z$2 * -1)</f>
        <v>-0.89278064318219519</v>
      </c>
      <c r="AG87">
        <f t="shared" si="29"/>
        <v>2</v>
      </c>
      <c r="AH87">
        <f t="shared" si="30"/>
        <v>4</v>
      </c>
      <c r="AI87" s="8">
        <f t="shared" si="31"/>
        <v>0.5</v>
      </c>
      <c r="AJ87" s="8" t="e" vm="1">
        <f t="shared" ca="1" si="32"/>
        <v>#NAME?</v>
      </c>
      <c r="AK87" s="8" t="str">
        <f t="shared" si="33"/>
        <v>FG%, TREB, STL, BLK, TO</v>
      </c>
      <c r="AL87" t="str">
        <f t="shared" si="34"/>
        <v/>
      </c>
      <c r="AM87" t="str">
        <f t="shared" si="35"/>
        <v>, FT%, 3PM</v>
      </c>
      <c r="AN87" t="str">
        <f t="shared" si="36"/>
        <v>, PTS, AST</v>
      </c>
      <c r="AO87" t="str">
        <f t="shared" si="37"/>
        <v>FG%, TREB, STL, BLK, TO</v>
      </c>
      <c r="AP87">
        <f>VLOOKUP(B87,'2025-2026 actuals'!B:Q,16,FALSE)</f>
        <v>167</v>
      </c>
      <c r="AQ87" s="7">
        <f t="shared" si="24"/>
        <v>-0.85863924941186154</v>
      </c>
      <c r="AR87">
        <f t="shared" si="25"/>
        <v>113</v>
      </c>
    </row>
    <row r="88" spans="1:44" ht="18">
      <c r="A88" s="3">
        <f t="shared" si="38"/>
        <v>56</v>
      </c>
      <c r="B88" s="41" t="s">
        <v>221</v>
      </c>
      <c r="C88" s="1">
        <f t="shared" si="39"/>
        <v>56</v>
      </c>
      <c r="D88" s="1">
        <f t="shared" si="23"/>
        <v>121</v>
      </c>
      <c r="E88" s="1">
        <f>VLOOKUP(B88,'2026-2027 adp'!A:C,3,FALSE)</f>
        <v>80.7</v>
      </c>
      <c r="F88" s="1">
        <f t="shared" si="26"/>
        <v>24.700000000000003</v>
      </c>
      <c r="G88" s="1"/>
      <c r="H88" s="22" t="s">
        <v>598</v>
      </c>
      <c r="I88" s="22" t="s">
        <v>599</v>
      </c>
      <c r="J88" s="42">
        <v>0.2</v>
      </c>
      <c r="K88" s="42">
        <v>11.6</v>
      </c>
      <c r="L88" s="42">
        <v>6.4</v>
      </c>
      <c r="M88" s="42">
        <v>3.2</v>
      </c>
      <c r="N88" s="42">
        <v>2.2000000000000002</v>
      </c>
      <c r="O88" s="42">
        <v>1</v>
      </c>
      <c r="P88" s="42">
        <v>1.7</v>
      </c>
      <c r="Q88" s="43">
        <v>1.79</v>
      </c>
      <c r="R88" s="42">
        <v>4.9000000000000004</v>
      </c>
      <c r="S88" s="42">
        <v>9.1999999999999993</v>
      </c>
      <c r="T88">
        <f t="shared" si="27"/>
        <v>0.53260869565217395</v>
      </c>
      <c r="U88" s="42">
        <v>1.8</v>
      </c>
      <c r="V88" s="42">
        <v>2.9</v>
      </c>
      <c r="W88">
        <f t="shared" si="28"/>
        <v>0.62068965517241381</v>
      </c>
      <c r="X88" s="7">
        <f>IF(((T88 - '2026-2027 means'!E$2) / '2026-2027 means'!R$2) * (S88 / '2026-2027 means'!B$2) / 2 &lt; -2, -2, ((T88 - '2026-2027 means'!E$2) / '2026-2027 means'!R$2) * (S88 / '2026-2027 means'!B$2) / 2)</f>
        <v>0.84580751589687997</v>
      </c>
      <c r="Y88" s="11">
        <f>IF(((W88 - '2026-2027 means'!F$2) / '2026-2027 means'!S$2) * (V88 / '2026-2027 means'!D$2) &lt; -2, -2, ((W88 - '2026-2027 means'!F$2) / '2026-2027 means'!S$2) * (V88 / '2026-2027 means'!D$2))</f>
        <v>-1.7564892630819844</v>
      </c>
      <c r="Z88" s="7">
        <f>(J88-'2026-2027 means'!G$2)/'2026-2027 means'!T$2</f>
        <v>-1.5436852813732367</v>
      </c>
      <c r="AA88" s="7">
        <f>(K88-'2026-2027 means'!H$2)/'2026-2027 means'!U$2</f>
        <v>-0.81338244331248866</v>
      </c>
      <c r="AB88" s="7">
        <f>(L88-'2026-2027 means'!I$2)/'2026-2027 means'!V$2</f>
        <v>0.29708684552913073</v>
      </c>
      <c r="AC88" s="7">
        <f>(M88-'2026-2027 means'!J$2)/'2026-2027 means'!W$2</f>
        <v>-0.23195924186698647</v>
      </c>
      <c r="AD88" s="7">
        <f>(N88-'2026-2027 means'!K$2)/'2026-2027 means'!X$2</f>
        <v>3.4739323757705947</v>
      </c>
      <c r="AE88" s="7">
        <f>(O88-'2026-2027 means'!L$2)/'2026-2027 means'!Y$2</f>
        <v>0.65252922723329376</v>
      </c>
      <c r="AF88" s="7">
        <f>IF(((P88 - '2026-2027 means'!M$2) / '2026-2027 means'!Z$2 * -1) &lt; -2, -2, (P88 - '2026-2027 means'!M$2) / '2026-2027 means'!Z$2 * -1)</f>
        <v>0.19892374787253581</v>
      </c>
      <c r="AG88">
        <f t="shared" si="29"/>
        <v>1</v>
      </c>
      <c r="AH88">
        <f t="shared" si="30"/>
        <v>3</v>
      </c>
      <c r="AI88" s="8">
        <f t="shared" si="31"/>
        <v>0.33333333333333331</v>
      </c>
      <c r="AJ88" s="8" t="e" vm="1">
        <f t="shared" ca="1" si="32"/>
        <v>#NAME?</v>
      </c>
      <c r="AK88" s="8" t="str">
        <f t="shared" si="33"/>
        <v>, FT%, 3PM, PTS, AST</v>
      </c>
      <c r="AL88" t="str">
        <f t="shared" si="34"/>
        <v>, STL</v>
      </c>
      <c r="AM88" t="str">
        <f t="shared" si="35"/>
        <v/>
      </c>
      <c r="AN88" t="str">
        <f t="shared" si="36"/>
        <v>FG%, TREB, BLK, TO</v>
      </c>
      <c r="AO88" t="str">
        <f t="shared" si="37"/>
        <v>, FT%, 3PM, PTS, AST</v>
      </c>
      <c r="AP88">
        <f>VLOOKUP(B88,'2025-2026 actuals'!B:Q,16,FALSE)</f>
        <v>121</v>
      </c>
      <c r="AQ88" s="7">
        <f t="shared" si="24"/>
        <v>1.1227634826677391</v>
      </c>
      <c r="AR88">
        <f t="shared" si="25"/>
        <v>56</v>
      </c>
    </row>
    <row r="89" spans="1:44" ht="18">
      <c r="A89" s="3">
        <f t="shared" si="38"/>
        <v>77</v>
      </c>
      <c r="B89" s="41" t="s">
        <v>244</v>
      </c>
      <c r="C89" s="1">
        <f t="shared" si="39"/>
        <v>77</v>
      </c>
      <c r="D89" s="1">
        <f t="shared" si="23"/>
        <v>72</v>
      </c>
      <c r="E89" s="1">
        <f>VLOOKUP(B89,'2026-2027 adp'!A:C,3,FALSE)</f>
        <v>98.1</v>
      </c>
      <c r="F89" s="1">
        <f t="shared" si="26"/>
        <v>21.099999999999994</v>
      </c>
      <c r="G89" s="1"/>
      <c r="H89" s="22" t="s">
        <v>600</v>
      </c>
      <c r="I89" s="22" t="s">
        <v>601</v>
      </c>
      <c r="J89" s="42">
        <v>2.2000000000000002</v>
      </c>
      <c r="K89" s="42">
        <v>17.2</v>
      </c>
      <c r="L89" s="42">
        <v>4.9000000000000004</v>
      </c>
      <c r="M89" s="42">
        <v>2.8</v>
      </c>
      <c r="N89" s="42">
        <v>1.1000000000000001</v>
      </c>
      <c r="O89" s="42">
        <v>1</v>
      </c>
      <c r="P89" s="42">
        <v>1.6</v>
      </c>
      <c r="Q89" s="43">
        <v>1.78</v>
      </c>
      <c r="R89" s="42">
        <v>6.2</v>
      </c>
      <c r="S89" s="42">
        <v>13.5</v>
      </c>
      <c r="T89">
        <f t="shared" si="27"/>
        <v>0.45925925925925926</v>
      </c>
      <c r="U89" s="42">
        <v>2.6</v>
      </c>
      <c r="V89" s="42">
        <v>3.4</v>
      </c>
      <c r="W89">
        <f t="shared" si="28"/>
        <v>0.76470588235294124</v>
      </c>
      <c r="X89" s="7">
        <f>IF(((T89 - '2026-2027 means'!E$2) / '2026-2027 means'!R$2) * (S89 / '2026-2027 means'!B$2) / 2 &lt; -2, -2, ((T89 - '2026-2027 means'!E$2) / '2026-2027 means'!R$2) * (S89 / '2026-2027 means'!B$2) / 2)</f>
        <v>-0.58192206601328311</v>
      </c>
      <c r="Y89" s="11">
        <f>IF(((W89 - '2026-2027 means'!F$2) / '2026-2027 means'!S$2) * (V89 / '2026-2027 means'!D$2) &lt; -2, -2, ((W89 - '2026-2027 means'!F$2) / '2026-2027 means'!S$2) * (V89 / '2026-2027 means'!D$2))</f>
        <v>-0.35705281205490452</v>
      </c>
      <c r="Z89" s="7">
        <f>(J89-'2026-2027 means'!G$2)/'2026-2027 means'!T$2</f>
        <v>0.56062629242140904</v>
      </c>
      <c r="AA89" s="7">
        <f>(K89-'2026-2027 means'!H$2)/'2026-2027 means'!U$2</f>
        <v>0.24664219277937016</v>
      </c>
      <c r="AB89" s="7">
        <f>(L89-'2026-2027 means'!I$2)/'2026-2027 means'!V$2</f>
        <v>-0.32710607382301482</v>
      </c>
      <c r="AC89" s="7">
        <f>(M89-'2026-2027 means'!J$2)/'2026-2027 means'!W$2</f>
        <v>-0.4384877362867623</v>
      </c>
      <c r="AD89" s="7">
        <f>(N89-'2026-2027 means'!K$2)/'2026-2027 means'!X$2</f>
        <v>0.24532183233688692</v>
      </c>
      <c r="AE89" s="7">
        <f>(O89-'2026-2027 means'!L$2)/'2026-2027 means'!Y$2</f>
        <v>0.65252922723329376</v>
      </c>
      <c r="AF89" s="7">
        <f>IF(((P89 - '2026-2027 means'!M$2) / '2026-2027 means'!Z$2 * -1) &lt; -2, -2, (P89 - '2026-2027 means'!M$2) / '2026-2027 means'!Z$2 * -1)</f>
        <v>0.33538679675437699</v>
      </c>
      <c r="AG89">
        <f t="shared" si="29"/>
        <v>0</v>
      </c>
      <c r="AH89">
        <f t="shared" si="30"/>
        <v>4</v>
      </c>
      <c r="AI89" s="8">
        <f t="shared" si="31"/>
        <v>0</v>
      </c>
      <c r="AJ89" s="8" t="e" vm="1">
        <f t="shared" ca="1" si="32"/>
        <v>#NAME?</v>
      </c>
      <c r="AK89" s="8" t="str">
        <f t="shared" si="33"/>
        <v>FG%, FT%, TREB, AST</v>
      </c>
      <c r="AL89" t="str">
        <f t="shared" si="34"/>
        <v/>
      </c>
      <c r="AM89" t="str">
        <f t="shared" si="35"/>
        <v/>
      </c>
      <c r="AN89" t="str">
        <f t="shared" si="36"/>
        <v>, 3PM, PTS, STL, BLK, TO</v>
      </c>
      <c r="AO89" t="str">
        <f t="shared" si="37"/>
        <v>FG%, FT%, TREB, AST</v>
      </c>
      <c r="AP89">
        <f>VLOOKUP(B89,'2025-2026 actuals'!B:Q,16,FALSE)</f>
        <v>72</v>
      </c>
      <c r="AQ89" s="7">
        <f t="shared" si="24"/>
        <v>0.33593765334737213</v>
      </c>
      <c r="AR89">
        <f t="shared" si="25"/>
        <v>77</v>
      </c>
    </row>
    <row r="90" spans="1:44" ht="18">
      <c r="A90" s="3">
        <f t="shared" si="38"/>
        <v>89</v>
      </c>
      <c r="B90" s="41" t="s">
        <v>848</v>
      </c>
      <c r="C90" s="1">
        <f t="shared" si="39"/>
        <v>89</v>
      </c>
      <c r="D90" s="1">
        <f t="shared" si="23"/>
        <v>115</v>
      </c>
      <c r="E90" s="1">
        <f>VLOOKUP(B90,'2026-2027 adp'!A:C,3,FALSE)</f>
        <v>118</v>
      </c>
      <c r="F90" s="1">
        <f t="shared" si="26"/>
        <v>29</v>
      </c>
      <c r="G90" s="1"/>
      <c r="H90" s="22" t="s">
        <v>602</v>
      </c>
      <c r="I90" s="22" t="s">
        <v>603</v>
      </c>
      <c r="J90" s="42">
        <v>1.2</v>
      </c>
      <c r="K90" s="42">
        <v>14.8</v>
      </c>
      <c r="L90" s="42">
        <v>3.8</v>
      </c>
      <c r="M90" s="42">
        <v>4</v>
      </c>
      <c r="N90" s="42">
        <v>1.4</v>
      </c>
      <c r="O90" s="42">
        <v>0.3</v>
      </c>
      <c r="P90" s="42">
        <v>1.6</v>
      </c>
      <c r="Q90" s="43">
        <v>1.76</v>
      </c>
      <c r="R90" s="42">
        <v>5.5</v>
      </c>
      <c r="S90" s="42">
        <v>11.4</v>
      </c>
      <c r="T90">
        <f t="shared" si="27"/>
        <v>0.48245614035087719</v>
      </c>
      <c r="U90" s="42">
        <v>2.5</v>
      </c>
      <c r="V90" s="42">
        <v>2.9</v>
      </c>
      <c r="W90">
        <f t="shared" si="28"/>
        <v>0.86206896551724144</v>
      </c>
      <c r="X90" s="7">
        <f>IF(((T90 - '2026-2027 means'!E$2) / '2026-2027 means'!R$2) * (S90 / '2026-2027 means'!B$2) / 2 &lt; -2, -2, ((T90 - '2026-2027 means'!E$2) / '2026-2027 means'!R$2) * (S90 / '2026-2027 means'!B$2) / 2)</f>
        <v>-4.5419577912194893E-3</v>
      </c>
      <c r="Y90" s="11">
        <f>IF(((W90 - '2026-2027 means'!F$2) / '2026-2027 means'!S$2) * (V90 / '2026-2027 means'!D$2) &lt; -2, -2, ((W90 - '2026-2027 means'!F$2) / '2026-2027 means'!S$2) * (V90 / '2026-2027 means'!D$2))</f>
        <v>0.67705104513186498</v>
      </c>
      <c r="Z90" s="7">
        <f>(J90-'2026-2027 means'!G$2)/'2026-2027 means'!T$2</f>
        <v>-0.49152949447591393</v>
      </c>
      <c r="AA90" s="7">
        <f>(K90-'2026-2027 means'!H$2)/'2026-2027 means'!U$2</f>
        <v>-0.20765407983142622</v>
      </c>
      <c r="AB90" s="7">
        <f>(L90-'2026-2027 means'!I$2)/'2026-2027 means'!V$2</f>
        <v>-0.78484754801458845</v>
      </c>
      <c r="AC90" s="7">
        <f>(M90-'2026-2027 means'!J$2)/'2026-2027 means'!W$2</f>
        <v>0.18109774697256467</v>
      </c>
      <c r="AD90" s="7">
        <f>(N90-'2026-2027 means'!K$2)/'2026-2027 means'!X$2</f>
        <v>1.1258519805460794</v>
      </c>
      <c r="AE90" s="7">
        <f>(O90-'2026-2027 means'!L$2)/'2026-2027 means'!Y$2</f>
        <v>-0.76869155096677622</v>
      </c>
      <c r="AF90" s="7">
        <f>IF(((P90 - '2026-2027 means'!M$2) / '2026-2027 means'!Z$2 * -1) &lt; -2, -2, (P90 - '2026-2027 means'!M$2) / '2026-2027 means'!Z$2 * -1)</f>
        <v>0.33538679675437699</v>
      </c>
      <c r="AG90">
        <f t="shared" si="29"/>
        <v>1</v>
      </c>
      <c r="AH90">
        <f t="shared" si="30"/>
        <v>3</v>
      </c>
      <c r="AI90" s="8">
        <f t="shared" si="31"/>
        <v>0.33333333333333331</v>
      </c>
      <c r="AJ90" s="8" t="e" vm="1">
        <f t="shared" ca="1" si="32"/>
        <v>#NAME?</v>
      </c>
      <c r="AK90" s="8" t="str">
        <f t="shared" si="33"/>
        <v>FG%, 3PM, PTS, TREB, BLK</v>
      </c>
      <c r="AL90" t="str">
        <f t="shared" si="34"/>
        <v/>
      </c>
      <c r="AM90" t="str">
        <f t="shared" si="35"/>
        <v>, STL</v>
      </c>
      <c r="AN90" t="str">
        <f t="shared" si="36"/>
        <v>, FT%, AST, TO</v>
      </c>
      <c r="AO90" t="str">
        <f t="shared" si="37"/>
        <v>FG%, 3PM, PTS, TREB, BLK</v>
      </c>
      <c r="AP90">
        <f>VLOOKUP(B90,'2025-2026 actuals'!B:Q,16,FALSE)</f>
        <v>115</v>
      </c>
      <c r="AQ90" s="7">
        <f t="shared" si="24"/>
        <v>6.2122938324961741E-2</v>
      </c>
      <c r="AR90">
        <f t="shared" si="25"/>
        <v>89</v>
      </c>
    </row>
    <row r="91" spans="1:44" ht="18">
      <c r="A91" s="3">
        <f t="shared" si="38"/>
        <v>74</v>
      </c>
      <c r="B91" s="41" t="s">
        <v>293</v>
      </c>
      <c r="C91" s="1">
        <f t="shared" si="39"/>
        <v>74</v>
      </c>
      <c r="D91" s="1">
        <f t="shared" si="23"/>
        <v>91</v>
      </c>
      <c r="E91" s="1">
        <f>VLOOKUP(B91,'2026-2027 adp'!A:C,3,FALSE)</f>
        <v>82.2</v>
      </c>
      <c r="F91" s="1">
        <f t="shared" si="26"/>
        <v>8.2000000000000028</v>
      </c>
      <c r="G91" s="1"/>
      <c r="H91" s="22" t="s">
        <v>604</v>
      </c>
      <c r="I91" s="22" t="s">
        <v>605</v>
      </c>
      <c r="J91" s="42">
        <v>3.2</v>
      </c>
      <c r="K91" s="42">
        <v>16.899999999999999</v>
      </c>
      <c r="L91" s="42">
        <v>3.4</v>
      </c>
      <c r="M91" s="42">
        <v>4.7</v>
      </c>
      <c r="N91" s="42">
        <v>0.8</v>
      </c>
      <c r="O91" s="42">
        <v>0.2</v>
      </c>
      <c r="P91" s="42">
        <v>1.3</v>
      </c>
      <c r="Q91" s="43">
        <v>1.76</v>
      </c>
      <c r="R91" s="42">
        <v>6.2</v>
      </c>
      <c r="S91" s="42">
        <v>13.3</v>
      </c>
      <c r="T91">
        <f t="shared" si="27"/>
        <v>0.46616541353383456</v>
      </c>
      <c r="U91" s="42">
        <v>1.3</v>
      </c>
      <c r="V91" s="42">
        <v>1.5</v>
      </c>
      <c r="W91">
        <f t="shared" si="28"/>
        <v>0.8666666666666667</v>
      </c>
      <c r="X91" s="7">
        <f>IF(((T91 - '2026-2027 means'!E$2) / '2026-2027 means'!R$2) * (S91 / '2026-2027 means'!B$2) / 2 &lt; -2, -2, ((T91 - '2026-2027 means'!E$2) / '2026-2027 means'!R$2) * (S91 / '2026-2027 means'!B$2) / 2)</f>
        <v>-0.4041959469786901</v>
      </c>
      <c r="Y91" s="11">
        <f>IF(((W91 - '2026-2027 means'!F$2) / '2026-2027 means'!S$2) * (V91 / '2026-2027 means'!D$2) &lt; -2, -2, ((W91 - '2026-2027 means'!F$2) / '2026-2027 means'!S$2) * (V91 / '2026-2027 means'!D$2))</f>
        <v>0.37417458303090395</v>
      </c>
      <c r="Z91" s="7">
        <f>(J91-'2026-2027 means'!G$2)/'2026-2027 means'!T$2</f>
        <v>1.6127820793187317</v>
      </c>
      <c r="AA91" s="7">
        <f>(K91-'2026-2027 means'!H$2)/'2026-2027 means'!U$2</f>
        <v>0.18985515870302044</v>
      </c>
      <c r="AB91" s="7">
        <f>(L91-'2026-2027 means'!I$2)/'2026-2027 means'!V$2</f>
        <v>-0.95129899317516053</v>
      </c>
      <c r="AC91" s="7">
        <f>(M91-'2026-2027 means'!J$2)/'2026-2027 means'!W$2</f>
        <v>0.54252261220717213</v>
      </c>
      <c r="AD91" s="7">
        <f>(N91-'2026-2027 means'!K$2)/'2026-2027 means'!X$2</f>
        <v>-0.6352083158723062</v>
      </c>
      <c r="AE91" s="7">
        <f>(O91-'2026-2027 means'!L$2)/'2026-2027 means'!Y$2</f>
        <v>-0.97172309070964324</v>
      </c>
      <c r="AF91" s="7">
        <f>IF(((P91 - '2026-2027 means'!M$2) / '2026-2027 means'!Z$2 * -1) &lt; -2, -2, (P91 - '2026-2027 means'!M$2) / '2026-2027 means'!Z$2 * -1)</f>
        <v>0.74477594339990116</v>
      </c>
      <c r="AG91">
        <f t="shared" si="29"/>
        <v>1</v>
      </c>
      <c r="AH91">
        <f t="shared" si="30"/>
        <v>4</v>
      </c>
      <c r="AI91" s="8">
        <f t="shared" si="31"/>
        <v>0.25</v>
      </c>
      <c r="AJ91" s="8" t="e" vm="1">
        <f t="shared" ca="1" si="32"/>
        <v>#NAME?</v>
      </c>
      <c r="AK91" s="8" t="str">
        <f t="shared" si="33"/>
        <v>FG%, TREB, STL, BLK</v>
      </c>
      <c r="AL91" t="str">
        <f t="shared" si="34"/>
        <v/>
      </c>
      <c r="AM91" t="str">
        <f t="shared" si="35"/>
        <v>, 3PM</v>
      </c>
      <c r="AN91" t="str">
        <f t="shared" si="36"/>
        <v>, FT%, PTS, AST, TO</v>
      </c>
      <c r="AO91" t="str">
        <f t="shared" si="37"/>
        <v>FG%, TREB, STL, BLK</v>
      </c>
      <c r="AP91">
        <f>VLOOKUP(B91,'2025-2026 actuals'!B:Q,16,FALSE)</f>
        <v>91</v>
      </c>
      <c r="AQ91" s="7">
        <f t="shared" si="24"/>
        <v>0.50168402992392913</v>
      </c>
      <c r="AR91">
        <f t="shared" si="25"/>
        <v>74</v>
      </c>
    </row>
    <row r="92" spans="1:44" ht="18">
      <c r="A92" s="3">
        <f t="shared" si="38"/>
        <v>76</v>
      </c>
      <c r="B92" s="41" t="s">
        <v>150</v>
      </c>
      <c r="C92" s="1">
        <f t="shared" si="39"/>
        <v>76</v>
      </c>
      <c r="D92" s="1">
        <f t="shared" si="23"/>
        <v>135</v>
      </c>
      <c r="E92" s="1">
        <f>VLOOKUP(B92,'2026-2027 adp'!A:C,3,FALSE)</f>
        <v>121.9</v>
      </c>
      <c r="F92" s="1">
        <f t="shared" si="26"/>
        <v>45.900000000000006</v>
      </c>
      <c r="G92" s="1"/>
      <c r="H92" s="22" t="s">
        <v>606</v>
      </c>
      <c r="I92" s="22" t="s">
        <v>607</v>
      </c>
      <c r="J92" s="42">
        <v>0</v>
      </c>
      <c r="K92" s="42">
        <v>12.4</v>
      </c>
      <c r="L92" s="42">
        <v>8.1999999999999993</v>
      </c>
      <c r="M92" s="42">
        <v>2.4</v>
      </c>
      <c r="N92" s="42">
        <v>1</v>
      </c>
      <c r="O92" s="42">
        <v>1</v>
      </c>
      <c r="P92" s="42">
        <v>1.6</v>
      </c>
      <c r="Q92" s="43">
        <v>1.73</v>
      </c>
      <c r="R92" s="42">
        <v>5.5</v>
      </c>
      <c r="S92" s="42">
        <v>8.4</v>
      </c>
      <c r="T92">
        <f t="shared" si="27"/>
        <v>0.65476190476190477</v>
      </c>
      <c r="U92" s="42">
        <v>1.5</v>
      </c>
      <c r="V92" s="42">
        <v>2.2999999999999998</v>
      </c>
      <c r="W92">
        <f t="shared" si="28"/>
        <v>0.65217391304347827</v>
      </c>
      <c r="X92" s="7">
        <f>IF(((T92 - '2026-2027 means'!E$2) / '2026-2027 means'!R$2) * (S92 / '2026-2027 means'!B$2) / 2 &lt; -2, -2, ((T92 - '2026-2027 means'!E$2) / '2026-2027 means'!R$2) * (S92 / '2026-2027 means'!B$2) / 2)</f>
        <v>2.6613498277276846</v>
      </c>
      <c r="Y92" s="11">
        <f>IF(((W92 - '2026-2027 means'!F$2) / '2026-2027 means'!S$2) * (V92 / '2026-2027 means'!D$2) &lt; -2, -2, ((W92 - '2026-2027 means'!F$2) / '2026-2027 means'!S$2) * (V92 / '2026-2027 means'!D$2))</f>
        <v>-1.1413321422842793</v>
      </c>
      <c r="Z92" s="7">
        <f>(J92-'2026-2027 means'!G$2)/'2026-2027 means'!T$2</f>
        <v>-1.7541164387527013</v>
      </c>
      <c r="AA92" s="7">
        <f>(K92-'2026-2027 means'!H$2)/'2026-2027 means'!U$2</f>
        <v>-0.66195035244222289</v>
      </c>
      <c r="AB92" s="7">
        <f>(L92-'2026-2027 means'!I$2)/'2026-2027 means'!V$2</f>
        <v>1.046118348751705</v>
      </c>
      <c r="AC92" s="7">
        <f>(M92-'2026-2027 means'!J$2)/'2026-2027 means'!W$2</f>
        <v>-0.64501623070653791</v>
      </c>
      <c r="AD92" s="7">
        <f>(N92-'2026-2027 means'!K$2)/'2026-2027 means'!X$2</f>
        <v>-4.818821706617768E-2</v>
      </c>
      <c r="AE92" s="7">
        <f>(O92-'2026-2027 means'!L$2)/'2026-2027 means'!Y$2</f>
        <v>0.65252922723329376</v>
      </c>
      <c r="AF92" s="7">
        <f>IF(((P92 - '2026-2027 means'!M$2) / '2026-2027 means'!Z$2 * -1) &lt; -2, -2, (P92 - '2026-2027 means'!M$2) / '2026-2027 means'!Z$2 * -1)</f>
        <v>0.33538679675437699</v>
      </c>
      <c r="AG92">
        <f t="shared" si="29"/>
        <v>2</v>
      </c>
      <c r="AH92">
        <f t="shared" si="30"/>
        <v>4</v>
      </c>
      <c r="AI92" s="8">
        <f t="shared" si="31"/>
        <v>0.5</v>
      </c>
      <c r="AJ92" s="8" t="e" vm="1">
        <f t="shared" ca="1" si="32"/>
        <v>#NAME?</v>
      </c>
      <c r="AK92" s="8" t="str">
        <f t="shared" si="33"/>
        <v>, FT%, 3PM, PTS, AST, STL</v>
      </c>
      <c r="AL92" t="str">
        <f t="shared" si="34"/>
        <v>FG%</v>
      </c>
      <c r="AM92" t="str">
        <f t="shared" si="35"/>
        <v>, TREB</v>
      </c>
      <c r="AN92" t="str">
        <f t="shared" si="36"/>
        <v>, BLK, TO</v>
      </c>
      <c r="AO92" t="str">
        <f t="shared" si="37"/>
        <v>, FT%, 3PM, PTS, AST, STL</v>
      </c>
      <c r="AP92">
        <f>VLOOKUP(B92,'2025-2026 actuals'!B:Q,16,FALSE)</f>
        <v>135</v>
      </c>
      <c r="AQ92" s="7">
        <f t="shared" si="24"/>
        <v>0.44478081921514123</v>
      </c>
      <c r="AR92">
        <f t="shared" si="25"/>
        <v>76</v>
      </c>
    </row>
    <row r="93" spans="1:44" ht="18">
      <c r="A93" s="3">
        <f t="shared" si="38"/>
        <v>90</v>
      </c>
      <c r="B93" s="41" t="s">
        <v>142</v>
      </c>
      <c r="C93" s="1">
        <f t="shared" si="39"/>
        <v>90</v>
      </c>
      <c r="D93" s="1">
        <f t="shared" si="23"/>
        <v>112</v>
      </c>
      <c r="E93" s="1">
        <f>VLOOKUP(B93,'2026-2027 adp'!A:C,3,FALSE)</f>
        <v>104.9</v>
      </c>
      <c r="F93" s="1">
        <f t="shared" si="26"/>
        <v>14.900000000000006</v>
      </c>
      <c r="G93" s="1"/>
      <c r="H93" s="22" t="s">
        <v>608</v>
      </c>
      <c r="I93" s="22" t="s">
        <v>609</v>
      </c>
      <c r="J93" s="42">
        <v>0</v>
      </c>
      <c r="K93" s="42">
        <v>10.5</v>
      </c>
      <c r="L93" s="42">
        <v>10.3</v>
      </c>
      <c r="M93" s="42">
        <v>3.8</v>
      </c>
      <c r="N93" s="42">
        <v>0.9</v>
      </c>
      <c r="O93" s="42">
        <v>1</v>
      </c>
      <c r="P93" s="42">
        <v>1.7</v>
      </c>
      <c r="Q93" s="43">
        <v>1.65</v>
      </c>
      <c r="R93" s="42">
        <v>4.5</v>
      </c>
      <c r="S93" s="42">
        <v>7.6</v>
      </c>
      <c r="T93">
        <f t="shared" si="27"/>
        <v>0.5921052631578948</v>
      </c>
      <c r="U93" s="42">
        <v>1.4</v>
      </c>
      <c r="V93" s="42">
        <v>2.2000000000000002</v>
      </c>
      <c r="W93">
        <f t="shared" si="28"/>
        <v>0.63636363636363624</v>
      </c>
      <c r="X93" s="7">
        <f>IF(((T93 - '2026-2027 means'!E$2) / '2026-2027 means'!R$2) * (S93 / '2026-2027 means'!B$2) / 2 &lt; -2, -2, ((T93 - '2026-2027 means'!E$2) / '2026-2027 means'!R$2) * (S93 / '2026-2027 means'!B$2) / 2)</f>
        <v>1.531191244378675</v>
      </c>
      <c r="Y93" s="11">
        <f>IF(((W93 - '2026-2027 means'!F$2) / '2026-2027 means'!S$2) * (V93 / '2026-2027 means'!D$2) &lt; -2, -2, ((W93 - '2026-2027 means'!F$2) / '2026-2027 means'!S$2) * (V93 / '2026-2027 means'!D$2))</f>
        <v>-1.2126302632142234</v>
      </c>
      <c r="Z93" s="7">
        <f>(J93-'2026-2027 means'!G$2)/'2026-2027 means'!T$2</f>
        <v>-1.7541164387527013</v>
      </c>
      <c r="AA93" s="7">
        <f>(K93-'2026-2027 means'!H$2)/'2026-2027 means'!U$2</f>
        <v>-1.0216015682591038</v>
      </c>
      <c r="AB93" s="7">
        <f>(L93-'2026-2027 means'!I$2)/'2026-2027 means'!V$2</f>
        <v>1.9199884358447095</v>
      </c>
      <c r="AC93" s="7">
        <f>(M93-'2026-2027 means'!J$2)/'2026-2027 means'!W$2</f>
        <v>7.7833499762676783E-2</v>
      </c>
      <c r="AD93" s="7">
        <f>(N93-'2026-2027 means'!K$2)/'2026-2027 means'!X$2</f>
        <v>-0.34169826646924195</v>
      </c>
      <c r="AE93" s="7">
        <f>(O93-'2026-2027 means'!L$2)/'2026-2027 means'!Y$2</f>
        <v>0.65252922723329376</v>
      </c>
      <c r="AF93" s="7">
        <f>IF(((P93 - '2026-2027 means'!M$2) / '2026-2027 means'!Z$2 * -1) &lt; -2, -2, (P93 - '2026-2027 means'!M$2) / '2026-2027 means'!Z$2 * -1)</f>
        <v>0.19892374787253581</v>
      </c>
      <c r="AG93">
        <f t="shared" si="29"/>
        <v>2</v>
      </c>
      <c r="AH93">
        <f t="shared" si="30"/>
        <v>4</v>
      </c>
      <c r="AI93" s="8">
        <f t="shared" si="31"/>
        <v>0.5</v>
      </c>
      <c r="AJ93" s="8" t="e" vm="1">
        <f t="shared" ca="1" si="32"/>
        <v>#NAME?</v>
      </c>
      <c r="AK93" s="8" t="str">
        <f t="shared" si="33"/>
        <v>, FT%, 3PM, PTS, STL</v>
      </c>
      <c r="AL93" t="str">
        <f t="shared" si="34"/>
        <v/>
      </c>
      <c r="AM93" t="str">
        <f t="shared" si="35"/>
        <v>FG%, TREB</v>
      </c>
      <c r="AN93" t="str">
        <f t="shared" si="36"/>
        <v>, AST, BLK, TO</v>
      </c>
      <c r="AO93" t="str">
        <f t="shared" si="37"/>
        <v>, FT%, 3PM, PTS, STL</v>
      </c>
      <c r="AP93">
        <f>VLOOKUP(B93,'2025-2026 actuals'!B:Q,16,FALSE)</f>
        <v>112</v>
      </c>
      <c r="AQ93" s="7">
        <f t="shared" si="24"/>
        <v>5.0419618396620625E-2</v>
      </c>
      <c r="AR93">
        <f t="shared" si="25"/>
        <v>90</v>
      </c>
    </row>
    <row r="94" spans="1:44" ht="18">
      <c r="A94" s="3">
        <f t="shared" si="38"/>
        <v>79</v>
      </c>
      <c r="B94" s="41" t="s">
        <v>192</v>
      </c>
      <c r="C94" s="1">
        <f t="shared" si="39"/>
        <v>79</v>
      </c>
      <c r="D94" s="1">
        <f t="shared" si="23"/>
        <v>156</v>
      </c>
      <c r="E94" s="1">
        <f>VLOOKUP(B94,'2026-2027 adp'!A:C,3,FALSE)</f>
        <v>113.3</v>
      </c>
      <c r="F94" s="1">
        <f t="shared" si="26"/>
        <v>34.299999999999997</v>
      </c>
      <c r="G94" s="1"/>
      <c r="H94" s="22" t="s">
        <v>610</v>
      </c>
      <c r="I94" s="22" t="s">
        <v>611</v>
      </c>
      <c r="J94" s="42">
        <v>2.4</v>
      </c>
      <c r="K94" s="42">
        <v>15.6</v>
      </c>
      <c r="L94" s="42">
        <v>4.0999999999999996</v>
      </c>
      <c r="M94" s="42">
        <v>2.9</v>
      </c>
      <c r="N94" s="42">
        <v>0.8</v>
      </c>
      <c r="O94" s="42">
        <v>0.4</v>
      </c>
      <c r="P94" s="42">
        <v>1.3</v>
      </c>
      <c r="Q94" s="43">
        <v>1.63</v>
      </c>
      <c r="R94" s="42">
        <v>5.3</v>
      </c>
      <c r="S94" s="42">
        <v>11</v>
      </c>
      <c r="T94">
        <f t="shared" si="27"/>
        <v>0.48181818181818181</v>
      </c>
      <c r="U94" s="42">
        <v>2.7</v>
      </c>
      <c r="V94" s="42">
        <v>3</v>
      </c>
      <c r="W94">
        <f t="shared" si="28"/>
        <v>0.9</v>
      </c>
      <c r="X94" s="7">
        <f>IF(((T94 - '2026-2027 means'!E$2) / '2026-2027 means'!R$2) * (S94 / '2026-2027 means'!B$2) / 2 &lt; -2, -2, ((T94 - '2026-2027 means'!E$2) / '2026-2027 means'!R$2) * (S94 / '2026-2027 means'!B$2) / 2)</f>
        <v>-1.7302331619509365E-2</v>
      </c>
      <c r="Y94" s="11">
        <f>IF(((W94 - '2026-2027 means'!F$2) / '2026-2027 means'!S$2) * (V94 / '2026-2027 means'!D$2) &lt; -2, -2, ((W94 - '2026-2027 means'!F$2) / '2026-2027 means'!S$2) * (V94 / '2026-2027 means'!D$2))</f>
        <v>1.095997781520929</v>
      </c>
      <c r="Z94" s="7">
        <f>(J94-'2026-2027 means'!G$2)/'2026-2027 means'!T$2</f>
        <v>0.77105744980087332</v>
      </c>
      <c r="AA94" s="7">
        <f>(K94-'2026-2027 means'!H$2)/'2026-2027 means'!U$2</f>
        <v>-5.6221988961160867E-2</v>
      </c>
      <c r="AB94" s="7">
        <f>(L94-'2026-2027 means'!I$2)/'2026-2027 means'!V$2</f>
        <v>-0.66000896414415944</v>
      </c>
      <c r="AC94" s="7">
        <f>(M94-'2026-2027 means'!J$2)/'2026-2027 means'!W$2</f>
        <v>-0.38685561268181834</v>
      </c>
      <c r="AD94" s="7">
        <f>(N94-'2026-2027 means'!K$2)/'2026-2027 means'!X$2</f>
        <v>-0.6352083158723062</v>
      </c>
      <c r="AE94" s="7">
        <f>(O94-'2026-2027 means'!L$2)/'2026-2027 means'!Y$2</f>
        <v>-0.56566001122390897</v>
      </c>
      <c r="AF94" s="7">
        <f>IF(((P94 - '2026-2027 means'!M$2) / '2026-2027 means'!Z$2 * -1) &lt; -2, -2, (P94 - '2026-2027 means'!M$2) / '2026-2027 means'!Z$2 * -1)</f>
        <v>0.74477594339990116</v>
      </c>
      <c r="AG94">
        <f t="shared" si="29"/>
        <v>1</v>
      </c>
      <c r="AH94">
        <f t="shared" si="30"/>
        <v>4</v>
      </c>
      <c r="AI94" s="8">
        <f t="shared" si="31"/>
        <v>0.25</v>
      </c>
      <c r="AJ94" s="8" t="e" vm="1">
        <f t="shared" ca="1" si="32"/>
        <v>#NAME?</v>
      </c>
      <c r="AK94" s="8" t="str">
        <f t="shared" si="33"/>
        <v>FG%, PTS, TREB, AST, STL, BLK</v>
      </c>
      <c r="AL94" t="str">
        <f t="shared" si="34"/>
        <v/>
      </c>
      <c r="AM94" t="str">
        <f t="shared" si="35"/>
        <v>, FT%</v>
      </c>
      <c r="AN94" t="str">
        <f t="shared" si="36"/>
        <v>, 3PM, TO</v>
      </c>
      <c r="AO94" t="str">
        <f t="shared" si="37"/>
        <v>FG%, PTS, TREB, AST, STL, BLK</v>
      </c>
      <c r="AP94">
        <f>VLOOKUP(B94,'2025-2026 actuals'!B:Q,16,FALSE)</f>
        <v>156</v>
      </c>
      <c r="AQ94" s="7">
        <f t="shared" si="24"/>
        <v>0.29057395021884047</v>
      </c>
      <c r="AR94">
        <f t="shared" si="25"/>
        <v>79</v>
      </c>
    </row>
    <row r="95" spans="1:44" ht="18">
      <c r="A95" s="3">
        <f t="shared" si="38"/>
        <v>63</v>
      </c>
      <c r="B95" s="41" t="s">
        <v>140</v>
      </c>
      <c r="C95" s="1">
        <f t="shared" si="39"/>
        <v>63</v>
      </c>
      <c r="D95" s="1">
        <f t="shared" si="23"/>
        <v>103</v>
      </c>
      <c r="E95" s="1">
        <f>VLOOKUP(B95,'2026-2027 adp'!A:C,3,FALSE)</f>
        <v>116.1</v>
      </c>
      <c r="F95" s="1">
        <f t="shared" si="26"/>
        <v>53.099999999999994</v>
      </c>
      <c r="G95" s="1"/>
      <c r="H95" s="22" t="s">
        <v>612</v>
      </c>
      <c r="I95" s="22" t="s">
        <v>613</v>
      </c>
      <c r="J95" s="42">
        <v>2.2000000000000002</v>
      </c>
      <c r="K95" s="42">
        <v>16.100000000000001</v>
      </c>
      <c r="L95" s="42">
        <v>6.5</v>
      </c>
      <c r="M95" s="42">
        <v>1.5</v>
      </c>
      <c r="N95" s="42">
        <v>0.9</v>
      </c>
      <c r="O95" s="42">
        <v>1.1000000000000001</v>
      </c>
      <c r="P95" s="42">
        <v>1</v>
      </c>
      <c r="Q95" s="43">
        <v>1.62</v>
      </c>
      <c r="R95" s="42">
        <v>6.2</v>
      </c>
      <c r="S95" s="42">
        <v>13.8</v>
      </c>
      <c r="T95">
        <f t="shared" si="27"/>
        <v>0.44927536231884058</v>
      </c>
      <c r="U95" s="42">
        <v>1.5</v>
      </c>
      <c r="V95" s="42">
        <v>1.8</v>
      </c>
      <c r="W95">
        <f t="shared" si="28"/>
        <v>0.83333333333333326</v>
      </c>
      <c r="X95" s="7">
        <f>IF(((T95 - '2026-2027 means'!E$2) / '2026-2027 means'!R$2) * (S95 / '2026-2027 means'!B$2) / 2 &lt; -2, -2, ((T95 - '2026-2027 means'!E$2) / '2026-2027 means'!R$2) * (S95 / '2026-2027 means'!B$2) / 2)</f>
        <v>-0.84851124456517357</v>
      </c>
      <c r="Y95" s="11">
        <f>IF(((W95 - '2026-2027 means'!F$2) / '2026-2027 means'!S$2) * (V95 / '2026-2027 means'!D$2) &lt; -2, -2, ((W95 - '2026-2027 means'!F$2) / '2026-2027 means'!S$2) * (V95 / '2026-2027 means'!D$2))</f>
        <v>0.24042033036161128</v>
      </c>
      <c r="Z95" s="7">
        <f>(J95-'2026-2027 means'!G$2)/'2026-2027 means'!T$2</f>
        <v>0.56062629242140904</v>
      </c>
      <c r="AA95" s="7">
        <f>(K95-'2026-2027 means'!H$2)/'2026-2027 means'!U$2</f>
        <v>3.8423067832755432E-2</v>
      </c>
      <c r="AB95" s="7">
        <f>(L95-'2026-2027 means'!I$2)/'2026-2027 means'!V$2</f>
        <v>0.33869970681927364</v>
      </c>
      <c r="AC95" s="7">
        <f>(M95-'2026-2027 means'!J$2)/'2026-2027 means'!W$2</f>
        <v>-1.1097053431510329</v>
      </c>
      <c r="AD95" s="7">
        <f>(N95-'2026-2027 means'!K$2)/'2026-2027 means'!X$2</f>
        <v>-0.34169826646924195</v>
      </c>
      <c r="AE95" s="7">
        <f>(O95-'2026-2027 means'!L$2)/'2026-2027 means'!Y$2</f>
        <v>0.85556076697616101</v>
      </c>
      <c r="AF95" s="7">
        <f>IF(((P95 - '2026-2027 means'!M$2) / '2026-2027 means'!Z$2 * -1) &lt; -2, -2, (P95 - '2026-2027 means'!M$2) / '2026-2027 means'!Z$2 * -1)</f>
        <v>1.1541650900454252</v>
      </c>
      <c r="AG95">
        <f t="shared" si="29"/>
        <v>0</v>
      </c>
      <c r="AH95">
        <f t="shared" si="30"/>
        <v>3</v>
      </c>
      <c r="AI95" s="8">
        <f t="shared" si="31"/>
        <v>0</v>
      </c>
      <c r="AJ95" s="8" t="e" vm="1">
        <f t="shared" ca="1" si="32"/>
        <v>#NAME?</v>
      </c>
      <c r="AK95" s="8" t="str">
        <f t="shared" si="33"/>
        <v>FG%, AST, STL</v>
      </c>
      <c r="AL95" t="str">
        <f t="shared" si="34"/>
        <v/>
      </c>
      <c r="AM95" t="str">
        <f t="shared" si="35"/>
        <v>, TO</v>
      </c>
      <c r="AN95" t="str">
        <f t="shared" si="36"/>
        <v>, FT%, 3PM, PTS, TREB, BLK</v>
      </c>
      <c r="AO95" t="str">
        <f t="shared" si="37"/>
        <v>FG%, AST, STL</v>
      </c>
      <c r="AP95">
        <f>VLOOKUP(B95,'2025-2026 actuals'!B:Q,16,FALSE)</f>
        <v>103</v>
      </c>
      <c r="AQ95" s="7">
        <f t="shared" si="24"/>
        <v>0.88798040027118719</v>
      </c>
      <c r="AR95">
        <f t="shared" si="25"/>
        <v>63</v>
      </c>
    </row>
    <row r="96" spans="1:44" ht="18">
      <c r="A96" s="3">
        <f t="shared" si="38"/>
        <v>88</v>
      </c>
      <c r="B96" s="41" t="s">
        <v>99</v>
      </c>
      <c r="C96" s="1">
        <f t="shared" si="39"/>
        <v>88</v>
      </c>
      <c r="D96" s="1">
        <f t="shared" si="23"/>
        <v>109</v>
      </c>
      <c r="E96" s="1">
        <f>VLOOKUP(B96,'2026-2027 adp'!A:C,3,FALSE)</f>
        <v>103.1</v>
      </c>
      <c r="F96" s="1">
        <f t="shared" si="26"/>
        <v>15.099999999999994</v>
      </c>
      <c r="G96" s="1"/>
      <c r="H96" s="22" t="s">
        <v>614</v>
      </c>
      <c r="I96" s="22" t="s">
        <v>615</v>
      </c>
      <c r="J96" s="42">
        <v>2.1</v>
      </c>
      <c r="K96" s="42">
        <v>13.3</v>
      </c>
      <c r="L96" s="42">
        <v>5.8</v>
      </c>
      <c r="M96" s="42">
        <v>1.5</v>
      </c>
      <c r="N96" s="42">
        <v>0.7</v>
      </c>
      <c r="O96" s="42">
        <v>1.8</v>
      </c>
      <c r="P96" s="42">
        <v>1.4</v>
      </c>
      <c r="Q96" s="43">
        <v>1.54</v>
      </c>
      <c r="R96" s="42">
        <v>4.5999999999999996</v>
      </c>
      <c r="S96" s="42">
        <v>9.9</v>
      </c>
      <c r="T96">
        <f t="shared" si="27"/>
        <v>0.46464646464646459</v>
      </c>
      <c r="U96" s="42">
        <v>2.1</v>
      </c>
      <c r="V96" s="42">
        <v>2.8</v>
      </c>
      <c r="W96">
        <f t="shared" si="28"/>
        <v>0.75000000000000011</v>
      </c>
      <c r="X96" s="7">
        <f>IF(((T96 - '2026-2027 means'!E$2) / '2026-2027 means'!R$2) * (S96 / '2026-2027 means'!B$2) / 2 &lt; -2, -2, ((T96 - '2026-2027 means'!E$2) / '2026-2027 means'!R$2) * (S96 / '2026-2027 means'!B$2) / 2)</f>
        <v>-0.32855281857041485</v>
      </c>
      <c r="Y96" s="11">
        <f>IF(((W96 - '2026-2027 means'!F$2) / '2026-2027 means'!S$2) * (V96 / '2026-2027 means'!D$2) &lt; -2, -2, ((W96 - '2026-2027 means'!F$2) / '2026-2027 means'!S$2) * (V96 / '2026-2027 means'!D$2))</f>
        <v>-0.43719292217544137</v>
      </c>
      <c r="Z96" s="7">
        <f>(J96-'2026-2027 means'!G$2)/'2026-2027 means'!T$2</f>
        <v>0.45541071373167669</v>
      </c>
      <c r="AA96" s="7">
        <f>(K96-'2026-2027 means'!H$2)/'2026-2027 means'!U$2</f>
        <v>-0.49158925021317412</v>
      </c>
      <c r="AB96" s="7">
        <f>(L96-'2026-2027 means'!I$2)/'2026-2027 means'!V$2</f>
        <v>4.7409677788272299E-2</v>
      </c>
      <c r="AC96" s="7">
        <f>(M96-'2026-2027 means'!J$2)/'2026-2027 means'!W$2</f>
        <v>-1.1097053431510329</v>
      </c>
      <c r="AD96" s="7">
        <f>(N96-'2026-2027 means'!K$2)/'2026-2027 means'!X$2</f>
        <v>-0.92871836527537077</v>
      </c>
      <c r="AE96" s="7">
        <f>(O96-'2026-2027 means'!L$2)/'2026-2027 means'!Y$2</f>
        <v>2.276781545176231</v>
      </c>
      <c r="AF96" s="7">
        <f>IF(((P96 - '2026-2027 means'!M$2) / '2026-2027 means'!Z$2 * -1) &lt; -2, -2, (P96 - '2026-2027 means'!M$2) / '2026-2027 means'!Z$2 * -1)</f>
        <v>0.60831289451805992</v>
      </c>
      <c r="AG96">
        <f t="shared" si="29"/>
        <v>1</v>
      </c>
      <c r="AH96">
        <f t="shared" si="30"/>
        <v>5</v>
      </c>
      <c r="AI96" s="8">
        <f t="shared" si="31"/>
        <v>0.2</v>
      </c>
      <c r="AJ96" s="8" t="e" vm="1">
        <f t="shared" ca="1" si="32"/>
        <v>#NAME?</v>
      </c>
      <c r="AK96" s="8" t="str">
        <f t="shared" si="33"/>
        <v>FG%, FT%, PTS, AST, STL</v>
      </c>
      <c r="AL96" t="str">
        <f t="shared" si="34"/>
        <v>, BLK</v>
      </c>
      <c r="AM96" t="str">
        <f t="shared" si="35"/>
        <v/>
      </c>
      <c r="AN96" t="str">
        <f t="shared" si="36"/>
        <v>, 3PM, TREB, TO</v>
      </c>
      <c r="AO96" t="str">
        <f t="shared" si="37"/>
        <v>FG%, FT%, PTS, AST, STL</v>
      </c>
      <c r="AP96">
        <f>VLOOKUP(B96,'2025-2026 actuals'!B:Q,16,FALSE)</f>
        <v>109</v>
      </c>
      <c r="AQ96" s="7">
        <f t="shared" si="24"/>
        <v>9.2156131828805887E-2</v>
      </c>
      <c r="AR96">
        <f t="shared" si="25"/>
        <v>88</v>
      </c>
    </row>
    <row r="97" spans="1:44" ht="18">
      <c r="A97" s="3">
        <f t="shared" si="38"/>
        <v>83</v>
      </c>
      <c r="B97" s="41" t="s">
        <v>48</v>
      </c>
      <c r="C97" s="1">
        <f t="shared" si="39"/>
        <v>83</v>
      </c>
      <c r="D97" s="1">
        <f t="shared" si="23"/>
        <v>76</v>
      </c>
      <c r="E97" s="1">
        <f>VLOOKUP(B97,'2026-2027 adp'!A:C,3,FALSE)</f>
        <v>103.8</v>
      </c>
      <c r="F97" s="1">
        <f t="shared" si="26"/>
        <v>20.799999999999997</v>
      </c>
      <c r="G97" s="1"/>
      <c r="H97" s="22" t="s">
        <v>616</v>
      </c>
      <c r="I97" s="22" t="s">
        <v>617</v>
      </c>
      <c r="J97" s="42">
        <v>1.9</v>
      </c>
      <c r="K97" s="42">
        <v>16.5</v>
      </c>
      <c r="L97" s="42">
        <v>5.5</v>
      </c>
      <c r="M97" s="42">
        <v>2.1</v>
      </c>
      <c r="N97" s="42">
        <v>0.6</v>
      </c>
      <c r="O97" s="42">
        <v>1.2</v>
      </c>
      <c r="P97" s="42">
        <v>1.2</v>
      </c>
      <c r="Q97" s="43">
        <v>1.54</v>
      </c>
      <c r="R97" s="42">
        <v>5.5</v>
      </c>
      <c r="S97" s="42">
        <v>11.8</v>
      </c>
      <c r="T97">
        <f t="shared" si="27"/>
        <v>0.46610169491525422</v>
      </c>
      <c r="U97" s="42">
        <v>3.6</v>
      </c>
      <c r="V97" s="42">
        <v>4.4000000000000004</v>
      </c>
      <c r="W97">
        <f t="shared" si="28"/>
        <v>0.81818181818181812</v>
      </c>
      <c r="X97" s="7">
        <f>IF(((T97 - '2026-2027 means'!E$2) / '2026-2027 means'!R$2) * (S97 / '2026-2027 means'!B$2) / 2 &lt; -2, -2, ((T97 - '2026-2027 means'!E$2) / '2026-2027 means'!R$2) * (S97 / '2026-2027 means'!B$2) / 2)</f>
        <v>-0.35999419586040721</v>
      </c>
      <c r="Y97" s="11">
        <f>IF(((W97 - '2026-2027 means'!F$2) / '2026-2027 means'!S$2) * (V97 / '2026-2027 means'!D$2) &lt; -2, -2, ((W97 - '2026-2027 means'!F$2) / '2026-2027 means'!S$2) * (V97 / '2026-2027 means'!D$2))</f>
        <v>0.35592839724452474</v>
      </c>
      <c r="Z97" s="7">
        <f>(J97-'2026-2027 means'!G$2)/'2026-2027 means'!T$2</f>
        <v>0.24497955635221194</v>
      </c>
      <c r="AA97" s="7">
        <f>(K97-'2026-2027 means'!H$2)/'2026-2027 means'!U$2</f>
        <v>0.11413911326788793</v>
      </c>
      <c r="AB97" s="7">
        <f>(L97-'2026-2027 means'!I$2)/'2026-2027 means'!V$2</f>
        <v>-7.7428906082156745E-2</v>
      </c>
      <c r="AC97" s="7">
        <f>(M97-'2026-2027 means'!J$2)/'2026-2027 means'!W$2</f>
        <v>-0.79991260152136945</v>
      </c>
      <c r="AD97" s="7">
        <f>(N97-'2026-2027 means'!K$2)/'2026-2027 means'!X$2</f>
        <v>-1.222228414678435</v>
      </c>
      <c r="AE97" s="7">
        <f>(O97-'2026-2027 means'!L$2)/'2026-2027 means'!Y$2</f>
        <v>1.0585923067190279</v>
      </c>
      <c r="AF97" s="7">
        <f>IF(((P97 - '2026-2027 means'!M$2) / '2026-2027 means'!Z$2 * -1) &lt; -2, -2, (P97 - '2026-2027 means'!M$2) / '2026-2027 means'!Z$2 * -1)</f>
        <v>0.88123899228174263</v>
      </c>
      <c r="AG97">
        <f t="shared" si="29"/>
        <v>1</v>
      </c>
      <c r="AH97">
        <f t="shared" si="30"/>
        <v>3</v>
      </c>
      <c r="AI97" s="8">
        <f t="shared" si="31"/>
        <v>0.33333333333333331</v>
      </c>
      <c r="AJ97" s="8" t="e" vm="1">
        <f t="shared" ca="1" si="32"/>
        <v>#NAME?</v>
      </c>
      <c r="AK97" s="8" t="str">
        <f t="shared" si="33"/>
        <v>FG%, TREB, AST, STL</v>
      </c>
      <c r="AL97" t="str">
        <f t="shared" si="34"/>
        <v/>
      </c>
      <c r="AM97" t="str">
        <f t="shared" si="35"/>
        <v>, BLK</v>
      </c>
      <c r="AN97" t="str">
        <f t="shared" si="36"/>
        <v>, FT%, 3PM, PTS, TO</v>
      </c>
      <c r="AO97" t="str">
        <f t="shared" si="37"/>
        <v>FG%, TREB, AST, STL</v>
      </c>
      <c r="AP97">
        <f>VLOOKUP(B97,'2025-2026 actuals'!B:Q,16,FALSE)</f>
        <v>76</v>
      </c>
      <c r="AQ97" s="7">
        <f t="shared" si="24"/>
        <v>0.19531424772302663</v>
      </c>
      <c r="AR97">
        <f t="shared" si="25"/>
        <v>83</v>
      </c>
    </row>
    <row r="98" spans="1:44" ht="18">
      <c r="A98" s="3">
        <f t="shared" si="38"/>
        <v>94</v>
      </c>
      <c r="B98" s="41" t="s">
        <v>212</v>
      </c>
      <c r="C98" s="1">
        <f t="shared" si="39"/>
        <v>94</v>
      </c>
      <c r="D98" s="1">
        <f t="shared" si="23"/>
        <v>74</v>
      </c>
      <c r="E98" s="1">
        <f>VLOOKUP(B98,'2026-2027 adp'!A:C,3,FALSE)</f>
        <v>93.3</v>
      </c>
      <c r="F98" s="1">
        <f t="shared" si="26"/>
        <v>-0.70000000000000284</v>
      </c>
      <c r="G98" s="1"/>
      <c r="H98" s="22" t="s">
        <v>618</v>
      </c>
      <c r="I98" s="22" t="s">
        <v>619</v>
      </c>
      <c r="J98" s="42">
        <v>2.7</v>
      </c>
      <c r="K98" s="42">
        <v>20.9</v>
      </c>
      <c r="L98" s="42">
        <v>3.2</v>
      </c>
      <c r="M98" s="42">
        <v>2.2000000000000002</v>
      </c>
      <c r="N98" s="42">
        <v>1.1000000000000001</v>
      </c>
      <c r="O98" s="42">
        <v>0.2</v>
      </c>
      <c r="P98" s="42">
        <v>1.8</v>
      </c>
      <c r="Q98" s="43">
        <v>1.52</v>
      </c>
      <c r="R98" s="42">
        <v>7.1</v>
      </c>
      <c r="S98" s="42">
        <v>15</v>
      </c>
      <c r="T98">
        <f t="shared" si="27"/>
        <v>0.47333333333333333</v>
      </c>
      <c r="U98" s="42">
        <v>3.9</v>
      </c>
      <c r="V98" s="42">
        <v>4.7</v>
      </c>
      <c r="W98">
        <f t="shared" si="28"/>
        <v>0.82978723404255317</v>
      </c>
      <c r="X98" s="7">
        <f>IF(((T98 - '2026-2027 means'!E$2) / '2026-2027 means'!R$2) * (S98 / '2026-2027 means'!B$2) / 2 &lt; -2, -2, ((T98 - '2026-2027 means'!E$2) / '2026-2027 means'!R$2) * (S98 / '2026-2027 means'!B$2) / 2)</f>
        <v>-0.25791120523408895</v>
      </c>
      <c r="Y98" s="11">
        <f>IF(((W98 - '2026-2027 means'!F$2) / '2026-2027 means'!S$2) * (V98 / '2026-2027 means'!D$2) &lt; -2, -2, ((W98 - '2026-2027 means'!F$2) / '2026-2027 means'!S$2) * (V98 / '2026-2027 means'!D$2))</f>
        <v>0.5698227600343545</v>
      </c>
      <c r="Z98" s="7">
        <f>(J98-'2026-2027 means'!G$2)/'2026-2027 means'!T$2</f>
        <v>1.0867041858700703</v>
      </c>
      <c r="AA98" s="7">
        <f>(K98-'2026-2027 means'!H$2)/'2026-2027 means'!U$2</f>
        <v>0.94701561305434823</v>
      </c>
      <c r="AB98" s="7">
        <f>(L98-'2026-2027 means'!I$2)/'2026-2027 means'!V$2</f>
        <v>-1.0345247157554465</v>
      </c>
      <c r="AC98" s="7">
        <f>(M98-'2026-2027 means'!J$2)/'2026-2027 means'!W$2</f>
        <v>-0.74828047791642549</v>
      </c>
      <c r="AD98" s="7">
        <f>(N98-'2026-2027 means'!K$2)/'2026-2027 means'!X$2</f>
        <v>0.24532183233688692</v>
      </c>
      <c r="AE98" s="7">
        <f>(O98-'2026-2027 means'!L$2)/'2026-2027 means'!Y$2</f>
        <v>-0.97172309070964324</v>
      </c>
      <c r="AF98" s="7">
        <f>IF(((P98 - '2026-2027 means'!M$2) / '2026-2027 means'!Z$2 * -1) &lt; -2, -2, (P98 - '2026-2027 means'!M$2) / '2026-2027 means'!Z$2 * -1)</f>
        <v>6.2460698990694306E-2</v>
      </c>
      <c r="AG98">
        <f t="shared" si="29"/>
        <v>1</v>
      </c>
      <c r="AH98">
        <f t="shared" si="30"/>
        <v>4</v>
      </c>
      <c r="AI98" s="8">
        <f t="shared" si="31"/>
        <v>0.25</v>
      </c>
      <c r="AJ98" s="8" t="e" vm="1">
        <f t="shared" ca="1" si="32"/>
        <v>#NAME?</v>
      </c>
      <c r="AK98" s="8" t="str">
        <f t="shared" si="33"/>
        <v>FG%, TREB, AST, BLK</v>
      </c>
      <c r="AL98" t="str">
        <f t="shared" si="34"/>
        <v/>
      </c>
      <c r="AM98" t="str">
        <f t="shared" si="35"/>
        <v>, 3PM</v>
      </c>
      <c r="AN98" t="str">
        <f t="shared" si="36"/>
        <v>, FT%, PTS, STL, TO</v>
      </c>
      <c r="AO98" t="str">
        <f t="shared" si="37"/>
        <v>FG%, TREB, AST, BLK</v>
      </c>
      <c r="AP98">
        <f>VLOOKUP(B98,'2025-2026 actuals'!B:Q,16,FALSE)</f>
        <v>74</v>
      </c>
      <c r="AQ98" s="7">
        <f t="shared" si="24"/>
        <v>-0.10111439932924968</v>
      </c>
      <c r="AR98">
        <f t="shared" si="25"/>
        <v>94</v>
      </c>
    </row>
    <row r="99" spans="1:44" ht="18">
      <c r="A99" s="3">
        <f t="shared" si="38"/>
        <v>126</v>
      </c>
      <c r="B99" s="41" t="s">
        <v>119</v>
      </c>
      <c r="C99" s="1">
        <f t="shared" si="39"/>
        <v>126</v>
      </c>
      <c r="D99" s="1">
        <f t="shared" si="23"/>
        <v>62</v>
      </c>
      <c r="E99" s="1">
        <f>VLOOKUP(B99,'2026-2027 adp'!A:C,3,FALSE)</f>
        <v>68.599999999999994</v>
      </c>
      <c r="F99" s="1">
        <f t="shared" si="26"/>
        <v>-57.400000000000006</v>
      </c>
      <c r="G99" s="1"/>
      <c r="H99" s="22" t="s">
        <v>620</v>
      </c>
      <c r="I99" s="22" t="s">
        <v>621</v>
      </c>
      <c r="J99" s="42">
        <v>1.5</v>
      </c>
      <c r="K99" s="42">
        <v>20</v>
      </c>
      <c r="L99" s="42">
        <v>6.9</v>
      </c>
      <c r="M99" s="42">
        <v>4.5999999999999996</v>
      </c>
      <c r="N99" s="42">
        <v>0.9</v>
      </c>
      <c r="O99" s="42">
        <v>0.2</v>
      </c>
      <c r="P99" s="42">
        <v>2.8</v>
      </c>
      <c r="Q99" s="43">
        <v>1.44</v>
      </c>
      <c r="R99" s="42">
        <v>7</v>
      </c>
      <c r="S99" s="42">
        <v>14.7</v>
      </c>
      <c r="T99">
        <f t="shared" si="27"/>
        <v>0.47619047619047622</v>
      </c>
      <c r="U99" s="42">
        <v>4.5999999999999996</v>
      </c>
      <c r="V99" s="42">
        <v>5.8</v>
      </c>
      <c r="W99">
        <f t="shared" si="28"/>
        <v>0.79310344827586199</v>
      </c>
      <c r="X99" s="7">
        <f>IF(((T99 - '2026-2027 means'!E$2) / '2026-2027 means'!R$2) * (S99 / '2026-2027 means'!B$2) / 2 &lt; -2, -2, ((T99 - '2026-2027 means'!E$2) / '2026-2027 means'!R$2) * (S99 / '2026-2027 means'!B$2) / 2)</f>
        <v>-0.1754283326309361</v>
      </c>
      <c r="Y99" s="11">
        <f>IF(((W99 - '2026-2027 means'!F$2) / '2026-2027 means'!S$2) * (V99 / '2026-2027 means'!D$2) &lt; -2, -2, ((W99 - '2026-2027 means'!F$2) / '2026-2027 means'!S$2) * (V99 / '2026-2027 means'!D$2))</f>
        <v>-3.6492371572757892E-2</v>
      </c>
      <c r="Z99" s="7">
        <f>(J99-'2026-2027 means'!G$2)/'2026-2027 means'!T$2</f>
        <v>-0.17588275840671705</v>
      </c>
      <c r="AA99" s="7">
        <f>(K99-'2026-2027 means'!H$2)/'2026-2027 means'!U$2</f>
        <v>0.77665451082529968</v>
      </c>
      <c r="AB99" s="7">
        <f>(L99-'2026-2027 means'!I$2)/'2026-2027 means'!V$2</f>
        <v>0.50515115197984595</v>
      </c>
      <c r="AC99" s="7">
        <f>(M99-'2026-2027 means'!J$2)/'2026-2027 means'!W$2</f>
        <v>0.49089048860222795</v>
      </c>
      <c r="AD99" s="7">
        <f>(N99-'2026-2027 means'!K$2)/'2026-2027 means'!X$2</f>
        <v>-0.34169826646924195</v>
      </c>
      <c r="AE99" s="7">
        <f>(O99-'2026-2027 means'!L$2)/'2026-2027 means'!Y$2</f>
        <v>-0.97172309070964324</v>
      </c>
      <c r="AF99" s="7">
        <f>IF(((P99 - '2026-2027 means'!M$2) / '2026-2027 means'!Z$2 * -1) &lt; -2, -2, (P99 - '2026-2027 means'!M$2) / '2026-2027 means'!Z$2 * -1)</f>
        <v>-1.3021697898277191</v>
      </c>
      <c r="AG99">
        <f t="shared" si="29"/>
        <v>0</v>
      </c>
      <c r="AH99">
        <f t="shared" si="30"/>
        <v>2</v>
      </c>
      <c r="AI99" s="8">
        <f t="shared" si="31"/>
        <v>0</v>
      </c>
      <c r="AJ99" s="8" t="e" vm="1">
        <f t="shared" ca="1" si="32"/>
        <v>#NAME?</v>
      </c>
      <c r="AK99" s="8" t="str">
        <f t="shared" si="33"/>
        <v>FG%, FT%, 3PM, STL, BLK, TO</v>
      </c>
      <c r="AL99" t="str">
        <f t="shared" si="34"/>
        <v/>
      </c>
      <c r="AM99" t="str">
        <f t="shared" si="35"/>
        <v/>
      </c>
      <c r="AN99" t="str">
        <f t="shared" si="36"/>
        <v>, PTS, TREB, AST</v>
      </c>
      <c r="AO99" t="str">
        <f t="shared" si="37"/>
        <v>FG%, FT%, 3PM, STL, BLK, TO</v>
      </c>
      <c r="AP99">
        <f>VLOOKUP(B99,'2025-2026 actuals'!B:Q,16,FALSE)</f>
        <v>62</v>
      </c>
      <c r="AQ99" s="7">
        <f t="shared" si="24"/>
        <v>-1.2306984582096419</v>
      </c>
      <c r="AR99">
        <f t="shared" si="25"/>
        <v>126</v>
      </c>
    </row>
    <row r="100" spans="1:44" ht="18">
      <c r="A100" s="3">
        <f t="shared" si="38"/>
        <v>91</v>
      </c>
      <c r="B100" s="41" t="s">
        <v>335</v>
      </c>
      <c r="C100" s="1">
        <f t="shared" si="39"/>
        <v>91</v>
      </c>
      <c r="D100" s="1">
        <f t="shared" si="23"/>
        <v>85</v>
      </c>
      <c r="E100" s="1">
        <f>VLOOKUP(B100,'2026-2027 adp'!A:C,3,FALSE)</f>
        <v>116</v>
      </c>
      <c r="F100" s="1">
        <f t="shared" si="26"/>
        <v>25</v>
      </c>
      <c r="G100" s="1"/>
      <c r="H100" s="22" t="s">
        <v>622</v>
      </c>
      <c r="I100" s="22" t="s">
        <v>623</v>
      </c>
      <c r="J100" s="42">
        <v>0</v>
      </c>
      <c r="K100" s="42">
        <v>10.199999999999999</v>
      </c>
      <c r="L100" s="42">
        <v>8.1999999999999993</v>
      </c>
      <c r="M100" s="42">
        <v>1.6</v>
      </c>
      <c r="N100" s="42">
        <v>0.7</v>
      </c>
      <c r="O100" s="42">
        <v>1.3</v>
      </c>
      <c r="P100" s="42">
        <v>1.1000000000000001</v>
      </c>
      <c r="Q100" s="43">
        <v>1.4</v>
      </c>
      <c r="R100" s="42">
        <v>4.3</v>
      </c>
      <c r="S100" s="42">
        <v>6.6</v>
      </c>
      <c r="T100">
        <f t="shared" si="27"/>
        <v>0.65151515151515149</v>
      </c>
      <c r="U100" s="42">
        <v>1.6</v>
      </c>
      <c r="V100" s="42">
        <v>2.2000000000000002</v>
      </c>
      <c r="W100">
        <f t="shared" si="28"/>
        <v>0.72727272727272729</v>
      </c>
      <c r="X100" s="7">
        <f>IF(((T100 - '2026-2027 means'!E$2) / '2026-2027 means'!R$2) * (S100 / '2026-2027 means'!B$2) / 2 &lt; -2, -2, ((T100 - '2026-2027 means'!E$2) / '2026-2027 means'!R$2) * (S100 / '2026-2027 means'!B$2) / 2)</f>
        <v>2.0516092276541649</v>
      </c>
      <c r="Y100" s="11">
        <f>IF(((W100 - '2026-2027 means'!F$2) / '2026-2027 means'!S$2) * (V100 / '2026-2027 means'!D$2) &lt; -2, -2, ((W100 - '2026-2027 means'!F$2) / '2026-2027 means'!S$2) * (V100 / '2026-2027 means'!D$2))</f>
        <v>-0.5173330322959796</v>
      </c>
      <c r="Z100" s="7">
        <f>(J100-'2026-2027 means'!G$2)/'2026-2027 means'!T$2</f>
        <v>-1.7541164387527013</v>
      </c>
      <c r="AA100" s="7">
        <f>(K100-'2026-2027 means'!H$2)/'2026-2027 means'!U$2</f>
        <v>-1.0783886023354534</v>
      </c>
      <c r="AB100" s="7">
        <f>(L100-'2026-2027 means'!I$2)/'2026-2027 means'!V$2</f>
        <v>1.046118348751705</v>
      </c>
      <c r="AC100" s="7">
        <f>(M100-'2026-2027 means'!J$2)/'2026-2027 means'!W$2</f>
        <v>-1.0580732195460889</v>
      </c>
      <c r="AD100" s="7">
        <f>(N100-'2026-2027 means'!K$2)/'2026-2027 means'!X$2</f>
        <v>-0.92871836527537077</v>
      </c>
      <c r="AE100" s="7">
        <f>(O100-'2026-2027 means'!L$2)/'2026-2027 means'!Y$2</f>
        <v>1.2616238464618952</v>
      </c>
      <c r="AF100" s="7">
        <f>IF(((P100 - '2026-2027 means'!M$2) / '2026-2027 means'!Z$2 * -1) &lt; -2, -2, (P100 - '2026-2027 means'!M$2) / '2026-2027 means'!Z$2 * -1)</f>
        <v>1.0177020411635838</v>
      </c>
      <c r="AG100">
        <f t="shared" si="29"/>
        <v>3</v>
      </c>
      <c r="AH100">
        <f t="shared" si="30"/>
        <v>5</v>
      </c>
      <c r="AI100" s="8">
        <f t="shared" si="31"/>
        <v>0.6</v>
      </c>
      <c r="AJ100" s="8" t="e" vm="1">
        <f t="shared" ca="1" si="32"/>
        <v>#NAME?</v>
      </c>
      <c r="AK100" s="8" t="str">
        <f t="shared" si="33"/>
        <v>, FT%, 3PM, PTS, AST, STL</v>
      </c>
      <c r="AL100" t="str">
        <f t="shared" si="34"/>
        <v>FG%</v>
      </c>
      <c r="AM100" t="str">
        <f t="shared" si="35"/>
        <v>, TREB, BLK, TO</v>
      </c>
      <c r="AN100" t="str">
        <f t="shared" si="36"/>
        <v/>
      </c>
      <c r="AO100" t="str">
        <f t="shared" si="37"/>
        <v>, FT%, 3PM, PTS, AST, STL</v>
      </c>
      <c r="AP100">
        <f>VLOOKUP(B100,'2025-2026 actuals'!B:Q,16,FALSE)</f>
        <v>85</v>
      </c>
      <c r="AQ100" s="7">
        <f t="shared" si="24"/>
        <v>4.042380582575511E-2</v>
      </c>
      <c r="AR100">
        <f t="shared" si="25"/>
        <v>91</v>
      </c>
    </row>
    <row r="101" spans="1:44" ht="18">
      <c r="A101" s="3">
        <f t="shared" si="38"/>
        <v>134</v>
      </c>
      <c r="B101" s="41" t="s">
        <v>835</v>
      </c>
      <c r="C101" s="1">
        <f t="shared" si="39"/>
        <v>134</v>
      </c>
      <c r="D101" s="1">
        <f t="shared" si="23"/>
        <v>114</v>
      </c>
      <c r="E101" s="1">
        <f>VLOOKUP(B101,'2026-2027 adp'!A:C,3,FALSE)</f>
        <v>85.6</v>
      </c>
      <c r="F101" s="1">
        <f t="shared" si="26"/>
        <v>-48.400000000000006</v>
      </c>
      <c r="G101" s="1"/>
      <c r="H101" s="22" t="s">
        <v>624</v>
      </c>
      <c r="I101" s="22" t="s">
        <v>460</v>
      </c>
      <c r="J101" s="42">
        <v>0.3</v>
      </c>
      <c r="K101" s="42">
        <v>12.8</v>
      </c>
      <c r="L101" s="42">
        <v>7.7</v>
      </c>
      <c r="M101" s="42">
        <v>4</v>
      </c>
      <c r="N101" s="42">
        <v>1.1000000000000001</v>
      </c>
      <c r="O101" s="42">
        <v>1</v>
      </c>
      <c r="P101" s="42">
        <v>2.6</v>
      </c>
      <c r="Q101" s="43">
        <v>1.4</v>
      </c>
      <c r="R101" s="42">
        <v>4.8</v>
      </c>
      <c r="S101" s="42">
        <v>10.1</v>
      </c>
      <c r="T101">
        <f t="shared" si="27"/>
        <v>0.47524752475247523</v>
      </c>
      <c r="U101" s="42">
        <v>2.9</v>
      </c>
      <c r="V101" s="42">
        <v>3.7</v>
      </c>
      <c r="W101">
        <f t="shared" si="28"/>
        <v>0.78378378378378377</v>
      </c>
      <c r="X101" s="7">
        <f>IF(((T101 - '2026-2027 means'!E$2) / '2026-2027 means'!R$2) * (S101 / '2026-2027 means'!B$2) / 2 &lt; -2, -2, ((T101 - '2026-2027 means'!E$2) / '2026-2027 means'!R$2) * (S101 / '2026-2027 means'!B$2) / 2)</f>
        <v>-0.1380663257075308</v>
      </c>
      <c r="Y101" s="11">
        <f>IF(((W101 - '2026-2027 means'!F$2) / '2026-2027 means'!S$2) * (V101 / '2026-2027 means'!D$2) &lt; -2, -2, ((W101 - '2026-2027 means'!F$2) / '2026-2027 means'!S$2) * (V101 / '2026-2027 means'!D$2))</f>
        <v>-0.14315844926507615</v>
      </c>
      <c r="Z101" s="7">
        <f>(J101-'2026-2027 means'!G$2)/'2026-2027 means'!T$2</f>
        <v>-1.4384697026835043</v>
      </c>
      <c r="AA101" s="7">
        <f>(K101-'2026-2027 means'!H$2)/'2026-2027 means'!U$2</f>
        <v>-0.58623430700709012</v>
      </c>
      <c r="AB101" s="7">
        <f>(L101-'2026-2027 means'!I$2)/'2026-2027 means'!V$2</f>
        <v>0.83805404230099012</v>
      </c>
      <c r="AC101" s="7">
        <f>(M101-'2026-2027 means'!J$2)/'2026-2027 means'!W$2</f>
        <v>0.18109774697256467</v>
      </c>
      <c r="AD101" s="7">
        <f>(N101-'2026-2027 means'!K$2)/'2026-2027 means'!X$2</f>
        <v>0.24532183233688692</v>
      </c>
      <c r="AE101" s="7">
        <f>(O101-'2026-2027 means'!L$2)/'2026-2027 means'!Y$2</f>
        <v>0.65252922723329376</v>
      </c>
      <c r="AF101" s="7">
        <f>IF(((P101 - '2026-2027 means'!M$2) / '2026-2027 means'!Z$2 * -1) &lt; -2, -2, (P101 - '2026-2027 means'!M$2) / '2026-2027 means'!Z$2 * -1)</f>
        <v>-1.0292436920640367</v>
      </c>
      <c r="AG101">
        <f t="shared" si="29"/>
        <v>0</v>
      </c>
      <c r="AH101">
        <f t="shared" si="30"/>
        <v>2</v>
      </c>
      <c r="AI101" s="8">
        <f t="shared" si="31"/>
        <v>0</v>
      </c>
      <c r="AJ101" s="8" t="e" vm="1">
        <f t="shared" ca="1" si="32"/>
        <v>#NAME?</v>
      </c>
      <c r="AK101" s="8" t="str">
        <f t="shared" si="33"/>
        <v>FG%, FT%, 3PM, PTS, TO</v>
      </c>
      <c r="AL101" t="str">
        <f t="shared" si="34"/>
        <v/>
      </c>
      <c r="AM101" t="str">
        <f t="shared" si="35"/>
        <v/>
      </c>
      <c r="AN101" t="str">
        <f t="shared" si="36"/>
        <v>, TREB, AST, STL, BLK</v>
      </c>
      <c r="AO101" t="str">
        <f t="shared" si="37"/>
        <v>FG%, FT%, 3PM, PTS, TO</v>
      </c>
      <c r="AP101">
        <f>VLOOKUP(B101,'2025-2026 actuals'!B:Q,16,FALSE)</f>
        <v>114</v>
      </c>
      <c r="AQ101" s="7">
        <f t="shared" si="24"/>
        <v>-1.4181696278835023</v>
      </c>
      <c r="AR101">
        <f t="shared" si="25"/>
        <v>134</v>
      </c>
    </row>
    <row r="102" spans="1:44" ht="18">
      <c r="A102" s="3">
        <f t="shared" si="38"/>
        <v>131</v>
      </c>
      <c r="B102" s="41" t="s">
        <v>168</v>
      </c>
      <c r="C102" s="1">
        <f t="shared" si="39"/>
        <v>131</v>
      </c>
      <c r="D102" s="1">
        <f t="shared" si="23"/>
        <v>77</v>
      </c>
      <c r="E102" s="1">
        <f>VLOOKUP(B102,'2026-2027 adp'!A:C,3,FALSE)</f>
        <v>35.700000000000003</v>
      </c>
      <c r="F102" s="1">
        <f t="shared" si="26"/>
        <v>-95.3</v>
      </c>
      <c r="G102" s="1"/>
      <c r="H102" s="22" t="s">
        <v>625</v>
      </c>
      <c r="I102" s="22" t="s">
        <v>626</v>
      </c>
      <c r="J102" s="42">
        <v>1.5</v>
      </c>
      <c r="K102" s="42">
        <v>24.3</v>
      </c>
      <c r="L102" s="42">
        <v>8.3000000000000007</v>
      </c>
      <c r="M102" s="42">
        <v>5.2</v>
      </c>
      <c r="N102" s="42">
        <v>0.8</v>
      </c>
      <c r="O102" s="42">
        <v>0.6</v>
      </c>
      <c r="P102" s="42">
        <v>3.1</v>
      </c>
      <c r="Q102" s="43">
        <v>1.39</v>
      </c>
      <c r="R102" s="42">
        <v>8.1999999999999993</v>
      </c>
      <c r="S102" s="42">
        <v>18</v>
      </c>
      <c r="T102">
        <f t="shared" si="27"/>
        <v>0.45555555555555549</v>
      </c>
      <c r="U102" s="42">
        <v>6.4</v>
      </c>
      <c r="V102" s="42">
        <v>8.5</v>
      </c>
      <c r="W102">
        <f t="shared" si="28"/>
        <v>0.75294117647058822</v>
      </c>
      <c r="X102" s="7">
        <f>IF(((T102 - '2026-2027 means'!E$2) / '2026-2027 means'!R$2) * (S102 / '2026-2027 means'!B$2) / 2 &lt; -2, -2, ((T102 - '2026-2027 means'!E$2) / '2026-2027 means'!R$2) * (S102 / '2026-2027 means'!B$2) / 2)</f>
        <v>-0.89863362531687196</v>
      </c>
      <c r="Y102" s="11">
        <f>IF(((W102 - '2026-2027 means'!F$2) / '2026-2027 means'!S$2) * (V102 / '2026-2027 means'!D$2) &lt; -2, -2, ((W102 - '2026-2027 means'!F$2) / '2026-2027 means'!S$2) * (V102 / '2026-2027 means'!D$2))</f>
        <v>-1.2402806455963848</v>
      </c>
      <c r="Z102" s="7">
        <f>(J102-'2026-2027 means'!G$2)/'2026-2027 means'!T$2</f>
        <v>-0.17588275840671705</v>
      </c>
      <c r="AA102" s="7">
        <f>(K102-'2026-2027 means'!H$2)/'2026-2027 means'!U$2</f>
        <v>1.5906019992529772</v>
      </c>
      <c r="AB102" s="7">
        <f>(L102-'2026-2027 means'!I$2)/'2026-2027 means'!V$2</f>
        <v>1.0877312100418486</v>
      </c>
      <c r="AC102" s="7">
        <f>(M102-'2026-2027 means'!J$2)/'2026-2027 means'!W$2</f>
        <v>0.8006832302318917</v>
      </c>
      <c r="AD102" s="7">
        <f>(N102-'2026-2027 means'!K$2)/'2026-2027 means'!X$2</f>
        <v>-0.6352083158723062</v>
      </c>
      <c r="AE102" s="7">
        <f>(O102-'2026-2027 means'!L$2)/'2026-2027 means'!Y$2</f>
        <v>-0.15959693173817482</v>
      </c>
      <c r="AF102" s="7">
        <f>IF(((P102 - '2026-2027 means'!M$2) / '2026-2027 means'!Z$2 * -1) &lt; -2, -2, (P102 - '2026-2027 means'!M$2) / '2026-2027 means'!Z$2 * -1)</f>
        <v>-1.7115589364732435</v>
      </c>
      <c r="AG102">
        <f t="shared" si="29"/>
        <v>2</v>
      </c>
      <c r="AH102">
        <f t="shared" si="30"/>
        <v>3</v>
      </c>
      <c r="AI102" s="8">
        <f t="shared" si="31"/>
        <v>0.66666666666666663</v>
      </c>
      <c r="AJ102" s="8" t="e" vm="1">
        <f t="shared" ca="1" si="32"/>
        <v>#NAME?</v>
      </c>
      <c r="AK102" s="8" t="str">
        <f t="shared" si="33"/>
        <v>FG%, FT%, 3PM, STL, BLK, TO</v>
      </c>
      <c r="AL102" t="str">
        <f t="shared" si="34"/>
        <v/>
      </c>
      <c r="AM102" t="str">
        <f t="shared" si="35"/>
        <v>, PTS, TREB</v>
      </c>
      <c r="AN102" t="str">
        <f t="shared" si="36"/>
        <v>, AST</v>
      </c>
      <c r="AO102" t="str">
        <f t="shared" si="37"/>
        <v>FG%, FT%, 3PM, STL, BLK, TO</v>
      </c>
      <c r="AP102">
        <f>VLOOKUP(B102,'2025-2026 actuals'!B:Q,16,FALSE)</f>
        <v>77</v>
      </c>
      <c r="AQ102" s="7">
        <f t="shared" si="24"/>
        <v>-1.3421447738769812</v>
      </c>
      <c r="AR102">
        <f t="shared" si="25"/>
        <v>131</v>
      </c>
    </row>
    <row r="103" spans="1:44" ht="18">
      <c r="A103" s="3">
        <f t="shared" si="38"/>
        <v>59</v>
      </c>
      <c r="B103" s="41" t="s">
        <v>302</v>
      </c>
      <c r="C103" s="1">
        <f t="shared" si="39"/>
        <v>59</v>
      </c>
      <c r="D103" s="1">
        <f t="shared" si="23"/>
        <v>140</v>
      </c>
      <c r="E103" s="1">
        <f>VLOOKUP(B103,'2026-2027 adp'!A:C,3,FALSE)</f>
        <v>118.9</v>
      </c>
      <c r="F103" s="1">
        <f t="shared" si="26"/>
        <v>59.900000000000006</v>
      </c>
      <c r="G103" s="1"/>
      <c r="H103" s="22" t="s">
        <v>627</v>
      </c>
      <c r="I103" s="22" t="s">
        <v>628</v>
      </c>
      <c r="J103" s="42">
        <v>1.4</v>
      </c>
      <c r="K103" s="42">
        <v>9.6</v>
      </c>
      <c r="L103" s="42">
        <v>3.7</v>
      </c>
      <c r="M103" s="42">
        <v>2.9</v>
      </c>
      <c r="N103" s="42">
        <v>2.1</v>
      </c>
      <c r="O103" s="42">
        <v>0.5</v>
      </c>
      <c r="P103" s="42">
        <v>1</v>
      </c>
      <c r="Q103" s="43">
        <v>1.2</v>
      </c>
      <c r="R103" s="42">
        <v>3.8</v>
      </c>
      <c r="S103" s="42">
        <v>8.4</v>
      </c>
      <c r="T103">
        <f t="shared" si="27"/>
        <v>0.45238095238095233</v>
      </c>
      <c r="U103" s="42">
        <v>0.7</v>
      </c>
      <c r="V103" s="42">
        <v>0.8</v>
      </c>
      <c r="W103">
        <f t="shared" si="28"/>
        <v>0.87499999999999989</v>
      </c>
      <c r="X103" s="7">
        <f>IF(((T103 - '2026-2027 means'!E$2) / '2026-2027 means'!R$2) * (S103 / '2026-2027 means'!B$2) / 2 &lt; -2, -2, ((T103 - '2026-2027 means'!E$2) / '2026-2027 means'!R$2) * (S103 / '2026-2027 means'!B$2) / 2)</f>
        <v>-0.46845737340087029</v>
      </c>
      <c r="Y103" s="11">
        <f>IF(((W103 - '2026-2027 means'!F$2) / '2026-2027 means'!S$2) * (V103 / '2026-2027 means'!D$2) &lt; -2, -2, ((W103 - '2026-2027 means'!F$2) / '2026-2027 means'!S$2) * (V103 / '2026-2027 means'!D$2))</f>
        <v>0.22273635198042313</v>
      </c>
      <c r="Z103" s="7">
        <f>(J103-'2026-2027 means'!G$2)/'2026-2027 means'!T$2</f>
        <v>-0.28109833709644944</v>
      </c>
      <c r="AA103" s="7">
        <f>(K103-'2026-2027 means'!H$2)/'2026-2027 means'!U$2</f>
        <v>-1.1919626704881525</v>
      </c>
      <c r="AB103" s="7">
        <f>(L103-'2026-2027 means'!I$2)/'2026-2027 means'!V$2</f>
        <v>-0.8264604093047313</v>
      </c>
      <c r="AC103" s="7">
        <f>(M103-'2026-2027 means'!J$2)/'2026-2027 means'!W$2</f>
        <v>-0.38685561268181834</v>
      </c>
      <c r="AD103" s="7">
        <f>(N103-'2026-2027 means'!K$2)/'2026-2027 means'!X$2</f>
        <v>3.1804223263675304</v>
      </c>
      <c r="AE103" s="7">
        <f>(O103-'2026-2027 means'!L$2)/'2026-2027 means'!Y$2</f>
        <v>-0.36262847148104194</v>
      </c>
      <c r="AF103" s="7">
        <f>IF(((P103 - '2026-2027 means'!M$2) / '2026-2027 means'!Z$2 * -1) &lt; -2, -2, (P103 - '2026-2027 means'!M$2) / '2026-2027 means'!Z$2 * -1)</f>
        <v>1.1541650900454252</v>
      </c>
      <c r="AG103">
        <f t="shared" si="29"/>
        <v>1</v>
      </c>
      <c r="AH103">
        <f t="shared" si="30"/>
        <v>6</v>
      </c>
      <c r="AI103" s="8">
        <f t="shared" si="31"/>
        <v>0.16666666666666666</v>
      </c>
      <c r="AJ103" s="8" t="e" vm="1">
        <f t="shared" ca="1" si="32"/>
        <v>#NAME?</v>
      </c>
      <c r="AK103" s="8" t="str">
        <f t="shared" si="33"/>
        <v>FG%, 3PM, PTS, TREB, AST, BLK</v>
      </c>
      <c r="AL103" t="str">
        <f t="shared" si="34"/>
        <v>, STL</v>
      </c>
      <c r="AM103" t="str">
        <f t="shared" si="35"/>
        <v>, TO</v>
      </c>
      <c r="AN103" t="str">
        <f t="shared" si="36"/>
        <v>, FT%</v>
      </c>
      <c r="AO103" t="str">
        <f t="shared" si="37"/>
        <v>FG%, 3PM, PTS, TREB, AST, BLK</v>
      </c>
      <c r="AP103">
        <f>VLOOKUP(B103,'2025-2026 actuals'!B:Q,16,FALSE)</f>
        <v>140</v>
      </c>
      <c r="AQ103" s="7">
        <f t="shared" si="24"/>
        <v>1.0398608939403149</v>
      </c>
      <c r="AR103">
        <f t="shared" si="25"/>
        <v>59</v>
      </c>
    </row>
    <row r="104" spans="1:44" ht="18">
      <c r="A104" s="3">
        <f t="shared" si="38"/>
        <v>92</v>
      </c>
      <c r="B104" s="41" t="s">
        <v>148</v>
      </c>
      <c r="C104" s="1">
        <f t="shared" si="39"/>
        <v>92</v>
      </c>
      <c r="D104" s="1">
        <f t="shared" si="23"/>
        <v>63</v>
      </c>
      <c r="E104" s="1">
        <f>VLOOKUP(B104,'2026-2027 adp'!A:C,3,FALSE)</f>
        <v>81.400000000000006</v>
      </c>
      <c r="F104" s="1">
        <f t="shared" si="26"/>
        <v>-10.599999999999994</v>
      </c>
      <c r="G104" s="1"/>
      <c r="H104" s="22" t="s">
        <v>629</v>
      </c>
      <c r="I104" s="22" t="s">
        <v>630</v>
      </c>
      <c r="J104" s="42">
        <v>1.8</v>
      </c>
      <c r="K104" s="42">
        <v>15</v>
      </c>
      <c r="L104" s="42">
        <v>3.3</v>
      </c>
      <c r="M104" s="42">
        <v>3.5</v>
      </c>
      <c r="N104" s="42">
        <v>1</v>
      </c>
      <c r="O104" s="42">
        <v>0.6</v>
      </c>
      <c r="P104" s="42">
        <v>1.2</v>
      </c>
      <c r="Q104" s="43">
        <v>1.19</v>
      </c>
      <c r="R104" s="42">
        <v>6.1</v>
      </c>
      <c r="S104" s="42">
        <v>12.3</v>
      </c>
      <c r="T104">
        <f t="shared" si="27"/>
        <v>0.49593495934959342</v>
      </c>
      <c r="U104" s="42">
        <v>1</v>
      </c>
      <c r="V104" s="42">
        <v>1.2</v>
      </c>
      <c r="W104">
        <f t="shared" si="28"/>
        <v>0.83333333333333337</v>
      </c>
      <c r="X104" s="7">
        <f>IF(((T104 - '2026-2027 means'!E$2) / '2026-2027 means'!R$2) * (S104 / '2026-2027 means'!B$2) / 2 &lt; -2, -2, ((T104 - '2026-2027 means'!E$2) / '2026-2027 means'!R$2) * (S104 / '2026-2027 means'!B$2) / 2)</f>
        <v>0.30032834224553839</v>
      </c>
      <c r="Y104" s="11">
        <f>IF(((W104 - '2026-2027 means'!F$2) / '2026-2027 means'!S$2) * (V104 / '2026-2027 means'!D$2) &lt; -2, -2, ((W104 - '2026-2027 means'!F$2) / '2026-2027 means'!S$2) * (V104 / '2026-2027 means'!D$2))</f>
        <v>0.16028022024107463</v>
      </c>
      <c r="Z104" s="7">
        <f>(J104-'2026-2027 means'!G$2)/'2026-2027 means'!T$2</f>
        <v>0.13976397766247983</v>
      </c>
      <c r="AA104" s="7">
        <f>(K104-'2026-2027 means'!H$2)/'2026-2027 means'!U$2</f>
        <v>-0.16979605711385998</v>
      </c>
      <c r="AB104" s="7">
        <f>(L104-'2026-2027 means'!I$2)/'2026-2027 means'!V$2</f>
        <v>-0.99291185446530361</v>
      </c>
      <c r="AC104" s="7">
        <f>(M104-'2026-2027 means'!J$2)/'2026-2027 means'!W$2</f>
        <v>-7.7062871052154841E-2</v>
      </c>
      <c r="AD104" s="7">
        <f>(N104-'2026-2027 means'!K$2)/'2026-2027 means'!X$2</f>
        <v>-4.818821706617768E-2</v>
      </c>
      <c r="AE104" s="7">
        <f>(O104-'2026-2027 means'!L$2)/'2026-2027 means'!Y$2</f>
        <v>-0.15959693173817482</v>
      </c>
      <c r="AF104" s="7">
        <f>IF(((P104 - '2026-2027 means'!M$2) / '2026-2027 means'!Z$2 * -1) &lt; -2, -2, (P104 - '2026-2027 means'!M$2) / '2026-2027 means'!Z$2 * -1)</f>
        <v>0.88123899228174263</v>
      </c>
      <c r="AG104">
        <f t="shared" si="29"/>
        <v>0</v>
      </c>
      <c r="AH104">
        <f t="shared" si="30"/>
        <v>1</v>
      </c>
      <c r="AI104" s="8">
        <f t="shared" si="31"/>
        <v>0</v>
      </c>
      <c r="AJ104" s="8" t="e" vm="1">
        <f t="shared" ca="1" si="32"/>
        <v>#NAME?</v>
      </c>
      <c r="AK104" s="8" t="str">
        <f t="shared" si="33"/>
        <v>, PTS, TREB, AST, STL, BLK</v>
      </c>
      <c r="AL104" t="str">
        <f t="shared" si="34"/>
        <v/>
      </c>
      <c r="AM104" t="str">
        <f t="shared" si="35"/>
        <v/>
      </c>
      <c r="AN104" t="str">
        <f t="shared" si="36"/>
        <v>FG%, FT%, 3PM, TO</v>
      </c>
      <c r="AO104" t="str">
        <f t="shared" si="37"/>
        <v>, PTS, TREB, AST, STL, BLK</v>
      </c>
      <c r="AP104">
        <f>VLOOKUP(B104,'2025-2026 actuals'!B:Q,16,FALSE)</f>
        <v>63</v>
      </c>
      <c r="AQ104" s="7">
        <f t="shared" si="24"/>
        <v>3.4055600995164581E-2</v>
      </c>
      <c r="AR104">
        <f t="shared" si="25"/>
        <v>92</v>
      </c>
    </row>
    <row r="105" spans="1:44" ht="18">
      <c r="A105" s="3">
        <f t="shared" si="38"/>
        <v>125</v>
      </c>
      <c r="B105" s="41" t="s">
        <v>834</v>
      </c>
      <c r="C105" s="1">
        <f t="shared" si="39"/>
        <v>125</v>
      </c>
      <c r="D105" s="1" t="e">
        <f t="shared" si="23"/>
        <v>#N/A</v>
      </c>
      <c r="E105" s="1">
        <f>VLOOKUP(B105,'2026-2027 adp'!A:C,3,FALSE)</f>
        <v>118.5</v>
      </c>
      <c r="F105" s="1">
        <f t="shared" si="26"/>
        <v>-6.5</v>
      </c>
      <c r="G105" s="1"/>
      <c r="H105" s="22" t="s">
        <v>631</v>
      </c>
      <c r="I105" s="22" t="s">
        <v>632</v>
      </c>
      <c r="J105" s="42">
        <v>0.3</v>
      </c>
      <c r="K105" s="42">
        <v>10.199999999999999</v>
      </c>
      <c r="L105" s="42">
        <v>9.1</v>
      </c>
      <c r="M105" s="42">
        <v>0.7</v>
      </c>
      <c r="N105" s="42">
        <v>0.5</v>
      </c>
      <c r="O105" s="42">
        <v>1.9</v>
      </c>
      <c r="P105" s="42">
        <v>1.6</v>
      </c>
      <c r="Q105" s="43">
        <v>1.1100000000000001</v>
      </c>
      <c r="R105" s="42">
        <v>4.2</v>
      </c>
      <c r="S105" s="42">
        <v>7.8</v>
      </c>
      <c r="T105">
        <f t="shared" si="27"/>
        <v>0.53846153846153855</v>
      </c>
      <c r="U105" s="42">
        <v>1.4</v>
      </c>
      <c r="V105" s="42">
        <v>2</v>
      </c>
      <c r="W105">
        <f t="shared" si="28"/>
        <v>0.7</v>
      </c>
      <c r="X105" s="7">
        <f>IF(((T105 - '2026-2027 means'!E$2) / '2026-2027 means'!R$2) * (S105 / '2026-2027 means'!B$2) / 2 &lt; -2, -2, ((T105 - '2026-2027 means'!E$2) / '2026-2027 means'!R$2) * (S105 / '2026-2027 means'!B$2) / 2)</f>
        <v>0.80114620749786636</v>
      </c>
      <c r="Y105" s="11">
        <f>IF(((W105 - '2026-2027 means'!F$2) / '2026-2027 means'!S$2) * (V105 / '2026-2027 means'!D$2) &lt; -2, -2, ((W105 - '2026-2027 means'!F$2) / '2026-2027 means'!S$2) * (V105 / '2026-2027 means'!D$2))</f>
        <v>-0.65992927415586622</v>
      </c>
      <c r="Z105" s="7">
        <f>(J105-'2026-2027 means'!G$2)/'2026-2027 means'!T$2</f>
        <v>-1.4384697026835043</v>
      </c>
      <c r="AA105" s="7">
        <f>(K105-'2026-2027 means'!H$2)/'2026-2027 means'!U$2</f>
        <v>-1.0783886023354534</v>
      </c>
      <c r="AB105" s="7">
        <f>(L105-'2026-2027 means'!I$2)/'2026-2027 means'!V$2</f>
        <v>1.4206341003629925</v>
      </c>
      <c r="AC105" s="7">
        <f>(M105-'2026-2027 means'!J$2)/'2026-2027 means'!W$2</f>
        <v>-1.5227623319905843</v>
      </c>
      <c r="AD105" s="7">
        <f>(N105-'2026-2027 means'!K$2)/'2026-2027 means'!X$2</f>
        <v>-1.5157384640814993</v>
      </c>
      <c r="AE105" s="7">
        <f>(O105-'2026-2027 means'!L$2)/'2026-2027 means'!Y$2</f>
        <v>2.4798130849190976</v>
      </c>
      <c r="AF105" s="7">
        <f>IF(((P105 - '2026-2027 means'!M$2) / '2026-2027 means'!Z$2 * -1) &lt; -2, -2, (P105 - '2026-2027 means'!M$2) / '2026-2027 means'!Z$2 * -1)</f>
        <v>0.33538679675437699</v>
      </c>
      <c r="AG105">
        <f t="shared" si="29"/>
        <v>2</v>
      </c>
      <c r="AH105">
        <f t="shared" si="30"/>
        <v>5</v>
      </c>
      <c r="AI105" s="8">
        <f t="shared" si="31"/>
        <v>0.4</v>
      </c>
      <c r="AJ105" s="8" t="e" vm="1">
        <f t="shared" ca="1" si="32"/>
        <v>#NAME?</v>
      </c>
      <c r="AK105" s="8" t="str">
        <f t="shared" si="33"/>
        <v>, FT%, 3PM, PTS, AST, STL</v>
      </c>
      <c r="AL105" t="str">
        <f t="shared" si="34"/>
        <v>, BLK</v>
      </c>
      <c r="AM105" t="str">
        <f t="shared" si="35"/>
        <v>, TREB</v>
      </c>
      <c r="AN105" t="str">
        <f t="shared" si="36"/>
        <v>FG%, TO</v>
      </c>
      <c r="AO105" t="str">
        <f t="shared" si="37"/>
        <v>, FT%, 3PM, PTS, AST, STL</v>
      </c>
      <c r="AP105" t="e">
        <f>VLOOKUP(B105,'2025-2026 actuals'!B:Q,16,FALSE)</f>
        <v>#N/A</v>
      </c>
      <c r="AQ105" s="7">
        <f t="shared" si="24"/>
        <v>-1.1783081857125741</v>
      </c>
      <c r="AR105">
        <f t="shared" si="25"/>
        <v>125</v>
      </c>
    </row>
    <row r="106" spans="1:44" ht="18">
      <c r="A106" s="3">
        <f t="shared" si="38"/>
        <v>86</v>
      </c>
      <c r="B106" s="41" t="s">
        <v>856</v>
      </c>
      <c r="C106" s="1">
        <f t="shared" si="39"/>
        <v>86</v>
      </c>
      <c r="D106" s="1">
        <f t="shared" si="23"/>
        <v>163</v>
      </c>
      <c r="E106" s="1">
        <f>VLOOKUP(B106,'2026-2027 adp'!A:C,3,FALSE)</f>
        <v>119.1</v>
      </c>
      <c r="F106" s="1">
        <f t="shared" si="26"/>
        <v>33.099999999999994</v>
      </c>
      <c r="G106" s="1"/>
      <c r="H106" s="22" t="s">
        <v>633</v>
      </c>
      <c r="I106" s="22" t="s">
        <v>634</v>
      </c>
      <c r="J106" s="42">
        <v>1.9</v>
      </c>
      <c r="K106" s="42">
        <v>13.7</v>
      </c>
      <c r="L106" s="42">
        <v>6.2</v>
      </c>
      <c r="M106" s="42">
        <v>2.1</v>
      </c>
      <c r="N106" s="42">
        <v>0.9</v>
      </c>
      <c r="O106" s="42">
        <v>0.6</v>
      </c>
      <c r="P106" s="42">
        <v>1</v>
      </c>
      <c r="Q106" s="43">
        <v>1.1000000000000001</v>
      </c>
      <c r="R106" s="42">
        <v>5.0999999999999996</v>
      </c>
      <c r="S106" s="42">
        <v>9.8000000000000007</v>
      </c>
      <c r="T106">
        <f t="shared" si="27"/>
        <v>0.52040816326530603</v>
      </c>
      <c r="U106" s="42">
        <v>1.7</v>
      </c>
      <c r="V106" s="42">
        <v>2.2999999999999998</v>
      </c>
      <c r="W106">
        <f t="shared" si="28"/>
        <v>0.73913043478260876</v>
      </c>
      <c r="X106" s="7">
        <f>IF(((T106 - '2026-2027 means'!E$2) / '2026-2027 means'!R$2) * (S106 / '2026-2027 means'!B$2) / 2 &lt; -2, -2, ((T106 - '2026-2027 means'!E$2) / '2026-2027 means'!R$2) * (S106 / '2026-2027 means'!B$2) / 2)</f>
        <v>0.68084177069057383</v>
      </c>
      <c r="Y106" s="11">
        <f>IF(((W106 - '2026-2027 means'!F$2) / '2026-2027 means'!S$2) * (V106 / '2026-2027 means'!D$2) &lt; -2, -2, ((W106 - '2026-2027 means'!F$2) / '2026-2027 means'!S$2) * (V106 / '2026-2027 means'!D$2))</f>
        <v>-0.44603491136603618</v>
      </c>
      <c r="Z106" s="7">
        <f>(J106-'2026-2027 means'!G$2)/'2026-2027 means'!T$2</f>
        <v>0.24497955635221194</v>
      </c>
      <c r="AA106" s="7">
        <f>(K106-'2026-2027 means'!H$2)/'2026-2027 means'!U$2</f>
        <v>-0.41587320477804163</v>
      </c>
      <c r="AB106" s="7">
        <f>(L106-'2026-2027 means'!I$2)/'2026-2027 means'!V$2</f>
        <v>0.2138611229488446</v>
      </c>
      <c r="AC106" s="7">
        <f>(M106-'2026-2027 means'!J$2)/'2026-2027 means'!W$2</f>
        <v>-0.79991260152136945</v>
      </c>
      <c r="AD106" s="7">
        <f>(N106-'2026-2027 means'!K$2)/'2026-2027 means'!X$2</f>
        <v>-0.34169826646924195</v>
      </c>
      <c r="AE106" s="7">
        <f>(O106-'2026-2027 means'!L$2)/'2026-2027 means'!Y$2</f>
        <v>-0.15959693173817482</v>
      </c>
      <c r="AF106" s="7">
        <f>IF(((P106 - '2026-2027 means'!M$2) / '2026-2027 means'!Z$2 * -1) &lt; -2, -2, (P106 - '2026-2027 means'!M$2) / '2026-2027 means'!Z$2 * -1)</f>
        <v>1.1541650900454252</v>
      </c>
      <c r="AG106">
        <f t="shared" si="29"/>
        <v>0</v>
      </c>
      <c r="AH106">
        <f t="shared" si="30"/>
        <v>4</v>
      </c>
      <c r="AI106" s="8">
        <f t="shared" si="31"/>
        <v>0</v>
      </c>
      <c r="AJ106" s="8" t="e" vm="1">
        <f t="shared" ca="1" si="32"/>
        <v>#NAME?</v>
      </c>
      <c r="AK106" s="8" t="str">
        <f t="shared" si="33"/>
        <v>, FT%, PTS, AST, STL, BLK</v>
      </c>
      <c r="AL106" t="str">
        <f t="shared" si="34"/>
        <v/>
      </c>
      <c r="AM106" t="str">
        <f t="shared" si="35"/>
        <v>, TO</v>
      </c>
      <c r="AN106" t="str">
        <f t="shared" si="36"/>
        <v>FG%, 3PM, TREB</v>
      </c>
      <c r="AO106" t="str">
        <f t="shared" si="37"/>
        <v>, FT%, PTS, AST, STL, BLK</v>
      </c>
      <c r="AP106">
        <f>VLOOKUP(B106,'2025-2026 actuals'!B:Q,16,FALSE)</f>
        <v>163</v>
      </c>
      <c r="AQ106" s="7">
        <f t="shared" si="24"/>
        <v>0.1307316241641916</v>
      </c>
      <c r="AR106">
        <f t="shared" si="25"/>
        <v>86</v>
      </c>
    </row>
    <row r="107" spans="1:44" ht="18">
      <c r="A107" s="3">
        <f t="shared" si="38"/>
        <v>112</v>
      </c>
      <c r="B107" s="41" t="s">
        <v>722</v>
      </c>
      <c r="C107" s="1">
        <f t="shared" si="39"/>
        <v>112</v>
      </c>
      <c r="D107" s="1">
        <f t="shared" si="23"/>
        <v>196</v>
      </c>
      <c r="E107" s="1">
        <f>VLOOKUP(B107,'2026-2027 adp'!A:C,3,FALSE)</f>
        <v>81.3</v>
      </c>
      <c r="F107" s="1">
        <f t="shared" si="26"/>
        <v>-30.700000000000003</v>
      </c>
      <c r="G107" s="1"/>
      <c r="H107" s="22" t="s">
        <v>635</v>
      </c>
      <c r="I107" s="22" t="s">
        <v>636</v>
      </c>
      <c r="J107" s="42">
        <v>1.2</v>
      </c>
      <c r="K107" s="42">
        <v>15.6</v>
      </c>
      <c r="L107" s="42">
        <v>4.5</v>
      </c>
      <c r="M107" s="42">
        <v>5.0999999999999996</v>
      </c>
      <c r="N107" s="42">
        <v>1</v>
      </c>
      <c r="O107" s="42">
        <v>0.5</v>
      </c>
      <c r="P107" s="42">
        <v>1.9</v>
      </c>
      <c r="Q107" s="43">
        <v>1.07</v>
      </c>
      <c r="R107" s="42">
        <v>6.3</v>
      </c>
      <c r="S107" s="42">
        <v>12.6</v>
      </c>
      <c r="T107">
        <f t="shared" si="27"/>
        <v>0.5</v>
      </c>
      <c r="U107" s="42">
        <v>1.7</v>
      </c>
      <c r="V107" s="42">
        <v>2.2999999999999998</v>
      </c>
      <c r="W107">
        <f t="shared" si="28"/>
        <v>0.73913043478260876</v>
      </c>
      <c r="X107" s="7">
        <f>IF(((T107 - '2026-2027 means'!E$2) / '2026-2027 means'!R$2) * (S107 / '2026-2027 means'!B$2) / 2 &lt; -2, -2, ((T107 - '2026-2027 means'!E$2) / '2026-2027 means'!R$2) * (S107 / '2026-2027 means'!B$2) / 2)</f>
        <v>0.4019517755911266</v>
      </c>
      <c r="Y107" s="11">
        <f>IF(((W107 - '2026-2027 means'!F$2) / '2026-2027 means'!S$2) * (V107 / '2026-2027 means'!D$2) &lt; -2, -2, ((W107 - '2026-2027 means'!F$2) / '2026-2027 means'!S$2) * (V107 / '2026-2027 means'!D$2))</f>
        <v>-0.44603491136603618</v>
      </c>
      <c r="Z107" s="7">
        <f>(J107-'2026-2027 means'!G$2)/'2026-2027 means'!T$2</f>
        <v>-0.49152949447591393</v>
      </c>
      <c r="AA107" s="7">
        <f>(K107-'2026-2027 means'!H$2)/'2026-2027 means'!U$2</f>
        <v>-5.6221988961160867E-2</v>
      </c>
      <c r="AB107" s="7">
        <f>(L107-'2026-2027 means'!I$2)/'2026-2027 means'!V$2</f>
        <v>-0.49355751898358713</v>
      </c>
      <c r="AC107" s="7">
        <f>(M107-'2026-2027 means'!J$2)/'2026-2027 means'!W$2</f>
        <v>0.74905110662694752</v>
      </c>
      <c r="AD107" s="7">
        <f>(N107-'2026-2027 means'!K$2)/'2026-2027 means'!X$2</f>
        <v>-4.818821706617768E-2</v>
      </c>
      <c r="AE107" s="7">
        <f>(O107-'2026-2027 means'!L$2)/'2026-2027 means'!Y$2</f>
        <v>-0.36262847148104194</v>
      </c>
      <c r="AF107" s="7">
        <f>IF(((P107 - '2026-2027 means'!M$2) / '2026-2027 means'!Z$2 * -1) &lt; -2, -2, (P107 - '2026-2027 means'!M$2) / '2026-2027 means'!Z$2 * -1)</f>
        <v>-7.4002349891146874E-2</v>
      </c>
      <c r="AG107">
        <f t="shared" si="29"/>
        <v>0</v>
      </c>
      <c r="AH107">
        <f t="shared" si="30"/>
        <v>4</v>
      </c>
      <c r="AI107" s="8">
        <f t="shared" si="31"/>
        <v>0</v>
      </c>
      <c r="AJ107" s="8" t="e" vm="1">
        <f t="shared" ca="1" si="32"/>
        <v>#NAME?</v>
      </c>
      <c r="AK107" s="8" t="str">
        <f t="shared" si="33"/>
        <v>, FT%, 3PM, PTS, TREB, STL, BLK, TO</v>
      </c>
      <c r="AL107" t="str">
        <f t="shared" si="34"/>
        <v/>
      </c>
      <c r="AM107" t="str">
        <f t="shared" si="35"/>
        <v/>
      </c>
      <c r="AN107" t="str">
        <f t="shared" si="36"/>
        <v>FG%, AST</v>
      </c>
      <c r="AO107" t="str">
        <f t="shared" si="37"/>
        <v>, FT%, 3PM, PTS, TREB, STL, BLK, TO</v>
      </c>
      <c r="AP107">
        <f>VLOOKUP(B107,'2025-2026 actuals'!B:Q,16,FALSE)</f>
        <v>196</v>
      </c>
      <c r="AQ107" s="7">
        <f t="shared" si="24"/>
        <v>-0.82116007000699054</v>
      </c>
      <c r="AR107">
        <f t="shared" si="25"/>
        <v>112</v>
      </c>
    </row>
    <row r="108" spans="1:44" ht="18">
      <c r="A108" s="3">
        <f t="shared" si="38"/>
        <v>110</v>
      </c>
      <c r="B108" s="41" t="s">
        <v>107</v>
      </c>
      <c r="C108" s="1">
        <f t="shared" si="39"/>
        <v>110</v>
      </c>
      <c r="D108" s="1">
        <f t="shared" si="23"/>
        <v>113</v>
      </c>
      <c r="E108" s="1">
        <f>VLOOKUP(B108,'2026-2027 adp'!A:C,3,FALSE)</f>
        <v>100.1</v>
      </c>
      <c r="F108" s="1">
        <f t="shared" si="26"/>
        <v>-9.9000000000000057</v>
      </c>
      <c r="G108" s="1"/>
      <c r="H108" s="22" t="s">
        <v>637</v>
      </c>
      <c r="I108" s="22" t="s">
        <v>638</v>
      </c>
      <c r="J108" s="42">
        <v>2</v>
      </c>
      <c r="K108" s="42">
        <v>18</v>
      </c>
      <c r="L108" s="42">
        <v>6.4</v>
      </c>
      <c r="M108" s="42">
        <v>3.4</v>
      </c>
      <c r="N108" s="42">
        <v>0.6</v>
      </c>
      <c r="O108" s="42">
        <v>0.5</v>
      </c>
      <c r="P108" s="42">
        <v>1.7</v>
      </c>
      <c r="Q108" s="43">
        <v>1.05</v>
      </c>
      <c r="R108" s="42">
        <v>6.5</v>
      </c>
      <c r="S108" s="42">
        <v>14.7</v>
      </c>
      <c r="T108">
        <f t="shared" si="27"/>
        <v>0.44217687074829937</v>
      </c>
      <c r="U108" s="42">
        <v>3</v>
      </c>
      <c r="V108" s="42">
        <v>3.5</v>
      </c>
      <c r="W108">
        <f t="shared" si="28"/>
        <v>0.8571428571428571</v>
      </c>
      <c r="X108" s="7">
        <f>IF(((T108 - '2026-2027 means'!E$2) / '2026-2027 means'!R$2) * (S108 / '2026-2027 means'!B$2) / 2 &lt; -2, -2, ((T108 - '2026-2027 means'!E$2) / '2026-2027 means'!R$2) * (S108 / '2026-2027 means'!B$2) / 2)</f>
        <v>-1.0959598623746278</v>
      </c>
      <c r="Y108" s="11">
        <f>IF(((W108 - '2026-2027 means'!F$2) / '2026-2027 means'!S$2) * (V108 / '2026-2027 means'!D$2) &lt; -2, -2, ((W108 - '2026-2027 means'!F$2) / '2026-2027 means'!S$2) * (V108 / '2026-2027 means'!D$2))</f>
        <v>0.75719115525240099</v>
      </c>
      <c r="Z108" s="7">
        <f>(J108-'2026-2027 means'!G$2)/'2026-2027 means'!T$2</f>
        <v>0.35019513504194433</v>
      </c>
      <c r="AA108" s="7">
        <f>(K108-'2026-2027 means'!H$2)/'2026-2027 means'!U$2</f>
        <v>0.39807428364963587</v>
      </c>
      <c r="AB108" s="7">
        <f>(L108-'2026-2027 means'!I$2)/'2026-2027 means'!V$2</f>
        <v>0.29708684552913073</v>
      </c>
      <c r="AC108" s="7">
        <f>(M108-'2026-2027 means'!J$2)/'2026-2027 means'!W$2</f>
        <v>-0.1286949946570988</v>
      </c>
      <c r="AD108" s="7">
        <f>(N108-'2026-2027 means'!K$2)/'2026-2027 means'!X$2</f>
        <v>-1.222228414678435</v>
      </c>
      <c r="AE108" s="7">
        <f>(O108-'2026-2027 means'!L$2)/'2026-2027 means'!Y$2</f>
        <v>-0.36262847148104194</v>
      </c>
      <c r="AF108" s="7">
        <f>IF(((P108 - '2026-2027 means'!M$2) / '2026-2027 means'!Z$2 * -1) &lt; -2, -2, (P108 - '2026-2027 means'!M$2) / '2026-2027 means'!Z$2 * -1)</f>
        <v>0.19892374787253581</v>
      </c>
      <c r="AG108">
        <f t="shared" si="29"/>
        <v>0</v>
      </c>
      <c r="AH108">
        <f t="shared" si="30"/>
        <v>3</v>
      </c>
      <c r="AI108" s="8">
        <f t="shared" si="31"/>
        <v>0</v>
      </c>
      <c r="AJ108" s="8" t="e" vm="1">
        <f t="shared" ca="1" si="32"/>
        <v>#NAME?</v>
      </c>
      <c r="AK108" s="8" t="str">
        <f t="shared" si="33"/>
        <v>FG%, AST, STL, BLK</v>
      </c>
      <c r="AL108" t="str">
        <f t="shared" si="34"/>
        <v/>
      </c>
      <c r="AM108" t="str">
        <f t="shared" si="35"/>
        <v/>
      </c>
      <c r="AN108" t="str">
        <f t="shared" si="36"/>
        <v>, FT%, 3PM, PTS, TREB, TO</v>
      </c>
      <c r="AO108" t="str">
        <f t="shared" si="37"/>
        <v>FG%, AST, STL, BLK</v>
      </c>
      <c r="AP108">
        <f>VLOOKUP(B108,'2025-2026 actuals'!B:Q,16,FALSE)</f>
        <v>113</v>
      </c>
      <c r="AQ108" s="7">
        <f t="shared" si="24"/>
        <v>-0.80804057584555578</v>
      </c>
      <c r="AR108">
        <f t="shared" si="25"/>
        <v>110</v>
      </c>
    </row>
    <row r="109" spans="1:44" ht="18">
      <c r="A109" s="3">
        <f t="shared" si="38"/>
        <v>96</v>
      </c>
      <c r="B109" s="41" t="s">
        <v>862</v>
      </c>
      <c r="C109" s="1">
        <f t="shared" si="39"/>
        <v>96</v>
      </c>
      <c r="D109" s="1">
        <f t="shared" si="23"/>
        <v>189</v>
      </c>
      <c r="E109" s="1">
        <f>VLOOKUP(B109,'2026-2027 adp'!A:C,3,FALSE)</f>
        <v>111.7</v>
      </c>
      <c r="F109" s="1">
        <f t="shared" si="26"/>
        <v>15.700000000000003</v>
      </c>
      <c r="G109" s="1"/>
      <c r="H109" s="22" t="s">
        <v>639</v>
      </c>
      <c r="I109" s="22" t="s">
        <v>640</v>
      </c>
      <c r="J109" s="42">
        <v>0.4</v>
      </c>
      <c r="K109" s="42">
        <v>11</v>
      </c>
      <c r="L109" s="42">
        <v>6.5</v>
      </c>
      <c r="M109" s="42">
        <v>2.4</v>
      </c>
      <c r="N109" s="42">
        <v>1.2</v>
      </c>
      <c r="O109" s="42">
        <v>1.2</v>
      </c>
      <c r="P109" s="42">
        <v>1.3</v>
      </c>
      <c r="Q109" s="43">
        <v>0.95</v>
      </c>
      <c r="R109" s="42">
        <v>4.5</v>
      </c>
      <c r="S109" s="42">
        <v>7.8</v>
      </c>
      <c r="T109">
        <f t="shared" si="27"/>
        <v>0.57692307692307698</v>
      </c>
      <c r="U109" s="42">
        <v>1.6</v>
      </c>
      <c r="V109" s="42">
        <v>2.5</v>
      </c>
      <c r="W109">
        <f t="shared" si="28"/>
        <v>0.64</v>
      </c>
      <c r="X109" s="7">
        <f>IF(((T109 - '2026-2027 means'!E$2) / '2026-2027 means'!R$2) * (S109 / '2026-2027 means'!B$2) / 2 &lt; -2, -2, ((T109 - '2026-2027 means'!E$2) / '2026-2027 means'!R$2) * (S109 / '2026-2027 means'!B$2) / 2)</f>
        <v>1.3534651253440815</v>
      </c>
      <c r="Y109" s="11">
        <f>IF(((W109 - '2026-2027 means'!F$2) / '2026-2027 means'!S$2) * (V109 / '2026-2027 means'!D$2) &lt; -2, -2, ((W109 - '2026-2027 means'!F$2) / '2026-2027 means'!S$2) * (V109 / '2026-2027 means'!D$2))</f>
        <v>-1.3463845158835142</v>
      </c>
      <c r="Z109" s="7">
        <f>(J109-'2026-2027 means'!G$2)/'2026-2027 means'!T$2</f>
        <v>-1.3332541239937721</v>
      </c>
      <c r="AA109" s="7">
        <f>(K109-'2026-2027 means'!H$2)/'2026-2027 means'!U$2</f>
        <v>-0.92695651146518776</v>
      </c>
      <c r="AB109" s="7">
        <f>(L109-'2026-2027 means'!I$2)/'2026-2027 means'!V$2</f>
        <v>0.33869970681927364</v>
      </c>
      <c r="AC109" s="7">
        <f>(M109-'2026-2027 means'!J$2)/'2026-2027 means'!W$2</f>
        <v>-0.64501623070653791</v>
      </c>
      <c r="AD109" s="7">
        <f>(N109-'2026-2027 means'!K$2)/'2026-2027 means'!X$2</f>
        <v>0.53883188173995089</v>
      </c>
      <c r="AE109" s="7">
        <f>(O109-'2026-2027 means'!L$2)/'2026-2027 means'!Y$2</f>
        <v>1.0585923067190279</v>
      </c>
      <c r="AF109" s="7">
        <f>IF(((P109 - '2026-2027 means'!M$2) / '2026-2027 means'!Z$2 * -1) &lt; -2, -2, (P109 - '2026-2027 means'!M$2) / '2026-2027 means'!Z$2 * -1)</f>
        <v>0.74477594339990116</v>
      </c>
      <c r="AG109">
        <f t="shared" si="29"/>
        <v>2</v>
      </c>
      <c r="AH109">
        <f t="shared" si="30"/>
        <v>4</v>
      </c>
      <c r="AI109" s="8">
        <f t="shared" si="31"/>
        <v>0.5</v>
      </c>
      <c r="AJ109" s="8" t="e" vm="1">
        <f t="shared" ca="1" si="32"/>
        <v>#NAME?</v>
      </c>
      <c r="AK109" s="8" t="str">
        <f t="shared" si="33"/>
        <v>, FT%, 3PM, PTS, AST</v>
      </c>
      <c r="AL109" t="str">
        <f t="shared" si="34"/>
        <v/>
      </c>
      <c r="AM109" t="str">
        <f t="shared" si="35"/>
        <v>FG%, BLK</v>
      </c>
      <c r="AN109" t="str">
        <f t="shared" si="36"/>
        <v>, TREB, STL, TO</v>
      </c>
      <c r="AO109" t="str">
        <f t="shared" si="37"/>
        <v>, FT%, 3PM, PTS, AST</v>
      </c>
      <c r="AP109">
        <f>VLOOKUP(B109,'2025-2026 actuals'!B:Q,16,FALSE)</f>
        <v>189</v>
      </c>
      <c r="AQ109" s="7">
        <f t="shared" si="24"/>
        <v>-0.21724641802677647</v>
      </c>
      <c r="AR109">
        <f t="shared" si="25"/>
        <v>96</v>
      </c>
    </row>
    <row r="110" spans="1:44" ht="18">
      <c r="A110" s="3">
        <f t="shared" si="38"/>
        <v>109</v>
      </c>
      <c r="B110" s="41" t="s">
        <v>176</v>
      </c>
      <c r="C110" s="1">
        <f t="shared" si="39"/>
        <v>109</v>
      </c>
      <c r="D110" s="1">
        <f t="shared" si="23"/>
        <v>82</v>
      </c>
      <c r="E110" s="1">
        <f>VLOOKUP(B110,'2026-2027 adp'!A:C,3,FALSE)</f>
        <v>140</v>
      </c>
      <c r="F110" s="1">
        <f t="shared" si="26"/>
        <v>31</v>
      </c>
      <c r="G110" s="1"/>
      <c r="H110" s="22" t="s">
        <v>641</v>
      </c>
      <c r="I110" s="22" t="s">
        <v>642</v>
      </c>
      <c r="J110" s="42">
        <v>0.6</v>
      </c>
      <c r="K110" s="42">
        <v>12.3</v>
      </c>
      <c r="L110" s="42">
        <v>3.2</v>
      </c>
      <c r="M110" s="42">
        <v>5.3</v>
      </c>
      <c r="N110" s="42">
        <v>1.1000000000000001</v>
      </c>
      <c r="O110" s="42">
        <v>0.2</v>
      </c>
      <c r="P110" s="42">
        <v>1.3</v>
      </c>
      <c r="Q110" s="43">
        <v>0.85</v>
      </c>
      <c r="R110" s="42">
        <v>4.5999999999999996</v>
      </c>
      <c r="S110" s="42">
        <v>8.4</v>
      </c>
      <c r="T110">
        <f t="shared" si="27"/>
        <v>0.54761904761904756</v>
      </c>
      <c r="U110" s="42">
        <v>2.4</v>
      </c>
      <c r="V110" s="42">
        <v>2.9</v>
      </c>
      <c r="W110">
        <f t="shared" si="28"/>
        <v>0.82758620689655171</v>
      </c>
      <c r="X110" s="7">
        <f>IF(((T110 - '2026-2027 means'!E$2) / '2026-2027 means'!R$2) * (S110 / '2026-2027 means'!B$2) / 2 &lt; -2, -2, ((T110 - '2026-2027 means'!E$2) / '2026-2027 means'!R$2) * (S110 / '2026-2027 means'!B$2) / 2)</f>
        <v>1.0043930741890374</v>
      </c>
      <c r="Y110" s="11">
        <f>IF(((W110 - '2026-2027 means'!F$2) / '2026-2027 means'!S$2) * (V110 / '2026-2027 means'!D$2) &lt; -2, -2, ((W110 - '2026-2027 means'!F$2) / '2026-2027 means'!S$2) * (V110 / '2026-2027 means'!D$2))</f>
        <v>0.32940242967274302</v>
      </c>
      <c r="Z110" s="7">
        <f>(J110-'2026-2027 means'!G$2)/'2026-2027 means'!T$2</f>
        <v>-1.1228229666143075</v>
      </c>
      <c r="AA110" s="7">
        <f>(K110-'2026-2027 means'!H$2)/'2026-2027 means'!U$2</f>
        <v>-0.68087936380100611</v>
      </c>
      <c r="AB110" s="7">
        <f>(L110-'2026-2027 means'!I$2)/'2026-2027 means'!V$2</f>
        <v>-1.0345247157554465</v>
      </c>
      <c r="AC110" s="7">
        <f>(M110-'2026-2027 means'!J$2)/'2026-2027 means'!W$2</f>
        <v>0.85231535383683532</v>
      </c>
      <c r="AD110" s="7">
        <f>(N110-'2026-2027 means'!K$2)/'2026-2027 means'!X$2</f>
        <v>0.24532183233688692</v>
      </c>
      <c r="AE110" s="7">
        <f>(O110-'2026-2027 means'!L$2)/'2026-2027 means'!Y$2</f>
        <v>-0.97172309070964324</v>
      </c>
      <c r="AF110" s="7">
        <f>IF(((P110 - '2026-2027 means'!M$2) / '2026-2027 means'!Z$2 * -1) &lt; -2, -2, (P110 - '2026-2027 means'!M$2) / '2026-2027 means'!Z$2 * -1)</f>
        <v>0.74477594339990116</v>
      </c>
      <c r="AG110">
        <f t="shared" si="29"/>
        <v>1</v>
      </c>
      <c r="AH110">
        <f t="shared" si="30"/>
        <v>4</v>
      </c>
      <c r="AI110" s="8">
        <f t="shared" si="31"/>
        <v>0.25</v>
      </c>
      <c r="AJ110" s="8" t="e" vm="1">
        <f t="shared" ca="1" si="32"/>
        <v>#NAME?</v>
      </c>
      <c r="AK110" s="8" t="str">
        <f t="shared" si="33"/>
        <v>, 3PM, PTS, TREB, BLK</v>
      </c>
      <c r="AL110" t="str">
        <f t="shared" si="34"/>
        <v/>
      </c>
      <c r="AM110" t="str">
        <f t="shared" si="35"/>
        <v>FG%</v>
      </c>
      <c r="AN110" t="str">
        <f t="shared" si="36"/>
        <v>, FT%, AST, STL, TO</v>
      </c>
      <c r="AO110" t="str">
        <f t="shared" si="37"/>
        <v>, 3PM, PTS, TREB, BLK</v>
      </c>
      <c r="AP110">
        <f>VLOOKUP(B110,'2025-2026 actuals'!B:Q,16,FALSE)</f>
        <v>82</v>
      </c>
      <c r="AQ110" s="7">
        <f t="shared" si="24"/>
        <v>-0.63374150344499924</v>
      </c>
      <c r="AR110">
        <f t="shared" si="25"/>
        <v>109</v>
      </c>
    </row>
    <row r="111" spans="1:44" ht="18">
      <c r="A111" s="3">
        <f t="shared" si="38"/>
        <v>100</v>
      </c>
      <c r="B111" s="41" t="s">
        <v>276</v>
      </c>
      <c r="C111" s="1">
        <f t="shared" si="39"/>
        <v>100</v>
      </c>
      <c r="D111" s="1">
        <f t="shared" si="23"/>
        <v>177</v>
      </c>
      <c r="E111" s="1">
        <f>VLOOKUP(B111,'2026-2027 adp'!A:C,3,FALSE)</f>
        <v>119.6</v>
      </c>
      <c r="F111" s="1">
        <f t="shared" si="26"/>
        <v>19.599999999999994</v>
      </c>
      <c r="G111" s="1"/>
      <c r="H111" s="22" t="s">
        <v>643</v>
      </c>
      <c r="I111" s="22" t="s">
        <v>644</v>
      </c>
      <c r="J111" s="42">
        <v>1</v>
      </c>
      <c r="K111" s="42">
        <v>13.8</v>
      </c>
      <c r="L111" s="42">
        <v>4.9000000000000004</v>
      </c>
      <c r="M111" s="42">
        <v>2.6</v>
      </c>
      <c r="N111" s="42">
        <v>0.9</v>
      </c>
      <c r="O111" s="42">
        <v>0.4</v>
      </c>
      <c r="P111" s="42">
        <v>1</v>
      </c>
      <c r="Q111" s="43">
        <v>0.85</v>
      </c>
      <c r="R111" s="42">
        <v>5.3</v>
      </c>
      <c r="S111" s="42">
        <v>9.5</v>
      </c>
      <c r="T111">
        <f t="shared" si="27"/>
        <v>0.55789473684210522</v>
      </c>
      <c r="U111" s="42">
        <v>2</v>
      </c>
      <c r="V111" s="42">
        <v>2.5</v>
      </c>
      <c r="W111">
        <f t="shared" si="28"/>
        <v>0.8</v>
      </c>
      <c r="X111" s="7">
        <f>IF(((T111 - '2026-2027 means'!E$2) / '2026-2027 means'!R$2) * (S111 / '2026-2027 means'!B$2) / 2 &lt; -2, -2, ((T111 - '2026-2027 means'!E$2) / '2026-2027 means'!R$2) * (S111 / '2026-2027 means'!B$2) / 2)</f>
        <v>1.315643561139942</v>
      </c>
      <c r="Y111" s="11">
        <f>IF(((W111 - '2026-2027 means'!F$2) / '2026-2027 means'!S$2) * (V111 / '2026-2027 means'!D$2) &lt; -2, -2, ((W111 - '2026-2027 means'!F$2) / '2026-2027 means'!S$2) * (V111 / '2026-2027 means'!D$2))</f>
        <v>4.4209945952971175E-2</v>
      </c>
      <c r="Z111" s="7">
        <f>(J111-'2026-2027 means'!G$2)/'2026-2027 means'!T$2</f>
        <v>-0.70196065185537848</v>
      </c>
      <c r="AA111" s="7">
        <f>(K111-'2026-2027 means'!H$2)/'2026-2027 means'!U$2</f>
        <v>-0.39694419341925813</v>
      </c>
      <c r="AB111" s="7">
        <f>(L111-'2026-2027 means'!I$2)/'2026-2027 means'!V$2</f>
        <v>-0.32710607382301482</v>
      </c>
      <c r="AC111" s="7">
        <f>(M111-'2026-2027 means'!J$2)/'2026-2027 means'!W$2</f>
        <v>-0.54175198349664999</v>
      </c>
      <c r="AD111" s="7">
        <f>(N111-'2026-2027 means'!K$2)/'2026-2027 means'!X$2</f>
        <v>-0.34169826646924195</v>
      </c>
      <c r="AE111" s="7">
        <f>(O111-'2026-2027 means'!L$2)/'2026-2027 means'!Y$2</f>
        <v>-0.56566001122390897</v>
      </c>
      <c r="AF111" s="7">
        <f>IF(((P111 - '2026-2027 means'!M$2) / '2026-2027 means'!Z$2 * -1) &lt; -2, -2, (P111 - '2026-2027 means'!M$2) / '2026-2027 means'!Z$2 * -1)</f>
        <v>1.1541650900454252</v>
      </c>
      <c r="AG111">
        <f t="shared" si="29"/>
        <v>1</v>
      </c>
      <c r="AH111">
        <f t="shared" si="30"/>
        <v>6</v>
      </c>
      <c r="AI111" s="8">
        <f t="shared" si="31"/>
        <v>0.16666666666666666</v>
      </c>
      <c r="AJ111" s="8" t="e" vm="1">
        <f t="shared" ca="1" si="32"/>
        <v>#NAME?</v>
      </c>
      <c r="AK111" s="8" t="str">
        <f t="shared" si="33"/>
        <v>, 3PM, PTS, TREB, AST, STL, BLK</v>
      </c>
      <c r="AL111" t="str">
        <f t="shared" si="34"/>
        <v/>
      </c>
      <c r="AM111" t="str">
        <f t="shared" si="35"/>
        <v>FG%, TO</v>
      </c>
      <c r="AN111" t="str">
        <f t="shared" si="36"/>
        <v>, FT%</v>
      </c>
      <c r="AO111" t="str">
        <f t="shared" si="37"/>
        <v>, 3PM, PTS, TREB, AST, STL, BLK</v>
      </c>
      <c r="AP111">
        <f>VLOOKUP(B111,'2025-2026 actuals'!B:Q,16,FALSE)</f>
        <v>177</v>
      </c>
      <c r="AQ111" s="7">
        <f t="shared" si="24"/>
        <v>-0.36110258314911392</v>
      </c>
      <c r="AR111">
        <f t="shared" si="25"/>
        <v>100</v>
      </c>
    </row>
    <row r="112" spans="1:44" ht="18">
      <c r="A112" s="3">
        <f t="shared" si="38"/>
        <v>105</v>
      </c>
      <c r="B112" s="41" t="s">
        <v>230</v>
      </c>
      <c r="C112" s="1">
        <f t="shared" si="39"/>
        <v>105</v>
      </c>
      <c r="D112" s="1">
        <f t="shared" si="23"/>
        <v>126</v>
      </c>
      <c r="E112" s="1">
        <f>VLOOKUP(B112,'2026-2027 adp'!A:C,3,FALSE)</f>
        <v>115.9</v>
      </c>
      <c r="F112" s="1">
        <f t="shared" si="26"/>
        <v>10.900000000000006</v>
      </c>
      <c r="G112" s="1"/>
      <c r="H112" s="22" t="s">
        <v>645</v>
      </c>
      <c r="I112" s="22" t="s">
        <v>646</v>
      </c>
      <c r="J112" s="42">
        <v>2.1</v>
      </c>
      <c r="K112" s="42">
        <v>14.5</v>
      </c>
      <c r="L112" s="42">
        <v>5.8</v>
      </c>
      <c r="M112" s="42">
        <v>4.0999999999999996</v>
      </c>
      <c r="N112" s="42">
        <v>1.2</v>
      </c>
      <c r="O112" s="42">
        <v>0.2</v>
      </c>
      <c r="P112" s="42">
        <v>1.6</v>
      </c>
      <c r="Q112" s="43">
        <v>0.83</v>
      </c>
      <c r="R112" s="42">
        <v>5.2</v>
      </c>
      <c r="S112" s="42">
        <v>11.6</v>
      </c>
      <c r="T112">
        <f t="shared" si="27"/>
        <v>0.44827586206896552</v>
      </c>
      <c r="U112" s="42">
        <v>2</v>
      </c>
      <c r="V112" s="42">
        <v>2.6</v>
      </c>
      <c r="W112">
        <f t="shared" si="28"/>
        <v>0.76923076923076916</v>
      </c>
      <c r="X112" s="7">
        <f>IF(((T112 - '2026-2027 means'!E$2) / '2026-2027 means'!R$2) * (S112 / '2026-2027 means'!B$2) / 2 &lt; -2, -2, ((T112 - '2026-2027 means'!E$2) / '2026-2027 means'!R$2) * (S112 / '2026-2027 means'!B$2) / 2)</f>
        <v>-0.73458699467202826</v>
      </c>
      <c r="Y112" s="11">
        <f>IF(((W112 - '2026-2027 means'!F$2) / '2026-2027 means'!S$2) * (V112 / '2026-2027 means'!D$2) &lt; -2, -2, ((W112 - '2026-2027 means'!F$2) / '2026-2027 means'!S$2) * (V112 / '2026-2027 means'!D$2))</f>
        <v>-0.23214054857620806</v>
      </c>
      <c r="Z112" s="7">
        <f>(J112-'2026-2027 means'!G$2)/'2026-2027 means'!T$2</f>
        <v>0.45541071373167669</v>
      </c>
      <c r="AA112" s="7">
        <f>(K112-'2026-2027 means'!H$2)/'2026-2027 means'!U$2</f>
        <v>-0.26444111390777592</v>
      </c>
      <c r="AB112" s="7">
        <f>(L112-'2026-2027 means'!I$2)/'2026-2027 means'!V$2</f>
        <v>4.7409677788272299E-2</v>
      </c>
      <c r="AC112" s="7">
        <f>(M112-'2026-2027 means'!J$2)/'2026-2027 means'!W$2</f>
        <v>0.23272987057750841</v>
      </c>
      <c r="AD112" s="7">
        <f>(N112-'2026-2027 means'!K$2)/'2026-2027 means'!X$2</f>
        <v>0.53883188173995089</v>
      </c>
      <c r="AE112" s="7">
        <f>(O112-'2026-2027 means'!L$2)/'2026-2027 means'!Y$2</f>
        <v>-0.97172309070964324</v>
      </c>
      <c r="AF112" s="7">
        <f>IF(((P112 - '2026-2027 means'!M$2) / '2026-2027 means'!Z$2 * -1) &lt; -2, -2, (P112 - '2026-2027 means'!M$2) / '2026-2027 means'!Z$2 * -1)</f>
        <v>0.33538679675437699</v>
      </c>
      <c r="AG112">
        <f t="shared" si="29"/>
        <v>0</v>
      </c>
      <c r="AH112">
        <f t="shared" si="30"/>
        <v>3</v>
      </c>
      <c r="AI112" s="8">
        <f t="shared" si="31"/>
        <v>0</v>
      </c>
      <c r="AJ112" s="8" t="e" vm="1">
        <f t="shared" ca="1" si="32"/>
        <v>#NAME?</v>
      </c>
      <c r="AK112" s="8" t="str">
        <f t="shared" si="33"/>
        <v>FG%, FT%, PTS, BLK</v>
      </c>
      <c r="AL112" t="str">
        <f t="shared" si="34"/>
        <v/>
      </c>
      <c r="AM112" t="str">
        <f t="shared" si="35"/>
        <v/>
      </c>
      <c r="AN112" t="str">
        <f t="shared" si="36"/>
        <v>, 3PM, TREB, AST, STL, TO</v>
      </c>
      <c r="AO112" t="str">
        <f t="shared" si="37"/>
        <v>FG%, FT%, PTS, BLK</v>
      </c>
      <c r="AP112">
        <f>VLOOKUP(B112,'2025-2026 actuals'!B:Q,16,FALSE)</f>
        <v>126</v>
      </c>
      <c r="AQ112" s="7">
        <f t="shared" si="24"/>
        <v>-0.59312280727387012</v>
      </c>
      <c r="AR112">
        <f t="shared" si="25"/>
        <v>105</v>
      </c>
    </row>
    <row r="113" spans="1:44" ht="18">
      <c r="A113" s="3">
        <f t="shared" si="38"/>
        <v>106</v>
      </c>
      <c r="B113" s="41" t="s">
        <v>269</v>
      </c>
      <c r="C113" s="1">
        <f t="shared" si="39"/>
        <v>106</v>
      </c>
      <c r="D113" s="1">
        <f t="shared" si="23"/>
        <v>58</v>
      </c>
      <c r="E113" s="1">
        <f>VLOOKUP(B113,'2026-2027 adp'!A:C,3,FALSE)</f>
        <v>68.8</v>
      </c>
      <c r="F113" s="1">
        <f t="shared" si="26"/>
        <v>-37.200000000000003</v>
      </c>
      <c r="G113" s="1"/>
      <c r="H113" s="22" t="s">
        <v>647</v>
      </c>
      <c r="I113" s="22" t="s">
        <v>648</v>
      </c>
      <c r="J113" s="42">
        <v>1.5</v>
      </c>
      <c r="K113" s="42">
        <v>15.4</v>
      </c>
      <c r="L113" s="42">
        <v>7.4</v>
      </c>
      <c r="M113" s="42">
        <v>2.7</v>
      </c>
      <c r="N113" s="42">
        <v>0.8</v>
      </c>
      <c r="O113" s="42">
        <v>1.8</v>
      </c>
      <c r="P113" s="42">
        <v>1.8</v>
      </c>
      <c r="Q113" s="43">
        <v>0.82</v>
      </c>
      <c r="R113" s="42">
        <v>6</v>
      </c>
      <c r="S113" s="42">
        <v>13.8</v>
      </c>
      <c r="T113">
        <f t="shared" si="27"/>
        <v>0.43478260869565216</v>
      </c>
      <c r="U113" s="42">
        <v>2</v>
      </c>
      <c r="V113" s="42">
        <v>2.9</v>
      </c>
      <c r="W113">
        <f t="shared" si="28"/>
        <v>0.68965517241379315</v>
      </c>
      <c r="X113" s="7">
        <f>IF(((T113 - '2026-2027 means'!E$2) / '2026-2027 means'!R$2) * (S113 / '2026-2027 means'!B$2) / 2 &lt; -2, -2, ((T113 - '2026-2027 means'!E$2) / '2026-2027 means'!R$2) * (S113 / '2026-2027 means'!B$2) / 2)</f>
        <v>-1.2167238564626508</v>
      </c>
      <c r="Y113" s="11">
        <f>IF(((W113 - '2026-2027 means'!F$2) / '2026-2027 means'!S$2) * (V113 / '2026-2027 means'!D$2) &lt; -2, -2, ((W113 - '2026-2027 means'!F$2) / '2026-2027 means'!S$2) * (V113 / '2026-2027 means'!D$2))</f>
        <v>-1.0611920321637416</v>
      </c>
      <c r="Z113" s="7">
        <f>(J113-'2026-2027 means'!G$2)/'2026-2027 means'!T$2</f>
        <v>-0.17588275840671705</v>
      </c>
      <c r="AA113" s="7">
        <f>(K113-'2026-2027 means'!H$2)/'2026-2027 means'!U$2</f>
        <v>-9.4080011678727121E-2</v>
      </c>
      <c r="AB113" s="7">
        <f>(L113-'2026-2027 means'!I$2)/'2026-2027 means'!V$2</f>
        <v>0.71321545843056111</v>
      </c>
      <c r="AC113" s="7">
        <f>(M113-'2026-2027 means'!J$2)/'2026-2027 means'!W$2</f>
        <v>-0.49011985989170598</v>
      </c>
      <c r="AD113" s="7">
        <f>(N113-'2026-2027 means'!K$2)/'2026-2027 means'!X$2</f>
        <v>-0.6352083158723062</v>
      </c>
      <c r="AE113" s="7">
        <f>(O113-'2026-2027 means'!L$2)/'2026-2027 means'!Y$2</f>
        <v>2.276781545176231</v>
      </c>
      <c r="AF113" s="7">
        <f>IF(((P113 - '2026-2027 means'!M$2) / '2026-2027 means'!Z$2 * -1) &lt; -2, -2, (P113 - '2026-2027 means'!M$2) / '2026-2027 means'!Z$2 * -1)</f>
        <v>6.2460698990694306E-2</v>
      </c>
      <c r="AG113">
        <f t="shared" si="29"/>
        <v>1</v>
      </c>
      <c r="AH113">
        <f t="shared" si="30"/>
        <v>4</v>
      </c>
      <c r="AI113" s="8">
        <f t="shared" si="31"/>
        <v>0.25</v>
      </c>
      <c r="AJ113" s="8" t="e" vm="1">
        <f t="shared" ca="1" si="32"/>
        <v>#NAME?</v>
      </c>
      <c r="AK113" s="8" t="str">
        <f t="shared" si="33"/>
        <v>FG%, FT%, 3PM, PTS, AST, STL</v>
      </c>
      <c r="AL113" t="str">
        <f t="shared" si="34"/>
        <v>, BLK</v>
      </c>
      <c r="AM113" t="str">
        <f t="shared" si="35"/>
        <v/>
      </c>
      <c r="AN113" t="str">
        <f t="shared" si="36"/>
        <v>, TREB, TO</v>
      </c>
      <c r="AO113" t="str">
        <f t="shared" si="37"/>
        <v>FG%, FT%, 3PM, PTS, AST, STL</v>
      </c>
      <c r="AP113">
        <f>VLOOKUP(B113,'2025-2026 actuals'!B:Q,16,FALSE)</f>
        <v>58</v>
      </c>
      <c r="AQ113" s="7">
        <f t="shared" si="24"/>
        <v>-0.62074913187836211</v>
      </c>
      <c r="AR113">
        <f t="shared" si="25"/>
        <v>106</v>
      </c>
    </row>
    <row r="114" spans="1:44" ht="18">
      <c r="A114" s="3">
        <f t="shared" si="38"/>
        <v>111</v>
      </c>
      <c r="B114" s="41" t="s">
        <v>189</v>
      </c>
      <c r="C114" s="1">
        <f t="shared" si="39"/>
        <v>111</v>
      </c>
      <c r="D114" s="1" t="e">
        <f t="shared" si="23"/>
        <v>#N/A</v>
      </c>
      <c r="E114" s="1">
        <f>VLOOKUP(B114,'2026-2027 adp'!A:C,3,FALSE)</f>
        <v>140</v>
      </c>
      <c r="F114" s="1">
        <f t="shared" si="26"/>
        <v>29</v>
      </c>
      <c r="G114" s="1"/>
      <c r="H114" s="22" t="s">
        <v>649</v>
      </c>
      <c r="I114" s="22" t="s">
        <v>650</v>
      </c>
      <c r="J114" s="42">
        <v>2.5</v>
      </c>
      <c r="K114" s="42">
        <v>18.600000000000001</v>
      </c>
      <c r="L114" s="42">
        <v>4.8</v>
      </c>
      <c r="M114" s="42">
        <v>2</v>
      </c>
      <c r="N114" s="42">
        <v>0.9</v>
      </c>
      <c r="O114" s="42">
        <v>0.2</v>
      </c>
      <c r="P114" s="42">
        <v>1.7</v>
      </c>
      <c r="Q114" s="43">
        <v>0.79</v>
      </c>
      <c r="R114" s="42">
        <v>6.2</v>
      </c>
      <c r="S114" s="42">
        <v>13.8</v>
      </c>
      <c r="T114">
        <f t="shared" si="27"/>
        <v>0.44927536231884058</v>
      </c>
      <c r="U114" s="42">
        <v>3.7</v>
      </c>
      <c r="V114" s="42">
        <v>4.3</v>
      </c>
      <c r="W114">
        <f t="shared" si="28"/>
        <v>0.86046511627906985</v>
      </c>
      <c r="X114" s="7">
        <f>IF(((T114 - '2026-2027 means'!E$2) / '2026-2027 means'!R$2) * (S114 / '2026-2027 means'!B$2) / 2 &lt; -2, -2, ((T114 - '2026-2027 means'!E$2) / '2026-2027 means'!R$2) * (S114 / '2026-2027 means'!B$2) / 2)</f>
        <v>-0.84851124456517357</v>
      </c>
      <c r="Y114" s="11">
        <f>IF(((W114 - '2026-2027 means'!F$2) / '2026-2027 means'!S$2) * (V114 / '2026-2027 means'!D$2) &lt; -2, -2, ((W114 - '2026-2027 means'!F$2) / '2026-2027 means'!S$2) * (V114 / '2026-2027 means'!D$2))</f>
        <v>0.97992750723282629</v>
      </c>
      <c r="Z114" s="7">
        <f>(J114-'2026-2027 means'!G$2)/'2026-2027 means'!T$2</f>
        <v>0.87627302849060573</v>
      </c>
      <c r="AA114" s="7">
        <f>(K114-'2026-2027 means'!H$2)/'2026-2027 means'!U$2</f>
        <v>0.51164835180233526</v>
      </c>
      <c r="AB114" s="7">
        <f>(L114-'2026-2027 means'!I$2)/'2026-2027 means'!V$2</f>
        <v>-0.36871893511315806</v>
      </c>
      <c r="AC114" s="7">
        <f>(M114-'2026-2027 means'!J$2)/'2026-2027 means'!W$2</f>
        <v>-0.85154472512631341</v>
      </c>
      <c r="AD114" s="7">
        <f>(N114-'2026-2027 means'!K$2)/'2026-2027 means'!X$2</f>
        <v>-0.34169826646924195</v>
      </c>
      <c r="AE114" s="7">
        <f>(O114-'2026-2027 means'!L$2)/'2026-2027 means'!Y$2</f>
        <v>-0.97172309070964324</v>
      </c>
      <c r="AF114" s="7">
        <f>IF(((P114 - '2026-2027 means'!M$2) / '2026-2027 means'!Z$2 * -1) &lt; -2, -2, (P114 - '2026-2027 means'!M$2) / '2026-2027 means'!Z$2 * -1)</f>
        <v>0.19892374787253581</v>
      </c>
      <c r="AG114">
        <f t="shared" si="29"/>
        <v>0</v>
      </c>
      <c r="AH114">
        <f t="shared" si="30"/>
        <v>5</v>
      </c>
      <c r="AI114" s="8">
        <f t="shared" si="31"/>
        <v>0</v>
      </c>
      <c r="AJ114" s="8" t="e" vm="1">
        <f t="shared" ca="1" si="32"/>
        <v>#NAME?</v>
      </c>
      <c r="AK114" s="8" t="str">
        <f t="shared" si="33"/>
        <v>FG%, TREB, AST, STL, BLK</v>
      </c>
      <c r="AL114" t="str">
        <f t="shared" si="34"/>
        <v/>
      </c>
      <c r="AM114" t="str">
        <f t="shared" si="35"/>
        <v/>
      </c>
      <c r="AN114" t="str">
        <f t="shared" si="36"/>
        <v>, FT%, 3PM, PTS, TO</v>
      </c>
      <c r="AO114" t="str">
        <f t="shared" si="37"/>
        <v>FG%, TREB, AST, STL, BLK</v>
      </c>
      <c r="AP114" t="e">
        <f>VLOOKUP(B114,'2025-2026 actuals'!B:Q,16,FALSE)</f>
        <v>#N/A</v>
      </c>
      <c r="AQ114" s="7">
        <f t="shared" si="24"/>
        <v>-0.81542362658522705</v>
      </c>
      <c r="AR114">
        <f t="shared" si="25"/>
        <v>111</v>
      </c>
    </row>
    <row r="115" spans="1:44" ht="18">
      <c r="A115" s="3">
        <f t="shared" si="38"/>
        <v>107</v>
      </c>
      <c r="B115" s="41" t="s">
        <v>156</v>
      </c>
      <c r="C115" s="1">
        <f t="shared" si="39"/>
        <v>107</v>
      </c>
      <c r="D115" s="1">
        <f t="shared" si="23"/>
        <v>100</v>
      </c>
      <c r="E115" s="1">
        <f>VLOOKUP(B115,'2026-2027 adp'!A:C,3,FALSE)</f>
        <v>93.1</v>
      </c>
      <c r="F115" s="1">
        <f t="shared" si="26"/>
        <v>-13.900000000000006</v>
      </c>
      <c r="G115" s="1"/>
      <c r="H115" s="22" t="s">
        <v>651</v>
      </c>
      <c r="I115" s="22" t="s">
        <v>652</v>
      </c>
      <c r="J115" s="42">
        <v>2.2000000000000002</v>
      </c>
      <c r="K115" s="42">
        <v>15.4</v>
      </c>
      <c r="L115" s="42">
        <v>7.5</v>
      </c>
      <c r="M115" s="42">
        <v>1.6</v>
      </c>
      <c r="N115" s="42">
        <v>0.7</v>
      </c>
      <c r="O115" s="42">
        <v>0.9</v>
      </c>
      <c r="P115" s="42">
        <v>1.3</v>
      </c>
      <c r="Q115" s="43">
        <v>0.71</v>
      </c>
      <c r="R115" s="42">
        <v>5.5</v>
      </c>
      <c r="S115" s="42">
        <v>12.4</v>
      </c>
      <c r="T115">
        <f t="shared" si="27"/>
        <v>0.44354838709677419</v>
      </c>
      <c r="U115" s="42">
        <v>2.1</v>
      </c>
      <c r="V115" s="42">
        <v>2.7</v>
      </c>
      <c r="W115">
        <f t="shared" si="28"/>
        <v>0.77777777777777779</v>
      </c>
      <c r="X115" s="7">
        <f>IF(((T115 - '2026-2027 means'!E$2) / '2026-2027 means'!R$2) * (S115 / '2026-2027 means'!B$2) / 2 &lt; -2, -2, ((T115 - '2026-2027 means'!E$2) / '2026-2027 means'!R$2) * (S115 / '2026-2027 means'!B$2) / 2)</f>
        <v>-0.89317255296418774</v>
      </c>
      <c r="Y115" s="11">
        <f>IF(((W115 - '2026-2027 means'!F$2) / '2026-2027 means'!S$2) * (V115 / '2026-2027 means'!D$2) &lt; -2, -2, ((W115 - '2026-2027 means'!F$2) / '2026-2027 means'!S$2) * (V115 / '2026-2027 means'!D$2))</f>
        <v>-0.16084242764626422</v>
      </c>
      <c r="Z115" s="7">
        <f>(J115-'2026-2027 means'!G$2)/'2026-2027 means'!T$2</f>
        <v>0.56062629242140904</v>
      </c>
      <c r="AA115" s="7">
        <f>(K115-'2026-2027 means'!H$2)/'2026-2027 means'!U$2</f>
        <v>-9.4080011678727121E-2</v>
      </c>
      <c r="AB115" s="7">
        <f>(L115-'2026-2027 means'!I$2)/'2026-2027 means'!V$2</f>
        <v>0.75482831972070397</v>
      </c>
      <c r="AC115" s="7">
        <f>(M115-'2026-2027 means'!J$2)/'2026-2027 means'!W$2</f>
        <v>-1.0580732195460889</v>
      </c>
      <c r="AD115" s="7">
        <f>(N115-'2026-2027 means'!K$2)/'2026-2027 means'!X$2</f>
        <v>-0.92871836527537077</v>
      </c>
      <c r="AE115" s="7">
        <f>(O115-'2026-2027 means'!L$2)/'2026-2027 means'!Y$2</f>
        <v>0.44949768749042662</v>
      </c>
      <c r="AF115" s="7">
        <f>IF(((P115 - '2026-2027 means'!M$2) / '2026-2027 means'!Z$2 * -1) &lt; -2, -2, (P115 - '2026-2027 means'!M$2) / '2026-2027 means'!Z$2 * -1)</f>
        <v>0.74477594339990116</v>
      </c>
      <c r="AG115">
        <f t="shared" si="29"/>
        <v>0</v>
      </c>
      <c r="AH115">
        <f t="shared" si="30"/>
        <v>3</v>
      </c>
      <c r="AI115" s="8">
        <f t="shared" si="31"/>
        <v>0</v>
      </c>
      <c r="AJ115" s="8" t="e" vm="1">
        <f t="shared" ca="1" si="32"/>
        <v>#NAME?</v>
      </c>
      <c r="AK115" s="8" t="str">
        <f t="shared" si="33"/>
        <v>FG%, FT%, PTS, AST, STL</v>
      </c>
      <c r="AL115" t="str">
        <f t="shared" si="34"/>
        <v/>
      </c>
      <c r="AM115" t="str">
        <f t="shared" si="35"/>
        <v/>
      </c>
      <c r="AN115" t="str">
        <f t="shared" si="36"/>
        <v>, 3PM, TREB, BLK, TO</v>
      </c>
      <c r="AO115" t="str">
        <f t="shared" si="37"/>
        <v>FG%, FT%, PTS, AST, STL</v>
      </c>
      <c r="AP115">
        <f>VLOOKUP(B115,'2025-2026 actuals'!B:Q,16,FALSE)</f>
        <v>100</v>
      </c>
      <c r="AQ115" s="7">
        <f t="shared" si="24"/>
        <v>-0.62515833407819799</v>
      </c>
      <c r="AR115">
        <f t="shared" si="25"/>
        <v>107</v>
      </c>
    </row>
    <row r="116" spans="1:44" ht="18">
      <c r="A116" s="3">
        <f t="shared" si="38"/>
        <v>114</v>
      </c>
      <c r="B116" s="41" t="s">
        <v>960</v>
      </c>
      <c r="C116" s="1">
        <f t="shared" si="39"/>
        <v>114</v>
      </c>
      <c r="D116" s="1" t="e">
        <f t="shared" si="23"/>
        <v>#N/A</v>
      </c>
      <c r="E116" s="1">
        <f>VLOOKUP(B116,'2026-2027 adp'!A:C,3,FALSE)</f>
        <v>79.400000000000006</v>
      </c>
      <c r="F116" s="1">
        <f t="shared" si="26"/>
        <v>-34.599999999999994</v>
      </c>
      <c r="G116" s="1"/>
      <c r="H116" s="22" t="s">
        <v>653</v>
      </c>
      <c r="I116" s="22" t="s">
        <v>654</v>
      </c>
      <c r="J116" s="42">
        <v>1</v>
      </c>
      <c r="K116" s="42">
        <v>15.2</v>
      </c>
      <c r="L116" s="42">
        <v>8</v>
      </c>
      <c r="M116" s="42">
        <v>2</v>
      </c>
      <c r="N116" s="42">
        <v>1.2</v>
      </c>
      <c r="O116" s="42">
        <v>1</v>
      </c>
      <c r="P116" s="42">
        <v>1.8</v>
      </c>
      <c r="Q116" s="43">
        <v>0.69</v>
      </c>
      <c r="R116" s="42">
        <v>5.2</v>
      </c>
      <c r="S116" s="42">
        <v>10.5</v>
      </c>
      <c r="T116">
        <f t="shared" si="27"/>
        <v>0.49523809523809526</v>
      </c>
      <c r="U116" s="42">
        <v>3.9</v>
      </c>
      <c r="V116" s="42">
        <v>5.5</v>
      </c>
      <c r="W116">
        <f t="shared" si="28"/>
        <v>0.70909090909090911</v>
      </c>
      <c r="X116" s="7">
        <f>IF(((T116 - '2026-2027 means'!E$2) / '2026-2027 means'!R$2) * (S116 / '2026-2027 means'!B$2) / 2 &lt; -2, -2, ((T116 - '2026-2027 means'!E$2) / '2026-2027 means'!R$2) * (S116 / '2026-2027 means'!B$2) / 2)</f>
        <v>0.24290666001823666</v>
      </c>
      <c r="Y116" s="11">
        <f>IF(((W116 - '2026-2027 means'!F$2) / '2026-2027 means'!S$2) * (V116 / '2026-2027 means'!D$2) &lt; -2, -2, ((W116 - '2026-2027 means'!F$2) / '2026-2027 means'!S$2) * (V116 / '2026-2027 means'!D$2))</f>
        <v>-1.6409811961990703</v>
      </c>
      <c r="Z116" s="7">
        <f>(J116-'2026-2027 means'!G$2)/'2026-2027 means'!T$2</f>
        <v>-0.70196065185537848</v>
      </c>
      <c r="AA116" s="7">
        <f>(K116-'2026-2027 means'!H$2)/'2026-2027 means'!U$2</f>
        <v>-0.1319380343962937</v>
      </c>
      <c r="AB116" s="7">
        <f>(L116-'2026-2027 means'!I$2)/'2026-2027 means'!V$2</f>
        <v>0.96289262617141924</v>
      </c>
      <c r="AC116" s="7">
        <f>(M116-'2026-2027 means'!J$2)/'2026-2027 means'!W$2</f>
        <v>-0.85154472512631341</v>
      </c>
      <c r="AD116" s="7">
        <f>(N116-'2026-2027 means'!K$2)/'2026-2027 means'!X$2</f>
        <v>0.53883188173995089</v>
      </c>
      <c r="AE116" s="7">
        <f>(O116-'2026-2027 means'!L$2)/'2026-2027 means'!Y$2</f>
        <v>0.65252922723329376</v>
      </c>
      <c r="AF116" s="7">
        <f>IF(((P116 - '2026-2027 means'!M$2) / '2026-2027 means'!Z$2 * -1) &lt; -2, -2, (P116 - '2026-2027 means'!M$2) / '2026-2027 means'!Z$2 * -1)</f>
        <v>6.2460698990694306E-2</v>
      </c>
      <c r="AG116">
        <f t="shared" si="29"/>
        <v>0</v>
      </c>
      <c r="AH116">
        <f t="shared" si="30"/>
        <v>3</v>
      </c>
      <c r="AI116" s="8">
        <f t="shared" si="31"/>
        <v>0</v>
      </c>
      <c r="AJ116" s="8" t="e" vm="1">
        <f t="shared" ca="1" si="32"/>
        <v>#NAME?</v>
      </c>
      <c r="AK116" s="8" t="str">
        <f t="shared" si="33"/>
        <v>, FT%, 3PM, PTS, AST</v>
      </c>
      <c r="AL116" t="str">
        <f t="shared" si="34"/>
        <v/>
      </c>
      <c r="AM116" t="str">
        <f t="shared" si="35"/>
        <v/>
      </c>
      <c r="AN116" t="str">
        <f t="shared" si="36"/>
        <v>FG%, TREB, STL, BLK, TO</v>
      </c>
      <c r="AO116" t="str">
        <f t="shared" si="37"/>
        <v>, FT%, 3PM, PTS, AST</v>
      </c>
      <c r="AP116" t="e">
        <f>VLOOKUP(B116,'2025-2026 actuals'!B:Q,16,FALSE)</f>
        <v>#N/A</v>
      </c>
      <c r="AQ116" s="7">
        <f t="shared" si="24"/>
        <v>-0.86680351342346129</v>
      </c>
      <c r="AR116">
        <f t="shared" si="25"/>
        <v>114</v>
      </c>
    </row>
    <row r="117" spans="1:44" ht="18">
      <c r="A117" s="3">
        <f t="shared" si="38"/>
        <v>98</v>
      </c>
      <c r="B117" s="41" t="s">
        <v>245</v>
      </c>
      <c r="C117" s="1">
        <f t="shared" si="39"/>
        <v>98</v>
      </c>
      <c r="D117" s="1">
        <f t="shared" si="23"/>
        <v>168</v>
      </c>
      <c r="E117" s="1">
        <f>VLOOKUP(B117,'2026-2027 adp'!A:C,3,FALSE)</f>
        <v>108.4</v>
      </c>
      <c r="F117" s="1">
        <f t="shared" si="26"/>
        <v>10.400000000000006</v>
      </c>
      <c r="G117" s="1"/>
      <c r="H117" s="22" t="s">
        <v>655</v>
      </c>
      <c r="I117" s="22" t="s">
        <v>656</v>
      </c>
      <c r="J117" s="42">
        <v>0</v>
      </c>
      <c r="K117" s="42">
        <v>6.7</v>
      </c>
      <c r="L117" s="42">
        <v>9.8000000000000007</v>
      </c>
      <c r="M117" s="42">
        <v>1</v>
      </c>
      <c r="N117" s="42">
        <v>1.1000000000000001</v>
      </c>
      <c r="O117" s="42">
        <v>1.4</v>
      </c>
      <c r="P117" s="42">
        <v>0.8</v>
      </c>
      <c r="Q117" s="43">
        <v>0.67</v>
      </c>
      <c r="R117" s="42">
        <v>2.9</v>
      </c>
      <c r="S117" s="42">
        <v>4.0999999999999996</v>
      </c>
      <c r="T117">
        <f t="shared" si="27"/>
        <v>0.70731707317073178</v>
      </c>
      <c r="U117" s="42">
        <v>0.9</v>
      </c>
      <c r="V117" s="42">
        <v>1.9</v>
      </c>
      <c r="W117">
        <f t="shared" si="28"/>
        <v>0.47368421052631582</v>
      </c>
      <c r="X117" s="7">
        <f>IF(((T117 - '2026-2027 means'!E$2) / '2026-2027 means'!R$2) * (S117 / '2026-2027 means'!B$2) / 2 &lt; -2, -2, ((T117 - '2026-2027 means'!E$2) / '2026-2027 means'!R$2) * (S117 / '2026-2027 means'!B$2) / 2)</f>
        <v>1.6956974323042473</v>
      </c>
      <c r="Y117" s="11">
        <f>IF(((W117 - '2026-2027 means'!F$2) / '2026-2027 means'!S$2) * (V117 / '2026-2027 means'!D$2) &lt; -2, -2, ((W117 - '2026-2027 means'!F$2) / '2026-2027 means'!S$2) * (V117 / '2026-2027 means'!D$2))</f>
        <v>-2</v>
      </c>
      <c r="Z117" s="7">
        <f>(J117-'2026-2027 means'!G$2)/'2026-2027 means'!T$2</f>
        <v>-1.7541164387527013</v>
      </c>
      <c r="AA117" s="7">
        <f>(K117-'2026-2027 means'!H$2)/'2026-2027 means'!U$2</f>
        <v>-1.7409039998928653</v>
      </c>
      <c r="AB117" s="7">
        <f>(L117-'2026-2027 means'!I$2)/'2026-2027 means'!V$2</f>
        <v>1.7119241293939942</v>
      </c>
      <c r="AC117" s="7">
        <f>(M117-'2026-2027 means'!J$2)/'2026-2027 means'!W$2</f>
        <v>-1.3678659611757524</v>
      </c>
      <c r="AD117" s="7">
        <f>(N117-'2026-2027 means'!K$2)/'2026-2027 means'!X$2</f>
        <v>0.24532183233688692</v>
      </c>
      <c r="AE117" s="7">
        <f>(O117-'2026-2027 means'!L$2)/'2026-2027 means'!Y$2</f>
        <v>1.464655386204762</v>
      </c>
      <c r="AF117" s="7">
        <f>IF(((P117 - '2026-2027 means'!M$2) / '2026-2027 means'!Z$2 * -1) &lt; -2, -2, (P117 - '2026-2027 means'!M$2) / '2026-2027 means'!Z$2 * -1)</f>
        <v>1.4270911878091079</v>
      </c>
      <c r="AG117">
        <f t="shared" si="29"/>
        <v>3</v>
      </c>
      <c r="AH117">
        <f t="shared" si="30"/>
        <v>4</v>
      </c>
      <c r="AI117" s="8">
        <f t="shared" si="31"/>
        <v>0.75</v>
      </c>
      <c r="AJ117" s="8" t="e" vm="1">
        <f t="shared" ca="1" si="32"/>
        <v>#NAME?</v>
      </c>
      <c r="AK117" s="8" t="str">
        <f t="shared" si="33"/>
        <v>, FT%, 3PM, PTS, AST</v>
      </c>
      <c r="AL117" t="str">
        <f t="shared" si="34"/>
        <v/>
      </c>
      <c r="AM117" t="str">
        <f t="shared" si="35"/>
        <v>FG%, TREB, BLK, TO</v>
      </c>
      <c r="AN117" t="str">
        <f t="shared" si="36"/>
        <v>, STL</v>
      </c>
      <c r="AO117" t="str">
        <f t="shared" si="37"/>
        <v>, FT%, 3PM, PTS, AST</v>
      </c>
      <c r="AP117">
        <f>VLOOKUP(B117,'2025-2026 actuals'!B:Q,16,FALSE)</f>
        <v>168</v>
      </c>
      <c r="AQ117" s="7">
        <f t="shared" si="24"/>
        <v>-0.31819643177232027</v>
      </c>
      <c r="AR117">
        <f t="shared" si="25"/>
        <v>98</v>
      </c>
    </row>
    <row r="118" spans="1:44" ht="18">
      <c r="A118" s="3">
        <f t="shared" si="38"/>
        <v>121</v>
      </c>
      <c r="B118" s="41" t="s">
        <v>842</v>
      </c>
      <c r="C118" s="1">
        <f t="shared" si="39"/>
        <v>121</v>
      </c>
      <c r="D118" s="1"/>
      <c r="E118" s="1">
        <f>VLOOKUP(B118,'2026-2027 adp'!A:C,3,FALSE)</f>
        <v>85.9</v>
      </c>
      <c r="F118" s="1">
        <f t="shared" si="26"/>
        <v>-35.099999999999994</v>
      </c>
      <c r="G118" s="1"/>
      <c r="H118" s="22" t="s">
        <v>657</v>
      </c>
      <c r="I118" s="22" t="s">
        <v>658</v>
      </c>
      <c r="J118" s="42">
        <v>1.8</v>
      </c>
      <c r="K118" s="42">
        <v>16.3</v>
      </c>
      <c r="L118" s="42">
        <v>6.6</v>
      </c>
      <c r="M118" s="42">
        <v>3.1</v>
      </c>
      <c r="N118" s="42">
        <v>0.7</v>
      </c>
      <c r="O118" s="42">
        <v>0.5</v>
      </c>
      <c r="P118" s="42">
        <v>1.9</v>
      </c>
      <c r="Q118" s="43">
        <v>0.64</v>
      </c>
      <c r="R118" s="42">
        <v>6</v>
      </c>
      <c r="S118" s="42">
        <v>13.3</v>
      </c>
      <c r="T118">
        <f t="shared" si="27"/>
        <v>0.45112781954887216</v>
      </c>
      <c r="U118" s="42">
        <v>2.6</v>
      </c>
      <c r="V118" s="42">
        <v>3</v>
      </c>
      <c r="W118">
        <f t="shared" si="28"/>
        <v>0.8666666666666667</v>
      </c>
      <c r="X118" s="7">
        <f>IF(((T118 - '2026-2027 means'!E$2) / '2026-2027 means'!R$2) * (S118 / '2026-2027 means'!B$2) / 2 &lt; -2, -2, ((T118 - '2026-2027 means'!E$2) / '2026-2027 means'!R$2) * (S118 / '2026-2027 means'!B$2) / 2)</f>
        <v>-0.77240855887616711</v>
      </c>
      <c r="Y118" s="11">
        <f>IF(((W118 - '2026-2027 means'!F$2) / '2026-2027 means'!S$2) * (V118 / '2026-2027 means'!D$2) &lt; -2, -2, ((W118 - '2026-2027 means'!F$2) / '2026-2027 means'!S$2) * (V118 / '2026-2027 means'!D$2))</f>
        <v>0.7483491660618079</v>
      </c>
      <c r="Z118" s="7">
        <f>(J118-'2026-2027 means'!G$2)/'2026-2027 means'!T$2</f>
        <v>0.13976397766247983</v>
      </c>
      <c r="AA118" s="7">
        <f>(K118-'2026-2027 means'!H$2)/'2026-2027 means'!U$2</f>
        <v>7.6281090550321687E-2</v>
      </c>
      <c r="AB118" s="7">
        <f>(L118-'2026-2027 means'!I$2)/'2026-2027 means'!V$2</f>
        <v>0.38031256810941655</v>
      </c>
      <c r="AC118" s="7">
        <f>(M118-'2026-2027 means'!J$2)/'2026-2027 means'!W$2</f>
        <v>-0.28359136547193042</v>
      </c>
      <c r="AD118" s="7">
        <f>(N118-'2026-2027 means'!K$2)/'2026-2027 means'!X$2</f>
        <v>-0.92871836527537077</v>
      </c>
      <c r="AE118" s="7">
        <f>(O118-'2026-2027 means'!L$2)/'2026-2027 means'!Y$2</f>
        <v>-0.36262847148104194</v>
      </c>
      <c r="AF118" s="7">
        <f>IF(((P118 - '2026-2027 means'!M$2) / '2026-2027 means'!Z$2 * -1) &lt; -2, -2, (P118 - '2026-2027 means'!M$2) / '2026-2027 means'!Z$2 * -1)</f>
        <v>-7.4002349891146874E-2</v>
      </c>
      <c r="AG118">
        <f t="shared" si="29"/>
        <v>0</v>
      </c>
      <c r="AH118">
        <f t="shared" si="30"/>
        <v>4</v>
      </c>
      <c r="AI118" s="8">
        <f t="shared" si="31"/>
        <v>0</v>
      </c>
      <c r="AJ118" s="8" t="e" vm="1">
        <f t="shared" ca="1" si="32"/>
        <v>#NAME?</v>
      </c>
      <c r="AK118" s="8" t="str">
        <f t="shared" si="33"/>
        <v>FG%, AST, STL, BLK, TO</v>
      </c>
      <c r="AL118" t="str">
        <f t="shared" si="34"/>
        <v/>
      </c>
      <c r="AM118" t="str">
        <f t="shared" si="35"/>
        <v/>
      </c>
      <c r="AN118" t="str">
        <f t="shared" si="36"/>
        <v>, FT%, 3PM, PTS, TREB</v>
      </c>
      <c r="AO118" t="str">
        <f t="shared" si="37"/>
        <v>FG%, AST, STL, BLK, TO</v>
      </c>
      <c r="AP118">
        <f>VLOOKUP(B118,'2025-2026 actuals'!B:Q,16,FALSE)</f>
        <v>142</v>
      </c>
      <c r="AQ118" s="7">
        <f t="shared" si="24"/>
        <v>-1.076642308611631</v>
      </c>
      <c r="AR118">
        <f t="shared" si="25"/>
        <v>121</v>
      </c>
    </row>
    <row r="119" spans="1:44" ht="18">
      <c r="A119" s="3">
        <f t="shared" si="38"/>
        <v>99</v>
      </c>
      <c r="B119" s="41" t="s">
        <v>279</v>
      </c>
      <c r="C119" s="1">
        <f t="shared" si="39"/>
        <v>99</v>
      </c>
      <c r="D119" s="1">
        <f t="shared" ref="D119:D150" si="40">AP119</f>
        <v>90</v>
      </c>
      <c r="E119" s="1">
        <f>VLOOKUP(B119,'2026-2027 adp'!A:C,3,FALSE)</f>
        <v>120.7</v>
      </c>
      <c r="F119" s="1">
        <f t="shared" si="26"/>
        <v>21.700000000000003</v>
      </c>
      <c r="G119" s="1"/>
      <c r="H119" s="22" t="s">
        <v>659</v>
      </c>
      <c r="I119" s="22" t="s">
        <v>660</v>
      </c>
      <c r="J119" s="42">
        <v>2.6</v>
      </c>
      <c r="K119" s="42">
        <v>12.5</v>
      </c>
      <c r="L119" s="42">
        <v>2.9</v>
      </c>
      <c r="M119" s="42">
        <v>3.3</v>
      </c>
      <c r="N119" s="42">
        <v>1.5</v>
      </c>
      <c r="O119" s="42">
        <v>0.7</v>
      </c>
      <c r="P119" s="42">
        <v>1.5</v>
      </c>
      <c r="Q119" s="43">
        <v>0.45</v>
      </c>
      <c r="R119" s="42">
        <v>4.5999999999999996</v>
      </c>
      <c r="S119" s="42">
        <v>11</v>
      </c>
      <c r="T119">
        <f t="shared" si="27"/>
        <v>0.41818181818181815</v>
      </c>
      <c r="U119" s="42">
        <v>0.8</v>
      </c>
      <c r="V119" s="42">
        <v>1</v>
      </c>
      <c r="W119">
        <f t="shared" si="28"/>
        <v>0.8</v>
      </c>
      <c r="X119" s="7">
        <f>IF(((T119 - '2026-2027 means'!E$2) / '2026-2027 means'!R$2) * (S119 / '2026-2027 means'!B$2) / 2 &lt; -2, -2, ((T119 - '2026-2027 means'!E$2) / '2026-2027 means'!R$2) * (S119 / '2026-2027 means'!B$2) / 2)</f>
        <v>-1.3060464732606789</v>
      </c>
      <c r="Y119" s="11">
        <f>IF(((W119 - '2026-2027 means'!F$2) / '2026-2027 means'!S$2) * (V119 / '2026-2027 means'!D$2) &lt; -2, -2, ((W119 - '2026-2027 means'!F$2) / '2026-2027 means'!S$2) * (V119 / '2026-2027 means'!D$2))</f>
        <v>1.7683978381188473E-2</v>
      </c>
      <c r="Z119" s="7">
        <f>(J119-'2026-2027 means'!G$2)/'2026-2027 means'!T$2</f>
        <v>0.98148860718033804</v>
      </c>
      <c r="AA119" s="7">
        <f>(K119-'2026-2027 means'!H$2)/'2026-2027 means'!U$2</f>
        <v>-0.64302134108343978</v>
      </c>
      <c r="AB119" s="7">
        <f>(L119-'2026-2027 means'!I$2)/'2026-2027 means'!V$2</f>
        <v>-1.1593632996258758</v>
      </c>
      <c r="AC119" s="7">
        <f>(M119-'2026-2027 means'!J$2)/'2026-2027 means'!W$2</f>
        <v>-0.18032711826204276</v>
      </c>
      <c r="AD119" s="7">
        <f>(N119-'2026-2027 means'!K$2)/'2026-2027 means'!X$2</f>
        <v>1.4193620299491441</v>
      </c>
      <c r="AE119" s="7">
        <f>(O119-'2026-2027 means'!L$2)/'2026-2027 means'!Y$2</f>
        <v>4.3434608004692253E-2</v>
      </c>
      <c r="AF119" s="7">
        <f>IF(((P119 - '2026-2027 means'!M$2) / '2026-2027 means'!Z$2 * -1) &lt; -2, -2, (P119 - '2026-2027 means'!M$2) / '2026-2027 means'!Z$2 * -1)</f>
        <v>0.47184984563621846</v>
      </c>
      <c r="AG119">
        <f t="shared" si="29"/>
        <v>1</v>
      </c>
      <c r="AH119">
        <f t="shared" si="30"/>
        <v>3</v>
      </c>
      <c r="AI119" s="8">
        <f t="shared" si="31"/>
        <v>0.33333333333333331</v>
      </c>
      <c r="AJ119" s="8" t="e" vm="1">
        <f t="shared" ca="1" si="32"/>
        <v>#NAME?</v>
      </c>
      <c r="AK119" s="8" t="str">
        <f t="shared" si="33"/>
        <v>FG%, PTS, TREB, AST</v>
      </c>
      <c r="AL119" t="str">
        <f t="shared" si="34"/>
        <v/>
      </c>
      <c r="AM119" t="str">
        <f t="shared" si="35"/>
        <v>, STL</v>
      </c>
      <c r="AN119" t="str">
        <f t="shared" si="36"/>
        <v>, FT%, 3PM, BLK, TO</v>
      </c>
      <c r="AO119" t="str">
        <f t="shared" si="37"/>
        <v>FG%, PTS, TREB, AST</v>
      </c>
      <c r="AP119">
        <f>VLOOKUP(B119,'2025-2026 actuals'!B:Q,16,FALSE)</f>
        <v>90</v>
      </c>
      <c r="AQ119" s="7">
        <f t="shared" ref="AQ119:AQ174" si="41">SUM(X119:AF119)</f>
        <v>-0.35493916308045637</v>
      </c>
      <c r="AR119">
        <f t="shared" ref="AR119:AR184" si="42">RANK(AQ119,AQ:AQ)</f>
        <v>99</v>
      </c>
    </row>
    <row r="120" spans="1:44" ht="18">
      <c r="A120" s="3">
        <f t="shared" si="38"/>
        <v>103</v>
      </c>
      <c r="B120" s="41" t="s">
        <v>207</v>
      </c>
      <c r="C120" s="1">
        <f t="shared" si="39"/>
        <v>103</v>
      </c>
      <c r="D120" s="1" t="e">
        <f t="shared" si="40"/>
        <v>#N/A</v>
      </c>
      <c r="E120" s="1">
        <f>VLOOKUP(B120,'2026-2027 adp'!A:C,3,FALSE)</f>
        <v>111.9</v>
      </c>
      <c r="F120" s="1">
        <f t="shared" si="26"/>
        <v>8.9000000000000057</v>
      </c>
      <c r="G120" s="1"/>
      <c r="H120" s="22" t="s">
        <v>661</v>
      </c>
      <c r="I120" s="22" t="s">
        <v>662</v>
      </c>
      <c r="J120" s="42">
        <v>0.3</v>
      </c>
      <c r="K120" s="42">
        <v>9.3000000000000007</v>
      </c>
      <c r="L120" s="42">
        <v>5.6</v>
      </c>
      <c r="M120" s="42">
        <v>1.7</v>
      </c>
      <c r="N120" s="42">
        <v>1.3</v>
      </c>
      <c r="O120" s="42">
        <v>1.2</v>
      </c>
      <c r="P120" s="42">
        <v>1.1000000000000001</v>
      </c>
      <c r="Q120" s="43">
        <v>0.43</v>
      </c>
      <c r="R120" s="42">
        <v>3.8</v>
      </c>
      <c r="S120" s="42">
        <v>6.5</v>
      </c>
      <c r="T120">
        <f t="shared" si="27"/>
        <v>0.58461538461538454</v>
      </c>
      <c r="U120" s="42">
        <v>1.4</v>
      </c>
      <c r="V120" s="42">
        <v>2.1</v>
      </c>
      <c r="W120">
        <f t="shared" si="28"/>
        <v>0.66666666666666663</v>
      </c>
      <c r="X120" s="7">
        <f>IF(((T120 - '2026-2027 means'!E$2) / '2026-2027 means'!R$2) * (S120 / '2026-2027 means'!B$2) / 2 &lt; -2, -2, ((T120 - '2026-2027 means'!E$2) / '2026-2027 means'!R$2) * (S120 / '2026-2027 means'!B$2) / 2)</f>
        <v>1.2199407574277688</v>
      </c>
      <c r="Y120" s="11">
        <f>IF(((W120 - '2026-2027 means'!F$2) / '2026-2027 means'!S$2) * (V120 / '2026-2027 means'!D$2) &lt; -2, -2, ((W120 - '2026-2027 means'!F$2) / '2026-2027 means'!S$2) * (V120 / '2026-2027 means'!D$2))</f>
        <v>-0.93627976868504437</v>
      </c>
      <c r="Z120" s="7">
        <f>(J120-'2026-2027 means'!G$2)/'2026-2027 means'!T$2</f>
        <v>-1.4384697026835043</v>
      </c>
      <c r="AA120" s="7">
        <f>(K120-'2026-2027 means'!H$2)/'2026-2027 means'!U$2</f>
        <v>-1.248749704564502</v>
      </c>
      <c r="AB120" s="7">
        <f>(L120-'2026-2027 means'!I$2)/'2026-2027 means'!V$2</f>
        <v>-3.5816044792013849E-2</v>
      </c>
      <c r="AC120" s="7">
        <f>(M120-'2026-2027 means'!J$2)/'2026-2027 means'!W$2</f>
        <v>-1.0064410959411452</v>
      </c>
      <c r="AD120" s="7">
        <f>(N120-'2026-2027 means'!K$2)/'2026-2027 means'!X$2</f>
        <v>0.83234193114301547</v>
      </c>
      <c r="AE120" s="7">
        <f>(O120-'2026-2027 means'!L$2)/'2026-2027 means'!Y$2</f>
        <v>1.0585923067190279</v>
      </c>
      <c r="AF120" s="7">
        <f>IF(((P120 - '2026-2027 means'!M$2) / '2026-2027 means'!Z$2 * -1) &lt; -2, -2, (P120 - '2026-2027 means'!M$2) / '2026-2027 means'!Z$2 * -1)</f>
        <v>1.0177020411635838</v>
      </c>
      <c r="AG120">
        <f t="shared" si="29"/>
        <v>2</v>
      </c>
      <c r="AH120">
        <f t="shared" si="30"/>
        <v>4</v>
      </c>
      <c r="AI120" s="8">
        <f t="shared" si="31"/>
        <v>0.5</v>
      </c>
      <c r="AJ120" s="8" t="e" vm="1">
        <f t="shared" ca="1" si="32"/>
        <v>#NAME?</v>
      </c>
      <c r="AK120" s="8" t="str">
        <f t="shared" si="33"/>
        <v>, FT%, 3PM, PTS, TREB, AST</v>
      </c>
      <c r="AL120" t="str">
        <f t="shared" si="34"/>
        <v/>
      </c>
      <c r="AM120" t="str">
        <f t="shared" si="35"/>
        <v>FG%, BLK, TO</v>
      </c>
      <c r="AN120" t="str">
        <f t="shared" si="36"/>
        <v>, STL</v>
      </c>
      <c r="AO120" t="str">
        <f t="shared" si="37"/>
        <v>, FT%, 3PM, PTS, TREB, AST</v>
      </c>
      <c r="AP120" t="e">
        <f>VLOOKUP(B120,'2025-2026 actuals'!B:Q,16,FALSE)</f>
        <v>#N/A</v>
      </c>
      <c r="AQ120" s="7">
        <f t="shared" si="41"/>
        <v>-0.53717928021281369</v>
      </c>
      <c r="AR120">
        <f t="shared" si="42"/>
        <v>103</v>
      </c>
    </row>
    <row r="121" spans="1:44" ht="18">
      <c r="A121" s="3">
        <f t="shared" si="38"/>
        <v>132</v>
      </c>
      <c r="B121" s="41" t="s">
        <v>250</v>
      </c>
      <c r="C121" s="1">
        <f t="shared" si="39"/>
        <v>132</v>
      </c>
      <c r="D121" s="1">
        <f t="shared" si="40"/>
        <v>20</v>
      </c>
      <c r="E121" s="1">
        <f>VLOOKUP(B121,'2026-2027 adp'!A:C,3,FALSE)</f>
        <v>119.2</v>
      </c>
      <c r="F121" s="1">
        <f t="shared" si="26"/>
        <v>-12.799999999999997</v>
      </c>
      <c r="G121" s="1"/>
      <c r="H121" s="22" t="s">
        <v>663</v>
      </c>
      <c r="I121" s="22" t="s">
        <v>664</v>
      </c>
      <c r="J121" s="42">
        <v>0.9</v>
      </c>
      <c r="K121" s="42">
        <v>12.9</v>
      </c>
      <c r="L121" s="42">
        <v>4.3</v>
      </c>
      <c r="M121" s="42">
        <v>4.8</v>
      </c>
      <c r="N121" s="42">
        <v>1.5</v>
      </c>
      <c r="O121" s="42">
        <v>0.3</v>
      </c>
      <c r="P121" s="42">
        <v>2.2000000000000002</v>
      </c>
      <c r="Q121" s="43">
        <v>0.38</v>
      </c>
      <c r="R121" s="42">
        <v>4.8</v>
      </c>
      <c r="S121" s="42">
        <v>10.5</v>
      </c>
      <c r="T121">
        <f t="shared" si="27"/>
        <v>0.45714285714285713</v>
      </c>
      <c r="U121" s="42">
        <v>2.4</v>
      </c>
      <c r="V121" s="42">
        <v>2.9</v>
      </c>
      <c r="W121">
        <f t="shared" si="28"/>
        <v>0.82758620689655171</v>
      </c>
      <c r="X121" s="7">
        <f>IF(((T121 - '2026-2027 means'!E$2) / '2026-2027 means'!R$2) * (S121 / '2026-2027 means'!B$2) / 2 &lt; -2, -2, ((T121 - '2026-2027 means'!E$2) / '2026-2027 means'!R$2) * (S121 / '2026-2027 means'!B$2) / 2)</f>
        <v>-0.49351856377671788</v>
      </c>
      <c r="Y121" s="11">
        <f>IF(((W121 - '2026-2027 means'!F$2) / '2026-2027 means'!S$2) * (V121 / '2026-2027 means'!D$2) &lt; -2, -2, ((W121 - '2026-2027 means'!F$2) / '2026-2027 means'!S$2) * (V121 / '2026-2027 means'!D$2))</f>
        <v>0.32940242967274302</v>
      </c>
      <c r="Z121" s="7">
        <f>(J121-'2026-2027 means'!G$2)/'2026-2027 means'!T$2</f>
        <v>-0.80717623054511067</v>
      </c>
      <c r="AA121" s="7">
        <f>(K121-'2026-2027 means'!H$2)/'2026-2027 means'!U$2</f>
        <v>-0.56730529564830701</v>
      </c>
      <c r="AB121" s="7">
        <f>(L121-'2026-2027 means'!I$2)/'2026-2027 means'!V$2</f>
        <v>-0.57678324156387328</v>
      </c>
      <c r="AC121" s="7">
        <f>(M121-'2026-2027 means'!J$2)/'2026-2027 means'!W$2</f>
        <v>0.59415473581211586</v>
      </c>
      <c r="AD121" s="7">
        <f>(N121-'2026-2027 means'!K$2)/'2026-2027 means'!X$2</f>
        <v>1.4193620299491441</v>
      </c>
      <c r="AE121" s="7">
        <f>(O121-'2026-2027 means'!L$2)/'2026-2027 means'!Y$2</f>
        <v>-0.76869155096677622</v>
      </c>
      <c r="AF121" s="7">
        <f>IF(((P121 - '2026-2027 means'!M$2) / '2026-2027 means'!Z$2 * -1) &lt; -2, -2, (P121 - '2026-2027 means'!M$2) / '2026-2027 means'!Z$2 * -1)</f>
        <v>-0.48339149653667135</v>
      </c>
      <c r="AG121">
        <f t="shared" si="29"/>
        <v>1</v>
      </c>
      <c r="AH121">
        <f t="shared" si="30"/>
        <v>5</v>
      </c>
      <c r="AI121" s="8">
        <f t="shared" si="31"/>
        <v>0.2</v>
      </c>
      <c r="AJ121" s="8" t="e" vm="1">
        <f t="shared" ca="1" si="32"/>
        <v>#NAME?</v>
      </c>
      <c r="AK121" s="8" t="str">
        <f t="shared" si="33"/>
        <v>FG%, 3PM, PTS, TREB, BLK, TO</v>
      </c>
      <c r="AL121" t="str">
        <f t="shared" si="34"/>
        <v/>
      </c>
      <c r="AM121" t="str">
        <f t="shared" si="35"/>
        <v>, STL</v>
      </c>
      <c r="AN121" t="str">
        <f t="shared" si="36"/>
        <v>, FT%, AST</v>
      </c>
      <c r="AO121" t="str">
        <f t="shared" si="37"/>
        <v>FG%, 3PM, PTS, TREB, BLK, TO</v>
      </c>
      <c r="AP121">
        <f>VLOOKUP(B121,'2025-2026 actuals'!B:Q,16,FALSE)</f>
        <v>20</v>
      </c>
      <c r="AQ121" s="7">
        <f t="shared" si="41"/>
        <v>-1.3539471836034536</v>
      </c>
      <c r="AR121">
        <f t="shared" si="42"/>
        <v>132</v>
      </c>
    </row>
    <row r="122" spans="1:44" ht="18">
      <c r="A122" s="3">
        <f t="shared" si="38"/>
        <v>104</v>
      </c>
      <c r="B122" s="41" t="s">
        <v>961</v>
      </c>
      <c r="C122" s="1">
        <f t="shared" si="39"/>
        <v>104</v>
      </c>
      <c r="D122" s="1" t="e">
        <f t="shared" si="40"/>
        <v>#N/A</v>
      </c>
      <c r="E122" s="1">
        <f>VLOOKUP(B122,'2026-2027 adp'!A:C,3,FALSE)</f>
        <v>114.5</v>
      </c>
      <c r="F122" s="1">
        <f t="shared" si="26"/>
        <v>10.5</v>
      </c>
      <c r="G122" s="1"/>
      <c r="H122" s="22" t="s">
        <v>665</v>
      </c>
      <c r="I122" s="22" t="s">
        <v>666</v>
      </c>
      <c r="J122" s="42">
        <v>1.2</v>
      </c>
      <c r="K122" s="42">
        <v>10.5</v>
      </c>
      <c r="L122" s="42">
        <v>6</v>
      </c>
      <c r="M122" s="42">
        <v>2.2000000000000002</v>
      </c>
      <c r="N122" s="42">
        <v>0.8</v>
      </c>
      <c r="O122" s="42">
        <v>0.8</v>
      </c>
      <c r="P122" s="42">
        <v>0.8</v>
      </c>
      <c r="Q122" s="43">
        <v>0.35</v>
      </c>
      <c r="R122" s="42">
        <v>3.5</v>
      </c>
      <c r="S122" s="42">
        <v>7</v>
      </c>
      <c r="T122">
        <f t="shared" si="27"/>
        <v>0.5</v>
      </c>
      <c r="U122" s="42">
        <v>2.4</v>
      </c>
      <c r="V122" s="42">
        <v>2.9</v>
      </c>
      <c r="W122">
        <f t="shared" si="28"/>
        <v>0.82758620689655171</v>
      </c>
      <c r="X122" s="7">
        <f>IF(((T122 - '2026-2027 means'!E$2) / '2026-2027 means'!R$2) * (S122 / '2026-2027 means'!B$2) / 2 &lt; -2, -2, ((T122 - '2026-2027 means'!E$2) / '2026-2027 means'!R$2) * (S122 / '2026-2027 means'!B$2) / 2)</f>
        <v>0.22330654199507036</v>
      </c>
      <c r="Y122" s="11">
        <f>IF(((W122 - '2026-2027 means'!F$2) / '2026-2027 means'!S$2) * (V122 / '2026-2027 means'!D$2) &lt; -2, -2, ((W122 - '2026-2027 means'!F$2) / '2026-2027 means'!S$2) * (V122 / '2026-2027 means'!D$2))</f>
        <v>0.32940242967274302</v>
      </c>
      <c r="Z122" s="7">
        <f>(J122-'2026-2027 means'!G$2)/'2026-2027 means'!T$2</f>
        <v>-0.49152949447591393</v>
      </c>
      <c r="AA122" s="7">
        <f>(K122-'2026-2027 means'!H$2)/'2026-2027 means'!U$2</f>
        <v>-1.0216015682591038</v>
      </c>
      <c r="AB122" s="7">
        <f>(L122-'2026-2027 means'!I$2)/'2026-2027 means'!V$2</f>
        <v>0.13063540036855845</v>
      </c>
      <c r="AC122" s="7">
        <f>(M122-'2026-2027 means'!J$2)/'2026-2027 means'!W$2</f>
        <v>-0.74828047791642549</v>
      </c>
      <c r="AD122" s="7">
        <f>(N122-'2026-2027 means'!K$2)/'2026-2027 means'!X$2</f>
        <v>-0.6352083158723062</v>
      </c>
      <c r="AE122" s="7">
        <f>(O122-'2026-2027 means'!L$2)/'2026-2027 means'!Y$2</f>
        <v>0.24646614774755957</v>
      </c>
      <c r="AF122" s="7">
        <f>IF(((P122 - '2026-2027 means'!M$2) / '2026-2027 means'!Z$2 * -1) &lt; -2, -2, (P122 - '2026-2027 means'!M$2) / '2026-2027 means'!Z$2 * -1)</f>
        <v>1.4270911878091079</v>
      </c>
      <c r="AG122">
        <f t="shared" si="29"/>
        <v>0</v>
      </c>
      <c r="AH122">
        <f t="shared" si="30"/>
        <v>4</v>
      </c>
      <c r="AI122" s="8">
        <f t="shared" si="31"/>
        <v>0</v>
      </c>
      <c r="AJ122" s="8" t="e" vm="1">
        <f t="shared" ca="1" si="32"/>
        <v>#NAME?</v>
      </c>
      <c r="AK122" s="8" t="str">
        <f t="shared" si="33"/>
        <v>, 3PM, PTS, AST, STL</v>
      </c>
      <c r="AL122" t="str">
        <f t="shared" si="34"/>
        <v/>
      </c>
      <c r="AM122" t="str">
        <f t="shared" si="35"/>
        <v>, TO</v>
      </c>
      <c r="AN122" t="str">
        <f t="shared" si="36"/>
        <v>FG%, FT%, TREB, BLK</v>
      </c>
      <c r="AO122" t="str">
        <f t="shared" si="37"/>
        <v>, 3PM, PTS, AST, STL</v>
      </c>
      <c r="AP122" t="e">
        <f>VLOOKUP(B122,'2025-2026 actuals'!B:Q,16,FALSE)</f>
        <v>#N/A</v>
      </c>
      <c r="AQ122" s="7">
        <f t="shared" si="41"/>
        <v>-0.53971814893071013</v>
      </c>
      <c r="AR122">
        <f t="shared" si="42"/>
        <v>104</v>
      </c>
    </row>
    <row r="123" spans="1:44" ht="18">
      <c r="A123" s="3">
        <f t="shared" si="38"/>
        <v>130</v>
      </c>
      <c r="B123" s="41" t="s">
        <v>256</v>
      </c>
      <c r="C123" s="1">
        <f t="shared" si="39"/>
        <v>130</v>
      </c>
      <c r="D123" s="1">
        <f t="shared" si="40"/>
        <v>152</v>
      </c>
      <c r="E123" s="1">
        <f>VLOOKUP(B123,'2026-2027 adp'!A:C,3,FALSE)</f>
        <v>120.4</v>
      </c>
      <c r="F123" s="1">
        <f t="shared" si="26"/>
        <v>-9.5999999999999943</v>
      </c>
      <c r="G123" s="1"/>
      <c r="H123" s="22" t="s">
        <v>667</v>
      </c>
      <c r="I123" s="22" t="s">
        <v>668</v>
      </c>
      <c r="J123" s="42">
        <v>2.1</v>
      </c>
      <c r="K123" s="42">
        <v>15.5</v>
      </c>
      <c r="L123" s="42">
        <v>4.4000000000000004</v>
      </c>
      <c r="M123" s="42">
        <v>3.5</v>
      </c>
      <c r="N123" s="42">
        <v>1</v>
      </c>
      <c r="O123" s="42">
        <v>0.4</v>
      </c>
      <c r="P123" s="42">
        <v>2</v>
      </c>
      <c r="Q123" s="43">
        <v>0.34</v>
      </c>
      <c r="R123" s="42">
        <v>5.3</v>
      </c>
      <c r="S123" s="42">
        <v>11.6</v>
      </c>
      <c r="T123">
        <f t="shared" si="27"/>
        <v>0.45689655172413796</v>
      </c>
      <c r="U123" s="42">
        <v>2.7</v>
      </c>
      <c r="V123" s="42">
        <v>3.3</v>
      </c>
      <c r="W123">
        <f t="shared" si="28"/>
        <v>0.81818181818181823</v>
      </c>
      <c r="X123" s="7">
        <f>IF(((T123 - '2026-2027 means'!E$2) / '2026-2027 means'!R$2) * (S123 / '2026-2027 means'!B$2) / 2 &lt; -2, -2, ((T123 - '2026-2027 means'!E$2) / '2026-2027 means'!R$2) * (S123 / '2026-2027 means'!B$2) / 2)</f>
        <v>-0.55048068872328948</v>
      </c>
      <c r="Y123" s="11">
        <f>IF(((W123 - '2026-2027 means'!F$2) / '2026-2027 means'!S$2) * (V123 / '2026-2027 means'!D$2) &lt; -2, -2, ((W123 - '2026-2027 means'!F$2) / '2026-2027 means'!S$2) * (V123 / '2026-2027 means'!D$2))</f>
        <v>0.2669462979333948</v>
      </c>
      <c r="Z123" s="7">
        <f>(J123-'2026-2027 means'!G$2)/'2026-2027 means'!T$2</f>
        <v>0.45541071373167669</v>
      </c>
      <c r="AA123" s="7">
        <f>(K123-'2026-2027 means'!H$2)/'2026-2027 means'!U$2</f>
        <v>-7.5151000319943997E-2</v>
      </c>
      <c r="AB123" s="7">
        <f>(L123-'2026-2027 means'!I$2)/'2026-2027 means'!V$2</f>
        <v>-0.53517038027372998</v>
      </c>
      <c r="AC123" s="7">
        <f>(M123-'2026-2027 means'!J$2)/'2026-2027 means'!W$2</f>
        <v>-7.7062871052154841E-2</v>
      </c>
      <c r="AD123" s="7">
        <f>(N123-'2026-2027 means'!K$2)/'2026-2027 means'!X$2</f>
        <v>-4.818821706617768E-2</v>
      </c>
      <c r="AE123" s="7">
        <f>(O123-'2026-2027 means'!L$2)/'2026-2027 means'!Y$2</f>
        <v>-0.56566001122390897</v>
      </c>
      <c r="AF123" s="7">
        <f>IF(((P123 - '2026-2027 means'!M$2) / '2026-2027 means'!Z$2 * -1) &lt; -2, -2, (P123 - '2026-2027 means'!M$2) / '2026-2027 means'!Z$2 * -1)</f>
        <v>-0.21046539877298837</v>
      </c>
      <c r="AG123">
        <f t="shared" si="29"/>
        <v>0</v>
      </c>
      <c r="AH123">
        <f t="shared" si="30"/>
        <v>3</v>
      </c>
      <c r="AI123" s="8">
        <f t="shared" si="31"/>
        <v>0</v>
      </c>
      <c r="AJ123" s="8" t="e" vm="1">
        <f t="shared" ca="1" si="32"/>
        <v>#NAME?</v>
      </c>
      <c r="AK123" s="8" t="str">
        <f t="shared" si="33"/>
        <v>FG%, PTS, TREB, AST, STL, BLK, TO</v>
      </c>
      <c r="AL123" t="str">
        <f t="shared" si="34"/>
        <v/>
      </c>
      <c r="AM123" t="str">
        <f t="shared" si="35"/>
        <v/>
      </c>
      <c r="AN123" t="str">
        <f t="shared" si="36"/>
        <v>, FT%, 3PM</v>
      </c>
      <c r="AO123" t="str">
        <f t="shared" si="37"/>
        <v>FG%, PTS, TREB, AST, STL, BLK, TO</v>
      </c>
      <c r="AP123">
        <f>VLOOKUP(B123,'2025-2026 actuals'!B:Q,16,FALSE)</f>
        <v>152</v>
      </c>
      <c r="AQ123" s="7">
        <f t="shared" si="41"/>
        <v>-1.3398215557671218</v>
      </c>
      <c r="AR123">
        <f t="shared" si="42"/>
        <v>130</v>
      </c>
    </row>
    <row r="124" spans="1:44" ht="18">
      <c r="A124" s="3">
        <f t="shared" si="38"/>
        <v>150</v>
      </c>
      <c r="B124" s="41" t="s">
        <v>135</v>
      </c>
      <c r="C124" s="1">
        <f t="shared" si="39"/>
        <v>150</v>
      </c>
      <c r="D124" s="1">
        <f t="shared" si="40"/>
        <v>162</v>
      </c>
      <c r="E124" s="1">
        <f>VLOOKUP(B124,'2026-2027 adp'!A:C,3,FALSE)</f>
        <v>107</v>
      </c>
      <c r="F124" s="1">
        <f t="shared" si="26"/>
        <v>-43</v>
      </c>
      <c r="G124" s="1"/>
      <c r="H124" s="22" t="s">
        <v>669</v>
      </c>
      <c r="I124" s="22" t="s">
        <v>670</v>
      </c>
      <c r="J124" s="42">
        <v>1.4</v>
      </c>
      <c r="K124" s="42">
        <v>8.9</v>
      </c>
      <c r="L124" s="42">
        <v>6</v>
      </c>
      <c r="M124" s="42">
        <v>5.7</v>
      </c>
      <c r="N124" s="42">
        <v>1.2</v>
      </c>
      <c r="O124" s="42">
        <v>0.9</v>
      </c>
      <c r="P124" s="42">
        <v>2.7</v>
      </c>
      <c r="Q124" s="43">
        <v>0.28999999999999998</v>
      </c>
      <c r="R124" s="42">
        <v>3.2</v>
      </c>
      <c r="S124" s="42">
        <v>7.6</v>
      </c>
      <c r="T124">
        <f t="shared" si="27"/>
        <v>0.4210526315789474</v>
      </c>
      <c r="U124" s="42">
        <v>1.2</v>
      </c>
      <c r="V124" s="42">
        <v>1.7</v>
      </c>
      <c r="W124">
        <f t="shared" si="28"/>
        <v>0.70588235294117652</v>
      </c>
      <c r="X124" s="7">
        <f>IF(((T124 - '2026-2027 means'!E$2) / '2026-2027 means'!R$2) * (S124 / '2026-2027 means'!B$2) / 2 &lt; -2, -2, ((T124 - '2026-2027 means'!E$2) / '2026-2027 means'!R$2) * (S124 / '2026-2027 means'!B$2) / 2)</f>
        <v>-0.86219073295492532</v>
      </c>
      <c r="Y124" s="11">
        <f>IF(((W124 - '2026-2027 means'!F$2) / '2026-2027 means'!S$2) * (V124 / '2026-2027 means'!D$2) &lt; -2, -2, ((W124 - '2026-2027 means'!F$2) / '2026-2027 means'!S$2) * (V124 / '2026-2027 means'!D$2))</f>
        <v>-0.52617502148657358</v>
      </c>
      <c r="Z124" s="7">
        <f>(J124-'2026-2027 means'!G$2)/'2026-2027 means'!T$2</f>
        <v>-0.28109833709644944</v>
      </c>
      <c r="AA124" s="7">
        <f>(K124-'2026-2027 means'!H$2)/'2026-2027 means'!U$2</f>
        <v>-1.3244657499996346</v>
      </c>
      <c r="AB124" s="7">
        <f>(L124-'2026-2027 means'!I$2)/'2026-2027 means'!V$2</f>
        <v>0.13063540036855845</v>
      </c>
      <c r="AC124" s="7">
        <f>(M124-'2026-2027 means'!J$2)/'2026-2027 means'!W$2</f>
        <v>1.0588438482566112</v>
      </c>
      <c r="AD124" s="7">
        <f>(N124-'2026-2027 means'!K$2)/'2026-2027 means'!X$2</f>
        <v>0.53883188173995089</v>
      </c>
      <c r="AE124" s="7">
        <f>(O124-'2026-2027 means'!L$2)/'2026-2027 means'!Y$2</f>
        <v>0.44949768749042662</v>
      </c>
      <c r="AF124" s="7">
        <f>IF(((P124 - '2026-2027 means'!M$2) / '2026-2027 means'!Z$2 * -1) &lt; -2, -2, (P124 - '2026-2027 means'!M$2) / '2026-2027 means'!Z$2 * -1)</f>
        <v>-1.1657067409458781</v>
      </c>
      <c r="AG124">
        <f t="shared" si="29"/>
        <v>1</v>
      </c>
      <c r="AH124">
        <f t="shared" si="30"/>
        <v>4</v>
      </c>
      <c r="AI124" s="8">
        <f t="shared" si="31"/>
        <v>0.25</v>
      </c>
      <c r="AJ124" s="8" t="e" vm="1">
        <f t="shared" ca="1" si="32"/>
        <v>#NAME?</v>
      </c>
      <c r="AK124" s="8" t="str">
        <f t="shared" si="33"/>
        <v>FG%, FT%, 3PM, PTS, TO</v>
      </c>
      <c r="AL124" t="str">
        <f t="shared" si="34"/>
        <v/>
      </c>
      <c r="AM124" t="str">
        <f t="shared" si="35"/>
        <v>, AST</v>
      </c>
      <c r="AN124" t="str">
        <f t="shared" si="36"/>
        <v>, TREB, STL, BLK</v>
      </c>
      <c r="AO124" t="str">
        <f t="shared" si="37"/>
        <v>FG%, FT%, 3PM, PTS, TO</v>
      </c>
      <c r="AP124">
        <f>VLOOKUP(B124,'2025-2026 actuals'!B:Q,16,FALSE)</f>
        <v>162</v>
      </c>
      <c r="AQ124" s="7">
        <f t="shared" si="41"/>
        <v>-1.9818277646279141</v>
      </c>
      <c r="AR124">
        <f t="shared" si="42"/>
        <v>150</v>
      </c>
    </row>
    <row r="125" spans="1:44" ht="18">
      <c r="A125" s="3">
        <f t="shared" si="38"/>
        <v>137</v>
      </c>
      <c r="B125" s="41" t="s">
        <v>126</v>
      </c>
      <c r="C125" s="1">
        <f t="shared" si="39"/>
        <v>137</v>
      </c>
      <c r="D125" s="1">
        <f t="shared" si="40"/>
        <v>137</v>
      </c>
      <c r="E125" s="1">
        <f>VLOOKUP(B125,'2026-2027 adp'!A:C,3,FALSE)</f>
        <v>94.5</v>
      </c>
      <c r="F125" s="1">
        <f t="shared" si="26"/>
        <v>-42.5</v>
      </c>
      <c r="G125" s="1"/>
      <c r="H125" s="22" t="s">
        <v>671</v>
      </c>
      <c r="I125" s="22" t="s">
        <v>672</v>
      </c>
      <c r="J125" s="42">
        <v>0.1</v>
      </c>
      <c r="K125" s="42">
        <v>11.6</v>
      </c>
      <c r="L125" s="42">
        <v>7.5</v>
      </c>
      <c r="M125" s="42">
        <v>3.1</v>
      </c>
      <c r="N125" s="42">
        <v>0.8</v>
      </c>
      <c r="O125" s="42">
        <v>1.3</v>
      </c>
      <c r="P125" s="42">
        <v>1.4</v>
      </c>
      <c r="Q125" s="43">
        <v>0.24</v>
      </c>
      <c r="R125" s="42">
        <v>4.9000000000000004</v>
      </c>
      <c r="S125" s="42">
        <v>8.6999999999999993</v>
      </c>
      <c r="T125">
        <f t="shared" si="27"/>
        <v>0.56321839080459779</v>
      </c>
      <c r="U125" s="42">
        <v>1.7</v>
      </c>
      <c r="V125" s="42">
        <v>2.9</v>
      </c>
      <c r="W125">
        <f t="shared" si="28"/>
        <v>0.58620689655172409</v>
      </c>
      <c r="X125" s="7">
        <f>IF(((T125 - '2026-2027 means'!E$2) / '2026-2027 means'!R$2) * (S125 / '2026-2027 means'!B$2) / 2 &lt; -2, -2, ((T125 - '2026-2027 means'!E$2) / '2026-2027 means'!R$2) * (S125 / '2026-2027 means'!B$2) / 2)</f>
        <v>1.2901228134833647</v>
      </c>
      <c r="Y125" s="11">
        <f>IF(((W125 - '2026-2027 means'!F$2) / '2026-2027 means'!S$2) * (V125 / '2026-2027 means'!D$2) &lt; -2, -2, ((W125 - '2026-2027 means'!F$2) / '2026-2027 means'!S$2) * (V125 / '2026-2027 means'!D$2))</f>
        <v>-2</v>
      </c>
      <c r="Z125" s="7">
        <f>(J125-'2026-2027 means'!G$2)/'2026-2027 means'!T$2</f>
        <v>-1.6489008600629689</v>
      </c>
      <c r="AA125" s="7">
        <f>(K125-'2026-2027 means'!H$2)/'2026-2027 means'!U$2</f>
        <v>-0.81338244331248866</v>
      </c>
      <c r="AB125" s="7">
        <f>(L125-'2026-2027 means'!I$2)/'2026-2027 means'!V$2</f>
        <v>0.75482831972070397</v>
      </c>
      <c r="AC125" s="7">
        <f>(M125-'2026-2027 means'!J$2)/'2026-2027 means'!W$2</f>
        <v>-0.28359136547193042</v>
      </c>
      <c r="AD125" s="7">
        <f>(N125-'2026-2027 means'!K$2)/'2026-2027 means'!X$2</f>
        <v>-0.6352083158723062</v>
      </c>
      <c r="AE125" s="7">
        <f>(O125-'2026-2027 means'!L$2)/'2026-2027 means'!Y$2</f>
        <v>1.2616238464618952</v>
      </c>
      <c r="AF125" s="7">
        <f>IF(((P125 - '2026-2027 means'!M$2) / '2026-2027 means'!Z$2 * -1) &lt; -2, -2, (P125 - '2026-2027 means'!M$2) / '2026-2027 means'!Z$2 * -1)</f>
        <v>0.60831289451805992</v>
      </c>
      <c r="AG125">
        <f t="shared" si="29"/>
        <v>2</v>
      </c>
      <c r="AH125">
        <f t="shared" si="30"/>
        <v>5</v>
      </c>
      <c r="AI125" s="8">
        <f t="shared" si="31"/>
        <v>0.4</v>
      </c>
      <c r="AJ125" s="8" t="e" vm="1">
        <f t="shared" ca="1" si="32"/>
        <v>#NAME?</v>
      </c>
      <c r="AK125" s="8" t="str">
        <f t="shared" si="33"/>
        <v>, FT%, 3PM, PTS, AST, STL</v>
      </c>
      <c r="AL125" t="str">
        <f t="shared" si="34"/>
        <v/>
      </c>
      <c r="AM125" t="str">
        <f t="shared" si="35"/>
        <v>FG%, BLK</v>
      </c>
      <c r="AN125" t="str">
        <f t="shared" si="36"/>
        <v>, TREB, TO</v>
      </c>
      <c r="AO125" t="str">
        <f t="shared" si="37"/>
        <v>, FT%, 3PM, PTS, AST, STL</v>
      </c>
      <c r="AP125">
        <f>VLOOKUP(B125,'2025-2026 actuals'!B:Q,16,FALSE)</f>
        <v>137</v>
      </c>
      <c r="AQ125" s="7">
        <f t="shared" si="41"/>
        <v>-1.4661951105356708</v>
      </c>
      <c r="AR125">
        <f t="shared" si="42"/>
        <v>137</v>
      </c>
    </row>
    <row r="126" spans="1:44" ht="18">
      <c r="A126" s="3">
        <f t="shared" si="38"/>
        <v>122</v>
      </c>
      <c r="B126" s="41" t="s">
        <v>325</v>
      </c>
      <c r="C126" s="1">
        <f t="shared" si="39"/>
        <v>122</v>
      </c>
      <c r="D126" s="1">
        <f t="shared" si="40"/>
        <v>144</v>
      </c>
      <c r="E126" s="1">
        <f>VLOOKUP(B126,'2026-2027 adp'!A:C,3,FALSE)</f>
        <v>112.7</v>
      </c>
      <c r="F126" s="1">
        <f t="shared" si="26"/>
        <v>-9.2999999999999972</v>
      </c>
      <c r="G126" s="1"/>
      <c r="H126" s="22" t="s">
        <v>673</v>
      </c>
      <c r="I126" s="22" t="s">
        <v>674</v>
      </c>
      <c r="J126" s="42">
        <v>2.2000000000000002</v>
      </c>
      <c r="K126" s="42">
        <v>12.6</v>
      </c>
      <c r="L126" s="42">
        <v>5.5</v>
      </c>
      <c r="M126" s="42">
        <v>2.4</v>
      </c>
      <c r="N126" s="42">
        <v>1.3</v>
      </c>
      <c r="O126" s="42">
        <v>0.5</v>
      </c>
      <c r="P126" s="42">
        <v>1.6</v>
      </c>
      <c r="Q126" s="43">
        <v>0.23</v>
      </c>
      <c r="R126" s="42">
        <v>4.5999999999999996</v>
      </c>
      <c r="S126" s="42">
        <v>10.199999999999999</v>
      </c>
      <c r="T126">
        <f t="shared" si="27"/>
        <v>0.45098039215686275</v>
      </c>
      <c r="U126" s="42">
        <v>1.2</v>
      </c>
      <c r="V126" s="42">
        <v>1.7</v>
      </c>
      <c r="W126">
        <f t="shared" si="28"/>
        <v>0.70588235294117652</v>
      </c>
      <c r="X126" s="7">
        <f>IF(((T126 - '2026-2027 means'!E$2) / '2026-2027 means'!R$2) * (S126 / '2026-2027 means'!B$2) / 2 &lt; -2, -2, ((T126 - '2026-2027 means'!E$2) / '2026-2027 means'!R$2) * (S126 / '2026-2027 means'!B$2) / 2)</f>
        <v>-0.59514199712230398</v>
      </c>
      <c r="Y126" s="11">
        <f>IF(((W126 - '2026-2027 means'!F$2) / '2026-2027 means'!S$2) * (V126 / '2026-2027 means'!D$2) &lt; -2, -2, ((W126 - '2026-2027 means'!F$2) / '2026-2027 means'!S$2) * (V126 / '2026-2027 means'!D$2))</f>
        <v>-0.52617502148657358</v>
      </c>
      <c r="Z126" s="7">
        <f>(J126-'2026-2027 means'!G$2)/'2026-2027 means'!T$2</f>
        <v>0.56062629242140904</v>
      </c>
      <c r="AA126" s="7">
        <f>(K126-'2026-2027 means'!H$2)/'2026-2027 means'!U$2</f>
        <v>-0.62409232972465667</v>
      </c>
      <c r="AB126" s="7">
        <f>(L126-'2026-2027 means'!I$2)/'2026-2027 means'!V$2</f>
        <v>-7.7428906082156745E-2</v>
      </c>
      <c r="AC126" s="7">
        <f>(M126-'2026-2027 means'!J$2)/'2026-2027 means'!W$2</f>
        <v>-0.64501623070653791</v>
      </c>
      <c r="AD126" s="7">
        <f>(N126-'2026-2027 means'!K$2)/'2026-2027 means'!X$2</f>
        <v>0.83234193114301547</v>
      </c>
      <c r="AE126" s="7">
        <f>(O126-'2026-2027 means'!L$2)/'2026-2027 means'!Y$2</f>
        <v>-0.36262847148104194</v>
      </c>
      <c r="AF126" s="7">
        <f>IF(((P126 - '2026-2027 means'!M$2) / '2026-2027 means'!Z$2 * -1) &lt; -2, -2, (P126 - '2026-2027 means'!M$2) / '2026-2027 means'!Z$2 * -1)</f>
        <v>0.33538679675437699</v>
      </c>
      <c r="AG126">
        <f t="shared" si="29"/>
        <v>0</v>
      </c>
      <c r="AH126">
        <f t="shared" si="30"/>
        <v>5</v>
      </c>
      <c r="AI126" s="8">
        <f t="shared" si="31"/>
        <v>0</v>
      </c>
      <c r="AJ126" s="8" t="e" vm="1">
        <f t="shared" ca="1" si="32"/>
        <v>#NAME?</v>
      </c>
      <c r="AK126" s="8" t="str">
        <f t="shared" si="33"/>
        <v>FG%, FT%, PTS, TREB, AST, BLK</v>
      </c>
      <c r="AL126" t="str">
        <f t="shared" si="34"/>
        <v/>
      </c>
      <c r="AM126" t="str">
        <f t="shared" si="35"/>
        <v/>
      </c>
      <c r="AN126" t="str">
        <f t="shared" si="36"/>
        <v>, 3PM, STL, TO</v>
      </c>
      <c r="AO126" t="str">
        <f t="shared" si="37"/>
        <v>FG%, FT%, PTS, TREB, AST, BLK</v>
      </c>
      <c r="AP126">
        <f>VLOOKUP(B126,'2025-2026 actuals'!B:Q,16,FALSE)</f>
        <v>144</v>
      </c>
      <c r="AQ126" s="7">
        <f t="shared" si="41"/>
        <v>-1.1021279362844689</v>
      </c>
      <c r="AR126">
        <f t="shared" si="42"/>
        <v>122</v>
      </c>
    </row>
    <row r="127" spans="1:44" ht="18">
      <c r="A127" s="3">
        <f t="shared" si="38"/>
        <v>118</v>
      </c>
      <c r="B127" s="41" t="s">
        <v>857</v>
      </c>
      <c r="C127" s="1">
        <f t="shared" si="39"/>
        <v>118</v>
      </c>
      <c r="D127" s="1">
        <f t="shared" si="40"/>
        <v>104</v>
      </c>
      <c r="E127" s="1">
        <f>VLOOKUP(B127,'2026-2027 adp'!A:C,3,FALSE)</f>
        <v>123.2</v>
      </c>
      <c r="F127" s="1">
        <f t="shared" si="26"/>
        <v>5.2000000000000028</v>
      </c>
      <c r="G127" s="1"/>
      <c r="H127" s="22" t="s">
        <v>675</v>
      </c>
      <c r="I127" s="22" t="s">
        <v>676</v>
      </c>
      <c r="J127" s="42">
        <v>2.6</v>
      </c>
      <c r="K127" s="42">
        <v>11.7</v>
      </c>
      <c r="L127" s="42">
        <v>3.9</v>
      </c>
      <c r="M127" s="42">
        <v>4.4000000000000004</v>
      </c>
      <c r="N127" s="42">
        <v>1.2</v>
      </c>
      <c r="O127" s="42">
        <v>0.2</v>
      </c>
      <c r="P127" s="42">
        <v>1.4</v>
      </c>
      <c r="Q127" s="43">
        <v>0.22</v>
      </c>
      <c r="R127" s="42">
        <v>4.0999999999999996</v>
      </c>
      <c r="S127" s="42">
        <v>9.6999999999999993</v>
      </c>
      <c r="T127">
        <f t="shared" si="27"/>
        <v>0.42268041237113402</v>
      </c>
      <c r="U127" s="42">
        <v>0.9</v>
      </c>
      <c r="V127" s="42">
        <v>1.1000000000000001</v>
      </c>
      <c r="W127">
        <f t="shared" si="28"/>
        <v>0.81818181818181812</v>
      </c>
      <c r="X127" s="7">
        <f>IF(((T127 - '2026-2027 means'!E$2) / '2026-2027 means'!R$2) * (S127 / '2026-2027 means'!B$2) / 2 &lt; -2, -2, ((T127 - '2026-2027 means'!E$2) / '2026-2027 means'!R$2) * (S127 / '2026-2027 means'!B$2) / 2)</f>
        <v>-1.0713582292795123</v>
      </c>
      <c r="Y127" s="11">
        <f>IF(((W127 - '2026-2027 means'!F$2) / '2026-2027 means'!S$2) * (V127 / '2026-2027 means'!D$2) &lt; -2, -2, ((W127 - '2026-2027 means'!F$2) / '2026-2027 means'!S$2) * (V127 / '2026-2027 means'!D$2))</f>
        <v>8.8982099311131185E-2</v>
      </c>
      <c r="Z127" s="7">
        <f>(J127-'2026-2027 means'!G$2)/'2026-2027 means'!T$2</f>
        <v>0.98148860718033804</v>
      </c>
      <c r="AA127" s="7">
        <f>(K127-'2026-2027 means'!H$2)/'2026-2027 means'!U$2</f>
        <v>-0.79445343195370555</v>
      </c>
      <c r="AB127" s="7">
        <f>(L127-'2026-2027 means'!I$2)/'2026-2027 means'!V$2</f>
        <v>-0.74323468672444537</v>
      </c>
      <c r="AC127" s="7">
        <f>(M127-'2026-2027 means'!J$2)/'2026-2027 means'!W$2</f>
        <v>0.38762624139234048</v>
      </c>
      <c r="AD127" s="7">
        <f>(N127-'2026-2027 means'!K$2)/'2026-2027 means'!X$2</f>
        <v>0.53883188173995089</v>
      </c>
      <c r="AE127" s="7">
        <f>(O127-'2026-2027 means'!L$2)/'2026-2027 means'!Y$2</f>
        <v>-0.97172309070964324</v>
      </c>
      <c r="AF127" s="7">
        <f>IF(((P127 - '2026-2027 means'!M$2) / '2026-2027 means'!Z$2 * -1) &lt; -2, -2, (P127 - '2026-2027 means'!M$2) / '2026-2027 means'!Z$2 * -1)</f>
        <v>0.60831289451805992</v>
      </c>
      <c r="AG127">
        <f t="shared" si="29"/>
        <v>0</v>
      </c>
      <c r="AH127">
        <f t="shared" si="30"/>
        <v>4</v>
      </c>
      <c r="AI127" s="8">
        <f t="shared" si="31"/>
        <v>0</v>
      </c>
      <c r="AJ127" s="8" t="e" vm="1">
        <f t="shared" ca="1" si="32"/>
        <v>#NAME?</v>
      </c>
      <c r="AK127" s="8" t="str">
        <f t="shared" si="33"/>
        <v>FG%, PTS, TREB, BLK</v>
      </c>
      <c r="AL127" t="str">
        <f t="shared" si="34"/>
        <v/>
      </c>
      <c r="AM127" t="str">
        <f t="shared" si="35"/>
        <v/>
      </c>
      <c r="AN127" t="str">
        <f t="shared" si="36"/>
        <v>, FT%, 3PM, AST, STL, TO</v>
      </c>
      <c r="AO127" t="str">
        <f t="shared" si="37"/>
        <v>FG%, PTS, TREB, BLK</v>
      </c>
      <c r="AP127">
        <f>VLOOKUP(B127,'2025-2026 actuals'!B:Q,16,FALSE)</f>
        <v>104</v>
      </c>
      <c r="AQ127" s="7">
        <f t="shared" si="41"/>
        <v>-0.97552771452548581</v>
      </c>
      <c r="AR127">
        <f t="shared" si="42"/>
        <v>118</v>
      </c>
    </row>
    <row r="128" spans="1:44" ht="18">
      <c r="A128" s="3">
        <f t="shared" si="38"/>
        <v>136</v>
      </c>
      <c r="B128" s="41" t="s">
        <v>962</v>
      </c>
      <c r="C128" s="1">
        <f t="shared" si="39"/>
        <v>136</v>
      </c>
      <c r="D128" s="1" t="e">
        <f t="shared" si="40"/>
        <v>#N/A</v>
      </c>
      <c r="E128" s="1">
        <f>VLOOKUP(B128,'2026-2027 adp'!A:C,3,FALSE)</f>
        <v>140</v>
      </c>
      <c r="F128" s="1">
        <f t="shared" si="26"/>
        <v>4</v>
      </c>
      <c r="G128" s="1"/>
      <c r="H128" s="22" t="s">
        <v>677</v>
      </c>
      <c r="I128" s="22" t="s">
        <v>678</v>
      </c>
      <c r="J128" s="42">
        <v>1.6</v>
      </c>
      <c r="K128" s="42">
        <v>12</v>
      </c>
      <c r="L128" s="42">
        <v>6.2</v>
      </c>
      <c r="M128" s="42">
        <v>3.4</v>
      </c>
      <c r="N128" s="42">
        <v>1.2</v>
      </c>
      <c r="O128" s="42">
        <v>0.5</v>
      </c>
      <c r="P128" s="42">
        <v>2</v>
      </c>
      <c r="Q128" s="43">
        <v>0.21</v>
      </c>
      <c r="R128" s="42">
        <v>4.4000000000000004</v>
      </c>
      <c r="S128" s="42">
        <v>9</v>
      </c>
      <c r="T128">
        <f t="shared" si="27"/>
        <v>0.48888888888888893</v>
      </c>
      <c r="U128" s="42">
        <v>1.6</v>
      </c>
      <c r="V128" s="42">
        <v>2.2999999999999998</v>
      </c>
      <c r="W128">
        <f t="shared" si="28"/>
        <v>0.69565217391304357</v>
      </c>
      <c r="X128" s="7">
        <f>IF(((T128 - '2026-2027 means'!E$2) / '2026-2027 means'!R$2) * (S128 / '2026-2027 means'!B$2) / 2 &lt; -2, -2, ((T128 - '2026-2027 means'!E$2) / '2026-2027 means'!R$2) * (S128 / '2026-2027 means'!B$2) / 2)</f>
        <v>0.10300210518778123</v>
      </c>
      <c r="Y128" s="11">
        <f>IF(((W128 - '2026-2027 means'!F$2) / '2026-2027 means'!S$2) * (V128 / '2026-2027 means'!D$2) &lt; -2, -2, ((W128 - '2026-2027 means'!F$2) / '2026-2027 means'!S$2) * (V128 / '2026-2027 means'!D$2))</f>
        <v>-0.79368352682515719</v>
      </c>
      <c r="Z128" s="7">
        <f>(J128-'2026-2027 means'!G$2)/'2026-2027 means'!T$2</f>
        <v>-7.066717971698469E-2</v>
      </c>
      <c r="AA128" s="7">
        <f>(K128-'2026-2027 means'!H$2)/'2026-2027 means'!U$2</f>
        <v>-0.73766639787735577</v>
      </c>
      <c r="AB128" s="7">
        <f>(L128-'2026-2027 means'!I$2)/'2026-2027 means'!V$2</f>
        <v>0.2138611229488446</v>
      </c>
      <c r="AC128" s="7">
        <f>(M128-'2026-2027 means'!J$2)/'2026-2027 means'!W$2</f>
        <v>-0.1286949946570988</v>
      </c>
      <c r="AD128" s="7">
        <f>(N128-'2026-2027 means'!K$2)/'2026-2027 means'!X$2</f>
        <v>0.53883188173995089</v>
      </c>
      <c r="AE128" s="7">
        <f>(O128-'2026-2027 means'!L$2)/'2026-2027 means'!Y$2</f>
        <v>-0.36262847148104194</v>
      </c>
      <c r="AF128" s="7">
        <f>IF(((P128 - '2026-2027 means'!M$2) / '2026-2027 means'!Z$2 * -1) &lt; -2, -2, (P128 - '2026-2027 means'!M$2) / '2026-2027 means'!Z$2 * -1)</f>
        <v>-0.21046539877298837</v>
      </c>
      <c r="AG128">
        <f t="shared" si="29"/>
        <v>0</v>
      </c>
      <c r="AH128">
        <f t="shared" si="30"/>
        <v>3</v>
      </c>
      <c r="AI128" s="8">
        <f t="shared" si="31"/>
        <v>0</v>
      </c>
      <c r="AJ128" s="8" t="e" vm="1">
        <f t="shared" ca="1" si="32"/>
        <v>#NAME?</v>
      </c>
      <c r="AK128" s="8" t="str">
        <f t="shared" si="33"/>
        <v>, FT%, 3PM, PTS, AST, BLK, TO</v>
      </c>
      <c r="AL128" t="str">
        <f t="shared" si="34"/>
        <v/>
      </c>
      <c r="AM128" t="str">
        <f t="shared" si="35"/>
        <v/>
      </c>
      <c r="AN128" t="str">
        <f t="shared" si="36"/>
        <v>FG%, TREB, STL</v>
      </c>
      <c r="AO128" t="str">
        <f t="shared" si="37"/>
        <v>, FT%, 3PM, PTS, AST, BLK, TO</v>
      </c>
      <c r="AP128" t="e">
        <f>VLOOKUP(B128,'2025-2026 actuals'!B:Q,16,FALSE)</f>
        <v>#N/A</v>
      </c>
      <c r="AQ128" s="7">
        <f t="shared" si="41"/>
        <v>-1.4481108594540499</v>
      </c>
      <c r="AR128">
        <f t="shared" si="42"/>
        <v>136</v>
      </c>
    </row>
    <row r="129" spans="1:44" ht="18">
      <c r="A129" s="3">
        <f t="shared" si="38"/>
        <v>119</v>
      </c>
      <c r="B129" s="41" t="s">
        <v>963</v>
      </c>
      <c r="C129" s="1">
        <f t="shared" si="39"/>
        <v>119</v>
      </c>
      <c r="D129" s="1">
        <f t="shared" si="40"/>
        <v>116</v>
      </c>
      <c r="E129" s="1">
        <f>VLOOKUP(B129,'2026-2027 adp'!A:C,3,FALSE)</f>
        <v>140</v>
      </c>
      <c r="F129" s="1">
        <f t="shared" si="26"/>
        <v>21</v>
      </c>
      <c r="G129" s="1"/>
      <c r="H129" s="22" t="s">
        <v>679</v>
      </c>
      <c r="I129" s="22" t="s">
        <v>680</v>
      </c>
      <c r="J129" s="42">
        <v>2</v>
      </c>
      <c r="K129" s="42">
        <v>11.1</v>
      </c>
      <c r="L129" s="42">
        <v>2.6</v>
      </c>
      <c r="M129" s="42">
        <v>5.3</v>
      </c>
      <c r="N129" s="42">
        <v>0.8</v>
      </c>
      <c r="O129" s="42">
        <v>0.2</v>
      </c>
      <c r="P129" s="42">
        <v>1.2</v>
      </c>
      <c r="Q129" s="43">
        <v>0.19</v>
      </c>
      <c r="R129" s="42">
        <v>3.6</v>
      </c>
      <c r="S129" s="42">
        <v>7.8</v>
      </c>
      <c r="T129">
        <f t="shared" si="27"/>
        <v>0.46153846153846156</v>
      </c>
      <c r="U129" s="42">
        <v>1.8</v>
      </c>
      <c r="V129" s="42">
        <v>1.9</v>
      </c>
      <c r="W129">
        <f t="shared" si="28"/>
        <v>0.94736842105263164</v>
      </c>
      <c r="X129" s="7">
        <f>IF(((T129 - '2026-2027 means'!E$2) / '2026-2027 means'!R$2) * (S129 / '2026-2027 means'!B$2) / 2 &lt; -2, -2, ((T129 - '2026-2027 means'!E$2) / '2026-2027 means'!R$2) * (S129 / '2026-2027 means'!B$2) / 2)</f>
        <v>-0.30349162819456521</v>
      </c>
      <c r="Y129" s="11">
        <f>IF(((W129 - '2026-2027 means'!F$2) / '2026-2027 means'!S$2) * (V129 / '2026-2027 means'!D$2) &lt; -2, -2, ((W129 - '2026-2027 means'!F$2) / '2026-2027 means'!S$2) * (V129 / '2026-2027 means'!D$2))</f>
        <v>1.0070156822097978</v>
      </c>
      <c r="Z129" s="7">
        <f>(J129-'2026-2027 means'!G$2)/'2026-2027 means'!T$2</f>
        <v>0.35019513504194433</v>
      </c>
      <c r="AA129" s="7">
        <f>(K129-'2026-2027 means'!H$2)/'2026-2027 means'!U$2</f>
        <v>-0.90802750010640454</v>
      </c>
      <c r="AB129" s="7">
        <f>(L129-'2026-2027 means'!I$2)/'2026-2027 means'!V$2</f>
        <v>-1.2842018834963047</v>
      </c>
      <c r="AC129" s="7">
        <f>(M129-'2026-2027 means'!J$2)/'2026-2027 means'!W$2</f>
        <v>0.85231535383683532</v>
      </c>
      <c r="AD129" s="7">
        <f>(N129-'2026-2027 means'!K$2)/'2026-2027 means'!X$2</f>
        <v>-0.6352083158723062</v>
      </c>
      <c r="AE129" s="7">
        <f>(O129-'2026-2027 means'!L$2)/'2026-2027 means'!Y$2</f>
        <v>-0.97172309070964324</v>
      </c>
      <c r="AF129" s="7">
        <f>IF(((P129 - '2026-2027 means'!M$2) / '2026-2027 means'!Z$2 * -1) &lt; -2, -2, (P129 - '2026-2027 means'!M$2) / '2026-2027 means'!Z$2 * -1)</f>
        <v>0.88123899228174263</v>
      </c>
      <c r="AG129">
        <f t="shared" si="29"/>
        <v>1</v>
      </c>
      <c r="AH129">
        <f t="shared" si="30"/>
        <v>5</v>
      </c>
      <c r="AI129" s="8">
        <f t="shared" si="31"/>
        <v>0.2</v>
      </c>
      <c r="AJ129" s="8" t="e" vm="1">
        <f t="shared" ca="1" si="32"/>
        <v>#NAME?</v>
      </c>
      <c r="AK129" s="8" t="str">
        <f t="shared" si="33"/>
        <v>FG%, PTS, TREB, STL, BLK</v>
      </c>
      <c r="AL129" t="str">
        <f t="shared" si="34"/>
        <v/>
      </c>
      <c r="AM129" t="str">
        <f t="shared" si="35"/>
        <v>, FT%</v>
      </c>
      <c r="AN129" t="str">
        <f t="shared" si="36"/>
        <v>, 3PM, AST, TO</v>
      </c>
      <c r="AO129" t="str">
        <f t="shared" si="37"/>
        <v>FG%, PTS, TREB, STL, BLK</v>
      </c>
      <c r="AP129">
        <f>VLOOKUP(B129,'2025-2026 actuals'!B:Q,16,FALSE)</f>
        <v>116</v>
      </c>
      <c r="AQ129" s="7">
        <f t="shared" si="41"/>
        <v>-1.0118872550089035</v>
      </c>
      <c r="AR129">
        <f t="shared" si="42"/>
        <v>119</v>
      </c>
    </row>
    <row r="130" spans="1:44" ht="18">
      <c r="A130" s="3">
        <f t="shared" si="38"/>
        <v>138</v>
      </c>
      <c r="B130" s="41" t="s">
        <v>117</v>
      </c>
      <c r="C130" s="1">
        <f t="shared" si="39"/>
        <v>138</v>
      </c>
      <c r="D130" s="1">
        <f t="shared" si="40"/>
        <v>86</v>
      </c>
      <c r="E130" s="1">
        <f>VLOOKUP(B130,'2026-2027 adp'!A:C,3,FALSE)</f>
        <v>115.2</v>
      </c>
      <c r="F130" s="1">
        <f t="shared" ref="F130:F192" si="43">E130-A130</f>
        <v>-22.799999999999997</v>
      </c>
      <c r="G130" s="1"/>
      <c r="H130" s="22" t="s">
        <v>542</v>
      </c>
      <c r="I130" s="22" t="s">
        <v>681</v>
      </c>
      <c r="J130" s="42">
        <v>2</v>
      </c>
      <c r="K130" s="42">
        <v>12.8</v>
      </c>
      <c r="L130" s="42">
        <v>4.2</v>
      </c>
      <c r="M130" s="42">
        <v>4.5999999999999996</v>
      </c>
      <c r="N130" s="42">
        <v>1</v>
      </c>
      <c r="O130" s="42">
        <v>0.3</v>
      </c>
      <c r="P130" s="42">
        <v>1.8</v>
      </c>
      <c r="Q130" s="43">
        <v>0.19</v>
      </c>
      <c r="R130" s="42">
        <v>4.7</v>
      </c>
      <c r="S130" s="42">
        <v>10.6</v>
      </c>
      <c r="T130">
        <f t="shared" ref="T130:T193" si="44">R130/S130</f>
        <v>0.44339622641509435</v>
      </c>
      <c r="U130" s="42">
        <v>1.3</v>
      </c>
      <c r="V130" s="42">
        <v>1.5</v>
      </c>
      <c r="W130">
        <f t="shared" ref="W130:W193" si="45">U130/V130</f>
        <v>0.8666666666666667</v>
      </c>
      <c r="X130" s="7">
        <f>IF(((T130 - '2026-2027 means'!E$2) / '2026-2027 means'!R$2) * (S130 / '2026-2027 means'!B$2) / 2 &lt; -2, -2, ((T130 - '2026-2027 means'!E$2) / '2026-2027 means'!R$2) * (S130 / '2026-2027 means'!B$2) / 2)</f>
        <v>-0.76648792924275266</v>
      </c>
      <c r="Y130" s="11">
        <f>IF(((W130 - '2026-2027 means'!F$2) / '2026-2027 means'!S$2) * (V130 / '2026-2027 means'!D$2) &lt; -2, -2, ((W130 - '2026-2027 means'!F$2) / '2026-2027 means'!S$2) * (V130 / '2026-2027 means'!D$2))</f>
        <v>0.37417458303090395</v>
      </c>
      <c r="Z130" s="7">
        <f>(J130-'2026-2027 means'!G$2)/'2026-2027 means'!T$2</f>
        <v>0.35019513504194433</v>
      </c>
      <c r="AA130" s="7">
        <f>(K130-'2026-2027 means'!H$2)/'2026-2027 means'!U$2</f>
        <v>-0.58623430700709012</v>
      </c>
      <c r="AB130" s="7">
        <f>(L130-'2026-2027 means'!I$2)/'2026-2027 means'!V$2</f>
        <v>-0.61839610285401614</v>
      </c>
      <c r="AC130" s="7">
        <f>(M130-'2026-2027 means'!J$2)/'2026-2027 means'!W$2</f>
        <v>0.49089048860222795</v>
      </c>
      <c r="AD130" s="7">
        <f>(N130-'2026-2027 means'!K$2)/'2026-2027 means'!X$2</f>
        <v>-4.818821706617768E-2</v>
      </c>
      <c r="AE130" s="7">
        <f>(O130-'2026-2027 means'!L$2)/'2026-2027 means'!Y$2</f>
        <v>-0.76869155096677622</v>
      </c>
      <c r="AF130" s="7">
        <f>IF(((P130 - '2026-2027 means'!M$2) / '2026-2027 means'!Z$2 * -1) &lt; -2, -2, (P130 - '2026-2027 means'!M$2) / '2026-2027 means'!Z$2 * -1)</f>
        <v>6.2460698990694306E-2</v>
      </c>
      <c r="AG130">
        <f t="shared" ref="AG130:AG193" si="46">COUNTIFS(X130:AE130,"&gt;="&amp;1)</f>
        <v>0</v>
      </c>
      <c r="AH130">
        <f t="shared" ref="AH130:AH193" si="47">COUNTIFS(X130:AE130,"&lt;="&amp;-0.25)</f>
        <v>4</v>
      </c>
      <c r="AI130" s="8">
        <f t="shared" ref="AI130:AI193" si="48">AG130/AH130</f>
        <v>0</v>
      </c>
      <c r="AJ130" s="8" t="e" vm="1">
        <f t="shared" ref="AJ130:AJ193" ca="1" si="49">_xlfn.CONCAT(AL130,AM130,AN130)</f>
        <v>#NAME?</v>
      </c>
      <c r="AK130" s="8" t="str">
        <f t="shared" ref="AK130:AK193" si="50">AO130</f>
        <v>FG%, PTS, TREB, STL, BLK</v>
      </c>
      <c r="AL130" t="str">
        <f t="shared" ref="AL130:AL193" si="51">IF(X130&gt;2, "FG%", "") &amp; IF(Y130&gt;2, ", FT%", "") &amp; IF(Z130&gt;2, ", 3PM", "") &amp; IF(AA130&gt;2, ", PTS", "") &amp; IF(AB130&gt;2, ", TREB", "") &amp; IF(AC130&gt;2, ", AST", "") &amp; IF(AD130&gt;2, ", STL", "") &amp; IF(AE130&gt;2, ", BLK", "") &amp; IF(AF130&gt;2, ", TO", "")</f>
        <v/>
      </c>
      <c r="AM130" t="str">
        <f t="shared" ref="AM130:AM193" si="52">IF(AND(X130&gt;=1, X130&lt;2), "FG%", "") &amp; IF(AND(Y130&gt;=1, Y130&lt;2), IF(X130="", "FT%", ", FT%"), "") &amp; IF(AND(Z130&gt;=1, Z130&lt;2), IF(OR(X130="", Y130=""), "3PM", ", 3PM"), "") &amp; IF(AND(AA130&gt;=1, AA130&lt;2), IF(OR(X130="", Y130="", Z130=""), "PTS", ", PTS"), "") &amp; IF(AND(AB130&gt;=1, AB130&lt;2), IF(OR(X130="", Y130="", Z130="", AA130=""), "TREB", ", TREB"), "") &amp; IF(AND(AC130&gt;=1, AC130&lt;2), IF(OR(X130="", Y130="", Z130="", AA130="", AB130=""), "AST", ", AST"), "") &amp; IF(AND(AD130&gt;=1, AD130&lt;2), IF(OR(X130="", Y130="", Z130="", AA130="", AB130="", AC130=""), "STL", ", STL"), "") &amp; IF(AND(AE130&gt;=1, AE130&lt;2), IF(OR(X130="", Y130="", Z130="", AA130="", AB130="", AC130="", AD130=""), "BLK", ", BLK"), "") &amp; IF(AND(AF130&gt;=1, AF130&lt;2), IF(OR(X130="", Y130="", Z130="", AA130="", AB130="", AC130="", AD130="", AE130=""), "TO", ", TO"), "")</f>
        <v/>
      </c>
      <c r="AN130" t="str">
        <f t="shared" ref="AN130:AN193" si="53">IF(AND(X130&gt;=0, X130&lt;1), "FG%", "") &amp; IF(AND(Y130&gt;=0, Y130&lt;1), IF(X130="", "FT%", ", FT%"), "") &amp; IF(AND(Z130&gt;=0, Z130&lt;1), IF(AND(X130="", Y130=""), "3PM", ", 3PM"), "") &amp; IF(AND(AA130&gt;=0, AA130&lt;1), IF(AND(X130="", Y130="", Z130=""), "PTS", ", PTS"), "") &amp; IF(AND(AB130&gt;=0, AB130&lt;1), IF(AND(X130="", Y130="", Z130="", AA130=""), "TREB", ", TREB"), "") &amp; IF(AND(AC130&gt;=0, AC130&lt;1), IF(AND(X130="", Y130="", Z130="", AA130="", AB130=""), "AST", ", AST"), "") &amp; IF(AND(AD130&gt;=0, AD130&lt;1), IF(AND(X130="", Y130="", Z130="", AA130="", AB130="", AC130=""), "STL", ", STL"), "") &amp; IF(AND(AE130&gt;=0, AE130&lt;1), IF(AND(X130="", Y130="", Z130="", AA130="", AB130="", AC130="", AD130=""), "BLK", ", BLK"), "") &amp; IF(AND(AF130&gt;=0, AF130&lt;1), IF(AND(X130="", Y130="", Z130="", AA130="", AB130="", AC130="", AD130="", AE130=""), "TO", ", TO"), "")</f>
        <v>, FT%, 3PM, AST, TO</v>
      </c>
      <c r="AO130" t="str">
        <f t="shared" ref="AO130:AO193" si="54">IF(X130&lt;0, "FG%", "") &amp; IF(Y130&lt;0, IF(X130="", "FT%", ", FT%"), "") &amp; IF(Z130&lt;0, IF(AND(X130="", Y130=""), "3PM", ", 3PM"), "") &amp; IF(AA130&lt;0, IF(AND(X130="", Y130="", Z130=""), "PTS", ", PTS"), "") &amp; IF(AB130&lt;0, IF(AND(X130="", Y130="", Z130="", AA130=""), "TREB", ", TREB"), "") &amp; IF(AC130&lt;0, IF(AND(X130="", Y130="", Z130="", AA130="", AB130=""), "AST", ", AST"), "") &amp; IF(AD130&lt;0, IF(AND(X130="", Y130="", Z130="", AA130="", AB130="", AC130=""), "STL", ", STL"), "") &amp; IF(AE130&lt;0, IF(AND(X130="", Y130="", Z130="", AA130="", AB130="", AC130="", AD130=""), "BLK", ", BLK"), "") &amp; IF(AF130&lt;0, IF(AND(X130="", Y130="", Z130="", AA130="", AB130="", AC130="", AD130="", AE130=""), "TO", ", TO"), "")</f>
        <v>FG%, PTS, TREB, STL, BLK</v>
      </c>
      <c r="AP130">
        <f>VLOOKUP(B130,'2025-2026 actuals'!B:Q,16,FALSE)</f>
        <v>86</v>
      </c>
      <c r="AQ130" s="7">
        <f t="shared" si="41"/>
        <v>-1.5102772014710422</v>
      </c>
      <c r="AR130">
        <f t="shared" si="42"/>
        <v>138</v>
      </c>
    </row>
    <row r="131" spans="1:44" ht="18">
      <c r="A131" s="3">
        <f t="shared" ref="A131:A194" si="55">C131</f>
        <v>123</v>
      </c>
      <c r="B131" s="41" t="s">
        <v>81</v>
      </c>
      <c r="C131" s="1">
        <f t="shared" ref="C131:C194" si="56">AR131</f>
        <v>123</v>
      </c>
      <c r="D131" s="1">
        <f t="shared" si="40"/>
        <v>80</v>
      </c>
      <c r="E131" s="1">
        <f>VLOOKUP(B131,'2026-2027 adp'!A:C,3,FALSE)</f>
        <v>108.1</v>
      </c>
      <c r="F131" s="1">
        <f t="shared" si="43"/>
        <v>-14.900000000000006</v>
      </c>
      <c r="G131" s="1"/>
      <c r="H131" s="22" t="s">
        <v>682</v>
      </c>
      <c r="I131" s="22" t="s">
        <v>683</v>
      </c>
      <c r="J131" s="42">
        <v>0.9</v>
      </c>
      <c r="K131" s="42">
        <v>16.2</v>
      </c>
      <c r="L131" s="42">
        <v>2.7</v>
      </c>
      <c r="M131" s="42">
        <v>2.2999999999999998</v>
      </c>
      <c r="N131" s="42">
        <v>0.9</v>
      </c>
      <c r="O131" s="42">
        <v>0.4</v>
      </c>
      <c r="P131" s="42">
        <v>1</v>
      </c>
      <c r="Q131" s="43">
        <v>0.15</v>
      </c>
      <c r="R131" s="42">
        <v>5.7</v>
      </c>
      <c r="S131" s="42">
        <v>11.5</v>
      </c>
      <c r="T131">
        <f t="shared" si="44"/>
        <v>0.4956521739130435</v>
      </c>
      <c r="U131" s="42">
        <v>3.8</v>
      </c>
      <c r="V131" s="42">
        <v>4.4000000000000004</v>
      </c>
      <c r="W131">
        <f t="shared" si="45"/>
        <v>0.86363636363636354</v>
      </c>
      <c r="X131" s="7">
        <f>IF(((T131 - '2026-2027 means'!E$2) / '2026-2027 means'!R$2) * (S131 / '2026-2027 means'!B$2) / 2 &lt; -2, -2, ((T131 - '2026-2027 means'!E$2) / '2026-2027 means'!R$2) * (S131 / '2026-2027 means'!B$2) / 2)</f>
        <v>0.27480759458896115</v>
      </c>
      <c r="Y131" s="11">
        <f>IF(((W131 - '2026-2027 means'!F$2) / '2026-2027 means'!S$2) * (V131 / '2026-2027 means'!D$2) &lt; -2, -2, ((W131 - '2026-2027 means'!F$2) / '2026-2027 means'!S$2) * (V131 / '2026-2027 means'!D$2))</f>
        <v>1.0512256281627668</v>
      </c>
      <c r="Z131" s="7">
        <f>(J131-'2026-2027 means'!G$2)/'2026-2027 means'!T$2</f>
        <v>-0.80717623054511067</v>
      </c>
      <c r="AA131" s="7">
        <f>(K131-'2026-2027 means'!H$2)/'2026-2027 means'!U$2</f>
        <v>5.7352079191538223E-2</v>
      </c>
      <c r="AB131" s="7">
        <f>(L131-'2026-2027 means'!I$2)/'2026-2027 means'!V$2</f>
        <v>-1.2425890222061617</v>
      </c>
      <c r="AC131" s="7">
        <f>(M131-'2026-2027 means'!J$2)/'2026-2027 means'!W$2</f>
        <v>-0.69664835431148175</v>
      </c>
      <c r="AD131" s="7">
        <f>(N131-'2026-2027 means'!K$2)/'2026-2027 means'!X$2</f>
        <v>-0.34169826646924195</v>
      </c>
      <c r="AE131" s="7">
        <f>(O131-'2026-2027 means'!L$2)/'2026-2027 means'!Y$2</f>
        <v>-0.56566001122390897</v>
      </c>
      <c r="AF131" s="7">
        <f>IF(((P131 - '2026-2027 means'!M$2) / '2026-2027 means'!Z$2 * -1) &lt; -2, -2, (P131 - '2026-2027 means'!M$2) / '2026-2027 means'!Z$2 * -1)</f>
        <v>1.1541650900454252</v>
      </c>
      <c r="AG131">
        <f t="shared" si="46"/>
        <v>1</v>
      </c>
      <c r="AH131">
        <f t="shared" si="47"/>
        <v>5</v>
      </c>
      <c r="AI131" s="8">
        <f t="shared" si="48"/>
        <v>0.2</v>
      </c>
      <c r="AJ131" s="8" t="e" vm="1">
        <f t="shared" ca="1" si="49"/>
        <v>#NAME?</v>
      </c>
      <c r="AK131" s="8" t="str">
        <f t="shared" si="50"/>
        <v>, 3PM, TREB, AST, STL, BLK</v>
      </c>
      <c r="AL131" t="str">
        <f t="shared" si="51"/>
        <v/>
      </c>
      <c r="AM131" t="str">
        <f t="shared" si="52"/>
        <v>, FT%, TO</v>
      </c>
      <c r="AN131" t="str">
        <f t="shared" si="53"/>
        <v>FG%, PTS</v>
      </c>
      <c r="AO131" t="str">
        <f t="shared" si="54"/>
        <v>, 3PM, TREB, AST, STL, BLK</v>
      </c>
      <c r="AP131">
        <f>VLOOKUP(B131,'2025-2026 actuals'!B:Q,16,FALSE)</f>
        <v>80</v>
      </c>
      <c r="AQ131" s="7">
        <f t="shared" si="41"/>
        <v>-1.1162214927672141</v>
      </c>
      <c r="AR131">
        <f t="shared" si="42"/>
        <v>123</v>
      </c>
    </row>
    <row r="132" spans="1:44" ht="18">
      <c r="A132" s="3">
        <f t="shared" si="55"/>
        <v>115</v>
      </c>
      <c r="B132" s="41" t="s">
        <v>125</v>
      </c>
      <c r="C132" s="1">
        <f t="shared" si="56"/>
        <v>115</v>
      </c>
      <c r="D132" s="1">
        <f t="shared" si="40"/>
        <v>148</v>
      </c>
      <c r="E132" s="1">
        <f>VLOOKUP(B132,'2026-2027 adp'!A:C,3,FALSE)</f>
        <v>114.1</v>
      </c>
      <c r="F132" s="1">
        <f t="shared" si="43"/>
        <v>-0.90000000000000568</v>
      </c>
      <c r="G132" s="1"/>
      <c r="H132" s="22" t="s">
        <v>684</v>
      </c>
      <c r="I132" s="22" t="s">
        <v>685</v>
      </c>
      <c r="J132" s="42">
        <v>2.5</v>
      </c>
      <c r="K132" s="42">
        <v>15.1</v>
      </c>
      <c r="L132" s="42">
        <v>4</v>
      </c>
      <c r="M132" s="42">
        <v>2.7</v>
      </c>
      <c r="N132" s="42">
        <v>1.1000000000000001</v>
      </c>
      <c r="O132" s="42">
        <v>0.4</v>
      </c>
      <c r="P132" s="42">
        <v>1.1000000000000001</v>
      </c>
      <c r="Q132" s="43">
        <v>0.14000000000000001</v>
      </c>
      <c r="R132" s="42">
        <v>5.5</v>
      </c>
      <c r="S132" s="42">
        <v>12.6</v>
      </c>
      <c r="T132">
        <f t="shared" si="44"/>
        <v>0.43650793650793651</v>
      </c>
      <c r="U132" s="42">
        <v>1.5</v>
      </c>
      <c r="V132" s="42">
        <v>1.9</v>
      </c>
      <c r="W132">
        <f t="shared" si="45"/>
        <v>0.78947368421052633</v>
      </c>
      <c r="X132" s="7">
        <f>IF(((T132 - '2026-2027 means'!E$2) / '2026-2027 means'!R$2) * (S132 / '2026-2027 means'!B$2) / 2 &lt; -2, -2, ((T132 - '2026-2027 means'!E$2) / '2026-2027 means'!R$2) * (S132 / '2026-2027 means'!B$2) / 2)</f>
        <v>-1.070898671998781</v>
      </c>
      <c r="Y132" s="11">
        <f>IF(((W132 - '2026-2027 means'!F$2) / '2026-2027 means'!S$2) * (V132 / '2026-2027 means'!D$2) &lt; -2, -2, ((W132 - '2026-2027 means'!F$2) / '2026-2027 means'!S$2) * (V132 / '2026-2027 means'!D$2))</f>
        <v>-3.5930164167566371E-2</v>
      </c>
      <c r="Z132" s="7">
        <f>(J132-'2026-2027 means'!G$2)/'2026-2027 means'!T$2</f>
        <v>0.87627302849060573</v>
      </c>
      <c r="AA132" s="7">
        <f>(K132-'2026-2027 means'!H$2)/'2026-2027 means'!U$2</f>
        <v>-0.15086704575507684</v>
      </c>
      <c r="AB132" s="7">
        <f>(L132-'2026-2027 means'!I$2)/'2026-2027 means'!V$2</f>
        <v>-0.70162182543430229</v>
      </c>
      <c r="AC132" s="7">
        <f>(M132-'2026-2027 means'!J$2)/'2026-2027 means'!W$2</f>
        <v>-0.49011985989170598</v>
      </c>
      <c r="AD132" s="7">
        <f>(N132-'2026-2027 means'!K$2)/'2026-2027 means'!X$2</f>
        <v>0.24532183233688692</v>
      </c>
      <c r="AE132" s="7">
        <f>(O132-'2026-2027 means'!L$2)/'2026-2027 means'!Y$2</f>
        <v>-0.56566001122390897</v>
      </c>
      <c r="AF132" s="7">
        <f>IF(((P132 - '2026-2027 means'!M$2) / '2026-2027 means'!Z$2 * -1) &lt; -2, -2, (P132 - '2026-2027 means'!M$2) / '2026-2027 means'!Z$2 * -1)</f>
        <v>1.0177020411635838</v>
      </c>
      <c r="AG132">
        <f t="shared" si="46"/>
        <v>0</v>
      </c>
      <c r="AH132">
        <f t="shared" si="47"/>
        <v>4</v>
      </c>
      <c r="AI132" s="8">
        <f t="shared" si="48"/>
        <v>0</v>
      </c>
      <c r="AJ132" s="8" t="e" vm="1">
        <f t="shared" ca="1" si="49"/>
        <v>#NAME?</v>
      </c>
      <c r="AK132" s="8" t="str">
        <f t="shared" si="50"/>
        <v>FG%, FT%, PTS, TREB, AST, BLK</v>
      </c>
      <c r="AL132" t="str">
        <f t="shared" si="51"/>
        <v/>
      </c>
      <c r="AM132" t="str">
        <f t="shared" si="52"/>
        <v>, TO</v>
      </c>
      <c r="AN132" t="str">
        <f t="shared" si="53"/>
        <v>, 3PM, STL</v>
      </c>
      <c r="AO132" t="str">
        <f t="shared" si="54"/>
        <v>FG%, FT%, PTS, TREB, AST, BLK</v>
      </c>
      <c r="AP132">
        <f>VLOOKUP(B132,'2025-2026 actuals'!B:Q,16,FALSE)</f>
        <v>148</v>
      </c>
      <c r="AQ132" s="7">
        <f t="shared" si="41"/>
        <v>-0.87580067648026505</v>
      </c>
      <c r="AR132">
        <f t="shared" si="42"/>
        <v>115</v>
      </c>
    </row>
    <row r="133" spans="1:44" ht="18">
      <c r="A133" s="3">
        <f t="shared" si="55"/>
        <v>108</v>
      </c>
      <c r="B133" s="41" t="s">
        <v>200</v>
      </c>
      <c r="C133" s="1">
        <f t="shared" si="56"/>
        <v>108</v>
      </c>
      <c r="D133" s="1">
        <f t="shared" si="40"/>
        <v>107</v>
      </c>
      <c r="E133" s="1">
        <f>VLOOKUP(B133,'2026-2027 adp'!A:C,3,FALSE)</f>
        <v>119.8</v>
      </c>
      <c r="F133" s="1">
        <f t="shared" si="43"/>
        <v>11.799999999999997</v>
      </c>
      <c r="G133" s="1"/>
      <c r="H133" s="22" t="s">
        <v>686</v>
      </c>
      <c r="I133" s="22" t="s">
        <v>687</v>
      </c>
      <c r="J133" s="42">
        <v>2</v>
      </c>
      <c r="K133" s="42">
        <v>16.7</v>
      </c>
      <c r="L133" s="42">
        <v>5.3</v>
      </c>
      <c r="M133" s="42">
        <v>2.4</v>
      </c>
      <c r="N133" s="42">
        <v>0.9</v>
      </c>
      <c r="O133" s="42">
        <v>0.1</v>
      </c>
      <c r="P133" s="42">
        <v>0.9</v>
      </c>
      <c r="Q133" s="43">
        <v>0.05</v>
      </c>
      <c r="R133" s="42">
        <v>5.7</v>
      </c>
      <c r="S133" s="42">
        <v>12.7</v>
      </c>
      <c r="T133">
        <f t="shared" si="44"/>
        <v>0.44881889763779531</v>
      </c>
      <c r="U133" s="42">
        <v>3.3</v>
      </c>
      <c r="V133" s="42">
        <v>3.9</v>
      </c>
      <c r="W133">
        <f t="shared" si="45"/>
        <v>0.84615384615384615</v>
      </c>
      <c r="X133" s="7">
        <f>IF(((T133 - '2026-2027 means'!E$2) / '2026-2027 means'!R$2) * (S133 / '2026-2027 means'!B$2) / 2 &lt; -2, -2, ((T133 - '2026-2027 means'!E$2) / '2026-2027 means'!R$2) * (S133 / '2026-2027 means'!B$2) / 2)</f>
        <v>-0.79154911961860019</v>
      </c>
      <c r="Y133" s="11">
        <f>IF(((W133 - '2026-2027 means'!F$2) / '2026-2027 means'!S$2) * (V133 / '2026-2027 means'!D$2) &lt; -2, -2, ((W133 - '2026-2027 means'!F$2) / '2026-2027 means'!S$2) * (V133 / '2026-2027 means'!D$2))</f>
        <v>0.6947350235130525</v>
      </c>
      <c r="Z133" s="7">
        <f>(J133-'2026-2027 means'!G$2)/'2026-2027 means'!T$2</f>
        <v>0.35019513504194433</v>
      </c>
      <c r="AA133" s="7">
        <f>(K133-'2026-2027 means'!H$2)/'2026-2027 means'!U$2</f>
        <v>0.1519971359854542</v>
      </c>
      <c r="AB133" s="7">
        <f>(L133-'2026-2027 means'!I$2)/'2026-2027 means'!V$2</f>
        <v>-0.1606546286624429</v>
      </c>
      <c r="AC133" s="7">
        <f>(M133-'2026-2027 means'!J$2)/'2026-2027 means'!W$2</f>
        <v>-0.64501623070653791</v>
      </c>
      <c r="AD133" s="7">
        <f>(N133-'2026-2027 means'!K$2)/'2026-2027 means'!X$2</f>
        <v>-0.34169826646924195</v>
      </c>
      <c r="AE133" s="7">
        <f>(O133-'2026-2027 means'!L$2)/'2026-2027 means'!Y$2</f>
        <v>-1.1747546304525105</v>
      </c>
      <c r="AF133" s="7">
        <f>IF(((P133 - '2026-2027 means'!M$2) / '2026-2027 means'!Z$2 * -1) &lt; -2, -2, (P133 - '2026-2027 means'!M$2) / '2026-2027 means'!Z$2 * -1)</f>
        <v>1.2906281389272667</v>
      </c>
      <c r="AG133">
        <f t="shared" si="46"/>
        <v>0</v>
      </c>
      <c r="AH133">
        <f t="shared" si="47"/>
        <v>4</v>
      </c>
      <c r="AI133" s="8">
        <f t="shared" si="48"/>
        <v>0</v>
      </c>
      <c r="AJ133" s="8" t="e" vm="1">
        <f t="shared" ca="1" si="49"/>
        <v>#NAME?</v>
      </c>
      <c r="AK133" s="8" t="str">
        <f t="shared" si="50"/>
        <v>FG%, TREB, AST, STL, BLK</v>
      </c>
      <c r="AL133" t="str">
        <f t="shared" si="51"/>
        <v/>
      </c>
      <c r="AM133" t="str">
        <f t="shared" si="52"/>
        <v>, TO</v>
      </c>
      <c r="AN133" t="str">
        <f t="shared" si="53"/>
        <v>, FT%, 3PM, PTS</v>
      </c>
      <c r="AO133" t="str">
        <f t="shared" si="54"/>
        <v>FG%, TREB, AST, STL, BLK</v>
      </c>
      <c r="AP133">
        <f>VLOOKUP(B133,'2025-2026 actuals'!B:Q,16,FALSE)</f>
        <v>107</v>
      </c>
      <c r="AQ133" s="7">
        <f t="shared" si="41"/>
        <v>-0.62611744244161582</v>
      </c>
      <c r="AR133">
        <f t="shared" si="42"/>
        <v>108</v>
      </c>
    </row>
    <row r="134" spans="1:44" ht="18">
      <c r="A134" s="3">
        <f t="shared" si="55"/>
        <v>102</v>
      </c>
      <c r="B134" s="41" t="s">
        <v>70</v>
      </c>
      <c r="C134" s="1">
        <f t="shared" si="56"/>
        <v>102</v>
      </c>
      <c r="D134" s="1" t="e">
        <f t="shared" si="40"/>
        <v>#N/A</v>
      </c>
      <c r="E134" s="1">
        <f>VLOOKUP(B134,'2026-2027 adp'!A:C,3,FALSE)</f>
        <v>117.2</v>
      </c>
      <c r="F134" s="1">
        <f t="shared" si="43"/>
        <v>15.200000000000003</v>
      </c>
      <c r="G134" s="1"/>
      <c r="H134" s="22" t="s">
        <v>688</v>
      </c>
      <c r="I134" s="22" t="s">
        <v>689</v>
      </c>
      <c r="J134" s="42">
        <v>2.4</v>
      </c>
      <c r="K134" s="42">
        <v>12.6</v>
      </c>
      <c r="L134" s="42">
        <v>3.3</v>
      </c>
      <c r="M134" s="42">
        <v>5</v>
      </c>
      <c r="N134" s="42">
        <v>1.4</v>
      </c>
      <c r="O134" s="42">
        <v>0.4</v>
      </c>
      <c r="P134" s="42">
        <v>1.3</v>
      </c>
      <c r="Q134" s="43">
        <v>0.03</v>
      </c>
      <c r="R134" s="42">
        <v>4.3</v>
      </c>
      <c r="S134" s="42">
        <v>11.3</v>
      </c>
      <c r="T134">
        <f t="shared" si="44"/>
        <v>0.38053097345132741</v>
      </c>
      <c r="U134" s="42">
        <v>1.7</v>
      </c>
      <c r="V134" s="42">
        <v>2</v>
      </c>
      <c r="W134">
        <f t="shared" si="45"/>
        <v>0.85</v>
      </c>
      <c r="X134" s="7">
        <f>IF(((T134 - '2026-2027 means'!E$2) / '2026-2027 means'!R$2) * (S134 / '2026-2027 means'!B$2) / 2 &lt; -2, -2, ((T134 - '2026-2027 means'!E$2) / '2026-2027 means'!R$2) * (S134 / '2026-2027 means'!B$2) / 2)</f>
        <v>-2</v>
      </c>
      <c r="Y134" s="11">
        <f>IF(((W134 - '2026-2027 means'!F$2) / '2026-2027 means'!S$2) * (V134 / '2026-2027 means'!D$2) &lt; -2, -2, ((W134 - '2026-2027 means'!F$2) / '2026-2027 means'!S$2) * (V134 / '2026-2027 means'!D$2))</f>
        <v>0.38301657222149776</v>
      </c>
      <c r="Z134" s="7">
        <f>(J134-'2026-2027 means'!G$2)/'2026-2027 means'!T$2</f>
        <v>0.77105744980087332</v>
      </c>
      <c r="AA134" s="7">
        <f>(K134-'2026-2027 means'!H$2)/'2026-2027 means'!U$2</f>
        <v>-0.62409232972465667</v>
      </c>
      <c r="AB134" s="7">
        <f>(L134-'2026-2027 means'!I$2)/'2026-2027 means'!V$2</f>
        <v>-0.99291185446530361</v>
      </c>
      <c r="AC134" s="7">
        <f>(M134-'2026-2027 means'!J$2)/'2026-2027 means'!W$2</f>
        <v>0.69741898302200378</v>
      </c>
      <c r="AD134" s="7">
        <f>(N134-'2026-2027 means'!K$2)/'2026-2027 means'!X$2</f>
        <v>1.1258519805460794</v>
      </c>
      <c r="AE134" s="7">
        <f>(O134-'2026-2027 means'!L$2)/'2026-2027 means'!Y$2</f>
        <v>-0.56566001122390897</v>
      </c>
      <c r="AF134" s="7">
        <f>IF(((P134 - '2026-2027 means'!M$2) / '2026-2027 means'!Z$2 * -1) &lt; -2, -2, (P134 - '2026-2027 means'!M$2) / '2026-2027 means'!Z$2 * -1)</f>
        <v>0.74477594339990116</v>
      </c>
      <c r="AG134">
        <f t="shared" si="46"/>
        <v>1</v>
      </c>
      <c r="AH134">
        <f t="shared" si="47"/>
        <v>4</v>
      </c>
      <c r="AI134" s="8">
        <f t="shared" si="48"/>
        <v>0.25</v>
      </c>
      <c r="AJ134" s="8" t="e" vm="1">
        <f t="shared" ca="1" si="49"/>
        <v>#NAME?</v>
      </c>
      <c r="AK134" s="8" t="str">
        <f t="shared" si="50"/>
        <v>FG%, PTS, TREB, BLK</v>
      </c>
      <c r="AL134" t="str">
        <f t="shared" si="51"/>
        <v/>
      </c>
      <c r="AM134" t="str">
        <f t="shared" si="52"/>
        <v>, STL</v>
      </c>
      <c r="AN134" t="str">
        <f t="shared" si="53"/>
        <v>, FT%, 3PM, AST, TO</v>
      </c>
      <c r="AO134" t="str">
        <f t="shared" si="54"/>
        <v>FG%, PTS, TREB, BLK</v>
      </c>
      <c r="AP134" t="e">
        <f>VLOOKUP(B134,'2025-2026 actuals'!B:Q,16,FALSE)</f>
        <v>#N/A</v>
      </c>
      <c r="AQ134" s="7">
        <f t="shared" si="41"/>
        <v>-0.46054326642351395</v>
      </c>
      <c r="AR134">
        <f t="shared" si="42"/>
        <v>102</v>
      </c>
    </row>
    <row r="135" spans="1:44" ht="18">
      <c r="A135" s="3">
        <f t="shared" si="55"/>
        <v>175</v>
      </c>
      <c r="B135" s="41" t="s">
        <v>153</v>
      </c>
      <c r="C135" s="1">
        <f t="shared" si="56"/>
        <v>175</v>
      </c>
      <c r="D135" s="1">
        <f t="shared" si="40"/>
        <v>106</v>
      </c>
      <c r="E135" s="1">
        <f>VLOOKUP(B135,'2026-2027 adp'!A:C,3,FALSE)</f>
        <v>113.4</v>
      </c>
      <c r="F135" s="1">
        <f t="shared" si="43"/>
        <v>-61.599999999999994</v>
      </c>
      <c r="G135" s="1"/>
      <c r="H135" s="22" t="s">
        <v>690</v>
      </c>
      <c r="I135" s="22" t="s">
        <v>691</v>
      </c>
      <c r="J135" s="42">
        <v>0.7</v>
      </c>
      <c r="K135" s="42">
        <v>11.2</v>
      </c>
      <c r="L135" s="42">
        <v>10.199999999999999</v>
      </c>
      <c r="M135" s="42">
        <v>3.9</v>
      </c>
      <c r="N135" s="42">
        <v>1.1000000000000001</v>
      </c>
      <c r="O135" s="42">
        <v>0.7</v>
      </c>
      <c r="P135" s="42">
        <v>2.5</v>
      </c>
      <c r="Q135" s="43">
        <v>0.02</v>
      </c>
      <c r="R135" s="42">
        <v>4.3</v>
      </c>
      <c r="S135" s="42">
        <v>8.8000000000000007</v>
      </c>
      <c r="T135">
        <f t="shared" si="44"/>
        <v>0.48863636363636359</v>
      </c>
      <c r="U135" s="42">
        <v>1.8</v>
      </c>
      <c r="V135" s="42">
        <v>3</v>
      </c>
      <c r="W135">
        <f t="shared" si="45"/>
        <v>0.6</v>
      </c>
      <c r="X135" s="7">
        <f>IF(((T135 - '2026-2027 means'!E$2) / '2026-2027 means'!R$2) * (S135 / '2026-2027 means'!B$2) / 2 &lt; -2, -2, ((T135 - '2026-2027 means'!E$2) / '2026-2027 means'!R$2) * (S135 / '2026-2027 means'!B$2) / 2)</f>
        <v>9.6621918273634963E-2</v>
      </c>
      <c r="Y135" s="11">
        <f>IF(((W135 - '2026-2027 means'!F$2) / '2026-2027 means'!S$2) * (V135 / '2026-2027 means'!D$2) &lt; -2, -2, ((W135 - '2026-2027 means'!F$2) / '2026-2027 means'!S$2) * (V135 / '2026-2027 means'!D$2))</f>
        <v>-2</v>
      </c>
      <c r="Z135" s="7">
        <f>(J135-'2026-2027 means'!G$2)/'2026-2027 means'!T$2</f>
        <v>-1.0176073879245753</v>
      </c>
      <c r="AA135" s="7">
        <f>(K135-'2026-2027 means'!H$2)/'2026-2027 means'!U$2</f>
        <v>-0.88909848874762143</v>
      </c>
      <c r="AB135" s="7">
        <f>(L135-'2026-2027 means'!I$2)/'2026-2027 means'!V$2</f>
        <v>1.8783755745545658</v>
      </c>
      <c r="AC135" s="7">
        <f>(M135-'2026-2027 means'!J$2)/'2026-2027 means'!W$2</f>
        <v>0.12946562336762074</v>
      </c>
      <c r="AD135" s="7">
        <f>(N135-'2026-2027 means'!K$2)/'2026-2027 means'!X$2</f>
        <v>0.24532183233688692</v>
      </c>
      <c r="AE135" s="7">
        <f>(O135-'2026-2027 means'!L$2)/'2026-2027 means'!Y$2</f>
        <v>4.3434608004692253E-2</v>
      </c>
      <c r="AF135" s="7">
        <f>IF(((P135 - '2026-2027 means'!M$2) / '2026-2027 means'!Z$2 * -1) &lt; -2, -2, (P135 - '2026-2027 means'!M$2) / '2026-2027 means'!Z$2 * -1)</f>
        <v>-0.89278064318219519</v>
      </c>
      <c r="AG135">
        <f t="shared" si="46"/>
        <v>1</v>
      </c>
      <c r="AH135">
        <f t="shared" si="47"/>
        <v>3</v>
      </c>
      <c r="AI135" s="8">
        <f t="shared" si="48"/>
        <v>0.33333333333333331</v>
      </c>
      <c r="AJ135" s="8" t="e" vm="1">
        <f t="shared" ca="1" si="49"/>
        <v>#NAME?</v>
      </c>
      <c r="AK135" s="8" t="str">
        <f t="shared" si="50"/>
        <v>, FT%, 3PM, PTS, TO</v>
      </c>
      <c r="AL135" t="str">
        <f t="shared" si="51"/>
        <v/>
      </c>
      <c r="AM135" t="str">
        <f t="shared" si="52"/>
        <v>, TREB</v>
      </c>
      <c r="AN135" t="str">
        <f t="shared" si="53"/>
        <v>FG%, AST, STL, BLK</v>
      </c>
      <c r="AO135" t="str">
        <f t="shared" si="54"/>
        <v>, FT%, 3PM, PTS, TO</v>
      </c>
      <c r="AP135">
        <f>VLOOKUP(B135,'2025-2026 actuals'!B:Q,16,FALSE)</f>
        <v>106</v>
      </c>
      <c r="AQ135" s="7">
        <f t="shared" si="41"/>
        <v>-2.4062669633169911</v>
      </c>
      <c r="AR135">
        <f t="shared" si="42"/>
        <v>175</v>
      </c>
    </row>
    <row r="136" spans="1:44" ht="18">
      <c r="A136" s="3">
        <f t="shared" si="55"/>
        <v>117</v>
      </c>
      <c r="B136" s="41" t="s">
        <v>181</v>
      </c>
      <c r="C136" s="1">
        <f t="shared" si="56"/>
        <v>117</v>
      </c>
      <c r="D136" s="1">
        <f t="shared" si="40"/>
        <v>195</v>
      </c>
      <c r="E136" s="1">
        <f>VLOOKUP(B136,'2026-2027 adp'!A:C,3,FALSE)</f>
        <v>110.4</v>
      </c>
      <c r="F136" s="1">
        <f t="shared" si="43"/>
        <v>-6.5999999999999943</v>
      </c>
      <c r="G136" s="1"/>
      <c r="H136" s="22" t="s">
        <v>692</v>
      </c>
      <c r="I136" s="22" t="s">
        <v>693</v>
      </c>
      <c r="J136" s="42">
        <v>2.4</v>
      </c>
      <c r="K136" s="42">
        <v>14.5</v>
      </c>
      <c r="L136" s="42">
        <v>4.5999999999999996</v>
      </c>
      <c r="M136" s="42">
        <v>1.8</v>
      </c>
      <c r="N136" s="42">
        <v>0.8</v>
      </c>
      <c r="O136" s="42">
        <v>0.5</v>
      </c>
      <c r="P136" s="42">
        <v>1.3</v>
      </c>
      <c r="Q136" s="43">
        <v>-0.02</v>
      </c>
      <c r="R136" s="42">
        <v>5.0999999999999996</v>
      </c>
      <c r="S136" s="42">
        <v>11.1</v>
      </c>
      <c r="T136">
        <f t="shared" si="44"/>
        <v>0.45945945945945943</v>
      </c>
      <c r="U136" s="42">
        <v>2.1</v>
      </c>
      <c r="V136" s="42">
        <v>2.4</v>
      </c>
      <c r="W136">
        <f t="shared" si="45"/>
        <v>0.87500000000000011</v>
      </c>
      <c r="X136" s="7">
        <f>IF(((T136 - '2026-2027 means'!E$2) / '2026-2027 means'!R$2) * (S136 / '2026-2027 means'!B$2) / 2 &lt; -2, -2, ((T136 - '2026-2027 means'!E$2) / '2026-2027 means'!R$2) * (S136 / '2026-2027 means'!B$2) / 2)</f>
        <v>-0.47437800303428357</v>
      </c>
      <c r="Y136" s="11">
        <f>IF(((W136 - '2026-2027 means'!F$2) / '2026-2027 means'!S$2) * (V136 / '2026-2027 means'!D$2) &lt; -2, -2, ((W136 - '2026-2027 means'!F$2) / '2026-2027 means'!S$2) * (V136 / '2026-2027 means'!D$2))</f>
        <v>0.66820905594127111</v>
      </c>
      <c r="Z136" s="7">
        <f>(J136-'2026-2027 means'!G$2)/'2026-2027 means'!T$2</f>
        <v>0.77105744980087332</v>
      </c>
      <c r="AA136" s="7">
        <f>(K136-'2026-2027 means'!H$2)/'2026-2027 means'!U$2</f>
        <v>-0.26444111390777592</v>
      </c>
      <c r="AB136" s="7">
        <f>(L136-'2026-2027 means'!I$2)/'2026-2027 means'!V$2</f>
        <v>-0.45194465769344422</v>
      </c>
      <c r="AC136" s="7">
        <f>(M136-'2026-2027 means'!J$2)/'2026-2027 means'!W$2</f>
        <v>-0.95480897233620121</v>
      </c>
      <c r="AD136" s="7">
        <f>(N136-'2026-2027 means'!K$2)/'2026-2027 means'!X$2</f>
        <v>-0.6352083158723062</v>
      </c>
      <c r="AE136" s="7">
        <f>(O136-'2026-2027 means'!L$2)/'2026-2027 means'!Y$2</f>
        <v>-0.36262847148104194</v>
      </c>
      <c r="AF136" s="7">
        <f>IF(((P136 - '2026-2027 means'!M$2) / '2026-2027 means'!Z$2 * -1) &lt; -2, -2, (P136 - '2026-2027 means'!M$2) / '2026-2027 means'!Z$2 * -1)</f>
        <v>0.74477594339990116</v>
      </c>
      <c r="AG136">
        <f t="shared" si="46"/>
        <v>0</v>
      </c>
      <c r="AH136">
        <f t="shared" si="47"/>
        <v>6</v>
      </c>
      <c r="AI136" s="8">
        <f t="shared" si="48"/>
        <v>0</v>
      </c>
      <c r="AJ136" s="8" t="e" vm="1">
        <f t="shared" ca="1" si="49"/>
        <v>#NAME?</v>
      </c>
      <c r="AK136" s="8" t="str">
        <f t="shared" si="50"/>
        <v>FG%, PTS, TREB, AST, STL, BLK</v>
      </c>
      <c r="AL136" t="str">
        <f t="shared" si="51"/>
        <v/>
      </c>
      <c r="AM136" t="str">
        <f t="shared" si="52"/>
        <v/>
      </c>
      <c r="AN136" t="str">
        <f t="shared" si="53"/>
        <v>, FT%, 3PM, TO</v>
      </c>
      <c r="AO136" t="str">
        <f t="shared" si="54"/>
        <v>FG%, PTS, TREB, AST, STL, BLK</v>
      </c>
      <c r="AP136">
        <f>VLOOKUP(B136,'2025-2026 actuals'!B:Q,16,FALSE)</f>
        <v>195</v>
      </c>
      <c r="AQ136" s="7">
        <f t="shared" si="41"/>
        <v>-0.95936708518300728</v>
      </c>
      <c r="AR136">
        <f t="shared" si="42"/>
        <v>117</v>
      </c>
    </row>
    <row r="137" spans="1:44" ht="18">
      <c r="A137" s="3">
        <f t="shared" si="55"/>
        <v>133</v>
      </c>
      <c r="B137" s="41" t="s">
        <v>94</v>
      </c>
      <c r="C137" s="1">
        <f t="shared" si="56"/>
        <v>133</v>
      </c>
      <c r="D137" s="1">
        <f t="shared" si="40"/>
        <v>117</v>
      </c>
      <c r="E137" s="1">
        <f>VLOOKUP(B137,'2026-2027 adp'!A:C,3,FALSE)</f>
        <v>109.1</v>
      </c>
      <c r="F137" s="1">
        <f t="shared" si="43"/>
        <v>-23.900000000000006</v>
      </c>
      <c r="G137" s="1"/>
      <c r="H137" s="22" t="s">
        <v>695</v>
      </c>
      <c r="I137" s="22" t="s">
        <v>696</v>
      </c>
      <c r="J137" s="42">
        <v>2.7</v>
      </c>
      <c r="K137" s="42">
        <v>19.3</v>
      </c>
      <c r="L137" s="42">
        <v>3.4</v>
      </c>
      <c r="M137" s="42">
        <v>3.9</v>
      </c>
      <c r="N137" s="42">
        <v>0.8</v>
      </c>
      <c r="O137" s="42">
        <v>0.4</v>
      </c>
      <c r="P137" s="42">
        <v>1.8</v>
      </c>
      <c r="Q137" s="43">
        <v>-0.08</v>
      </c>
      <c r="R137" s="42">
        <v>7.2</v>
      </c>
      <c r="S137" s="42">
        <v>15.9</v>
      </c>
      <c r="T137">
        <f t="shared" si="44"/>
        <v>0.45283018867924529</v>
      </c>
      <c r="U137" s="42">
        <v>2.2999999999999998</v>
      </c>
      <c r="V137" s="42">
        <v>3</v>
      </c>
      <c r="W137">
        <f t="shared" si="45"/>
        <v>0.76666666666666661</v>
      </c>
      <c r="X137" s="7">
        <f>IF(((T137 - '2026-2027 means'!E$2) / '2026-2027 means'!R$2) * (S137 / '2026-2027 means'!B$2) / 2 &lt; -2, -2, ((T137 - '2026-2027 means'!E$2) / '2026-2027 means'!R$2) * (S137 / '2026-2027 means'!B$2) / 2)</f>
        <v>-0.87357243494102133</v>
      </c>
      <c r="Y137" s="11">
        <f>IF(((W137 - '2026-2027 means'!F$2) / '2026-2027 means'!S$2) * (V137 / '2026-2027 means'!D$2) &lt; -2, -2, ((W137 - '2026-2027 means'!F$2) / '2026-2027 means'!S$2) * (V137 / '2026-2027 means'!D$2))</f>
        <v>-0.29459668031555697</v>
      </c>
      <c r="Z137" s="7">
        <f>(J137-'2026-2027 means'!G$2)/'2026-2027 means'!T$2</f>
        <v>1.0867041858700703</v>
      </c>
      <c r="AA137" s="7">
        <f>(K137-'2026-2027 means'!H$2)/'2026-2027 means'!U$2</f>
        <v>0.64415143131381747</v>
      </c>
      <c r="AB137" s="7">
        <f>(L137-'2026-2027 means'!I$2)/'2026-2027 means'!V$2</f>
        <v>-0.95129899317516053</v>
      </c>
      <c r="AC137" s="7">
        <f>(M137-'2026-2027 means'!J$2)/'2026-2027 means'!W$2</f>
        <v>0.12946562336762074</v>
      </c>
      <c r="AD137" s="7">
        <f>(N137-'2026-2027 means'!K$2)/'2026-2027 means'!X$2</f>
        <v>-0.6352083158723062</v>
      </c>
      <c r="AE137" s="7">
        <f>(O137-'2026-2027 means'!L$2)/'2026-2027 means'!Y$2</f>
        <v>-0.56566001122390897</v>
      </c>
      <c r="AF137" s="7">
        <f>IF(((P137 - '2026-2027 means'!M$2) / '2026-2027 means'!Z$2 * -1) &lt; -2, -2, (P137 - '2026-2027 means'!M$2) / '2026-2027 means'!Z$2 * -1)</f>
        <v>6.2460698990694306E-2</v>
      </c>
      <c r="AG137">
        <f t="shared" si="46"/>
        <v>1</v>
      </c>
      <c r="AH137">
        <f t="shared" si="47"/>
        <v>5</v>
      </c>
      <c r="AI137" s="8">
        <f t="shared" si="48"/>
        <v>0.2</v>
      </c>
      <c r="AJ137" s="8" t="e" vm="1">
        <f t="shared" ca="1" si="49"/>
        <v>#NAME?</v>
      </c>
      <c r="AK137" s="8" t="str">
        <f t="shared" si="50"/>
        <v>FG%, FT%, TREB, STL, BLK</v>
      </c>
      <c r="AL137" t="str">
        <f t="shared" si="51"/>
        <v/>
      </c>
      <c r="AM137" t="str">
        <f t="shared" si="52"/>
        <v>, 3PM</v>
      </c>
      <c r="AN137" t="str">
        <f t="shared" si="53"/>
        <v>, PTS, AST, TO</v>
      </c>
      <c r="AO137" t="str">
        <f t="shared" si="54"/>
        <v>FG%, FT%, TREB, STL, BLK</v>
      </c>
      <c r="AP137">
        <f>VLOOKUP(B137,'2025-2026 actuals'!B:Q,16,FALSE)</f>
        <v>117</v>
      </c>
      <c r="AQ137" s="7">
        <f t="shared" si="41"/>
        <v>-1.3975544959857511</v>
      </c>
      <c r="AR137">
        <f t="shared" si="42"/>
        <v>133</v>
      </c>
    </row>
    <row r="138" spans="1:44" ht="18">
      <c r="A138" s="3">
        <f t="shared" si="55"/>
        <v>148</v>
      </c>
      <c r="B138" s="41" t="s">
        <v>241</v>
      </c>
      <c r="C138" s="1">
        <f t="shared" si="56"/>
        <v>148</v>
      </c>
      <c r="D138" s="1">
        <f t="shared" si="40"/>
        <v>101</v>
      </c>
      <c r="E138" s="1">
        <f>VLOOKUP(B138,'2026-2027 adp'!A:C,3,FALSE)</f>
        <v>115.4</v>
      </c>
      <c r="F138" s="1">
        <f t="shared" si="43"/>
        <v>-32.599999999999994</v>
      </c>
      <c r="G138" s="1"/>
      <c r="H138" s="22" t="s">
        <v>697</v>
      </c>
      <c r="I138" s="22" t="s">
        <v>698</v>
      </c>
      <c r="J138" s="42">
        <v>1.3</v>
      </c>
      <c r="K138" s="42">
        <v>13.6</v>
      </c>
      <c r="L138" s="42">
        <v>3.2</v>
      </c>
      <c r="M138" s="42">
        <v>6.4</v>
      </c>
      <c r="N138" s="42">
        <v>1.1000000000000001</v>
      </c>
      <c r="O138" s="42">
        <v>0.2</v>
      </c>
      <c r="P138" s="42">
        <v>2.1</v>
      </c>
      <c r="Q138" s="43">
        <v>-0.16</v>
      </c>
      <c r="R138" s="42">
        <v>4.9000000000000004</v>
      </c>
      <c r="S138" s="42">
        <v>10.8</v>
      </c>
      <c r="T138">
        <f t="shared" si="44"/>
        <v>0.45370370370370372</v>
      </c>
      <c r="U138" s="42">
        <v>2.5</v>
      </c>
      <c r="V138" s="42">
        <v>3.1</v>
      </c>
      <c r="W138">
        <f t="shared" si="45"/>
        <v>0.80645161290322576</v>
      </c>
      <c r="X138" s="7">
        <f>IF(((T138 - '2026-2027 means'!E$2) / '2026-2027 means'!R$2) * (S138 / '2026-2027 means'!B$2) / 2 &lt; -2, -2, ((T138 - '2026-2027 means'!E$2) / '2026-2027 means'!R$2) * (S138 / '2026-2027 means'!B$2) / 2)</f>
        <v>-0.57600143637986922</v>
      </c>
      <c r="Y138" s="11">
        <f>IF(((W138 - '2026-2027 means'!F$2) / '2026-2027 means'!S$2) * (V138 / '2026-2027 means'!D$2) &lt; -2, -2, ((W138 - '2026-2027 means'!F$2) / '2026-2027 means'!S$2) * (V138 / '2026-2027 means'!D$2))</f>
        <v>0.12435005607350751</v>
      </c>
      <c r="Z138" s="7">
        <f>(J138-'2026-2027 means'!G$2)/'2026-2027 means'!T$2</f>
        <v>-0.38631391578618157</v>
      </c>
      <c r="AA138" s="7">
        <f>(K138-'2026-2027 means'!H$2)/'2026-2027 means'!U$2</f>
        <v>-0.43480221613682474</v>
      </c>
      <c r="AB138" s="7">
        <f>(L138-'2026-2027 means'!I$2)/'2026-2027 means'!V$2</f>
        <v>-1.0345247157554465</v>
      </c>
      <c r="AC138" s="7">
        <f>(M138-'2026-2027 means'!J$2)/'2026-2027 means'!W$2</f>
        <v>1.4202687134912186</v>
      </c>
      <c r="AD138" s="7">
        <f>(N138-'2026-2027 means'!K$2)/'2026-2027 means'!X$2</f>
        <v>0.24532183233688692</v>
      </c>
      <c r="AE138" s="7">
        <f>(O138-'2026-2027 means'!L$2)/'2026-2027 means'!Y$2</f>
        <v>-0.97172309070964324</v>
      </c>
      <c r="AF138" s="7">
        <f>IF(((P138 - '2026-2027 means'!M$2) / '2026-2027 means'!Z$2 * -1) &lt; -2, -2, (P138 - '2026-2027 means'!M$2) / '2026-2027 means'!Z$2 * -1)</f>
        <v>-0.34692844765482989</v>
      </c>
      <c r="AG138">
        <f t="shared" si="46"/>
        <v>1</v>
      </c>
      <c r="AH138">
        <f t="shared" si="47"/>
        <v>5</v>
      </c>
      <c r="AI138" s="8">
        <f t="shared" si="48"/>
        <v>0.2</v>
      </c>
      <c r="AJ138" s="8" t="e" vm="1">
        <f t="shared" ca="1" si="49"/>
        <v>#NAME?</v>
      </c>
      <c r="AK138" s="8" t="str">
        <f t="shared" si="50"/>
        <v>FG%, 3PM, PTS, TREB, BLK, TO</v>
      </c>
      <c r="AL138" t="str">
        <f t="shared" si="51"/>
        <v/>
      </c>
      <c r="AM138" t="str">
        <f t="shared" si="52"/>
        <v>, AST</v>
      </c>
      <c r="AN138" t="str">
        <f t="shared" si="53"/>
        <v>, FT%, STL</v>
      </c>
      <c r="AO138" t="str">
        <f t="shared" si="54"/>
        <v>FG%, 3PM, PTS, TREB, BLK, TO</v>
      </c>
      <c r="AP138">
        <f>VLOOKUP(B138,'2025-2026 actuals'!B:Q,16,FALSE)</f>
        <v>101</v>
      </c>
      <c r="AQ138" s="7">
        <f t="shared" si="41"/>
        <v>-1.9603532205211822</v>
      </c>
      <c r="AR138">
        <f t="shared" si="42"/>
        <v>148</v>
      </c>
    </row>
    <row r="139" spans="1:44" ht="18">
      <c r="A139" s="3">
        <f t="shared" si="55"/>
        <v>127</v>
      </c>
      <c r="B139" s="41" t="s">
        <v>161</v>
      </c>
      <c r="C139" s="1">
        <f t="shared" si="56"/>
        <v>127</v>
      </c>
      <c r="D139" s="1">
        <f t="shared" si="40"/>
        <v>128</v>
      </c>
      <c r="E139" s="1">
        <f>VLOOKUP(B139,'2026-2027 adp'!A:C,3,FALSE)</f>
        <v>140</v>
      </c>
      <c r="F139" s="1">
        <f t="shared" si="43"/>
        <v>13</v>
      </c>
      <c r="G139" s="1"/>
      <c r="H139" s="22" t="s">
        <v>699</v>
      </c>
      <c r="I139" s="22" t="s">
        <v>700</v>
      </c>
      <c r="J139" s="42">
        <v>0.1</v>
      </c>
      <c r="K139" s="42">
        <v>6.5</v>
      </c>
      <c r="L139" s="42">
        <v>6.8</v>
      </c>
      <c r="M139" s="42">
        <v>1</v>
      </c>
      <c r="N139" s="42">
        <v>0.6</v>
      </c>
      <c r="O139" s="42">
        <v>1.5</v>
      </c>
      <c r="P139" s="42">
        <v>0.8</v>
      </c>
      <c r="Q139" s="43">
        <v>-0.18</v>
      </c>
      <c r="R139" s="42">
        <v>2.9</v>
      </c>
      <c r="S139" s="42">
        <v>4.2</v>
      </c>
      <c r="T139">
        <f t="shared" si="44"/>
        <v>0.69047619047619047</v>
      </c>
      <c r="U139" s="42">
        <v>0.6</v>
      </c>
      <c r="V139" s="42">
        <v>0.9</v>
      </c>
      <c r="W139">
        <f t="shared" si="45"/>
        <v>0.66666666666666663</v>
      </c>
      <c r="X139" s="7">
        <f>IF(((T139 - '2026-2027 means'!E$2) / '2026-2027 means'!R$2) * (S139 / '2026-2027 means'!B$2) / 2 &lt; -2, -2, ((T139 - '2026-2027 means'!E$2) / '2026-2027 means'!R$2) * (S139 / '2026-2027 means'!B$2) / 2)</f>
        <v>1.6068343727869498</v>
      </c>
      <c r="Y139" s="11">
        <f>IF(((W139 - '2026-2027 means'!F$2) / '2026-2027 means'!S$2) * (V139 / '2026-2027 means'!D$2) &lt; -2, -2, ((W139 - '2026-2027 means'!F$2) / '2026-2027 means'!S$2) * (V139 / '2026-2027 means'!D$2))</f>
        <v>-0.4012627580078762</v>
      </c>
      <c r="Z139" s="7">
        <f>(J139-'2026-2027 means'!G$2)/'2026-2027 means'!T$2</f>
        <v>-1.6489008600629689</v>
      </c>
      <c r="AA139" s="7">
        <f>(K139-'2026-2027 means'!H$2)/'2026-2027 means'!U$2</f>
        <v>-1.7787620226104315</v>
      </c>
      <c r="AB139" s="7">
        <f>(L139-'2026-2027 means'!I$2)/'2026-2027 means'!V$2</f>
        <v>0.46353829068970265</v>
      </c>
      <c r="AC139" s="7">
        <f>(M139-'2026-2027 means'!J$2)/'2026-2027 means'!W$2</f>
        <v>-1.3678659611757524</v>
      </c>
      <c r="AD139" s="7">
        <f>(N139-'2026-2027 means'!K$2)/'2026-2027 means'!X$2</f>
        <v>-1.222228414678435</v>
      </c>
      <c r="AE139" s="7">
        <f>(O139-'2026-2027 means'!L$2)/'2026-2027 means'!Y$2</f>
        <v>1.6676869259476295</v>
      </c>
      <c r="AF139" s="7">
        <f>IF(((P139 - '2026-2027 means'!M$2) / '2026-2027 means'!Z$2 * -1) &lt; -2, -2, (P139 - '2026-2027 means'!M$2) / '2026-2027 means'!Z$2 * -1)</f>
        <v>1.4270911878091079</v>
      </c>
      <c r="AG139">
        <f t="shared" si="46"/>
        <v>2</v>
      </c>
      <c r="AH139">
        <f t="shared" si="47"/>
        <v>5</v>
      </c>
      <c r="AI139" s="8">
        <f t="shared" si="48"/>
        <v>0.4</v>
      </c>
      <c r="AJ139" s="8" t="e" vm="1">
        <f t="shared" ca="1" si="49"/>
        <v>#NAME?</v>
      </c>
      <c r="AK139" s="8" t="str">
        <f t="shared" si="50"/>
        <v>, FT%, 3PM, PTS, AST, STL</v>
      </c>
      <c r="AL139" t="str">
        <f t="shared" si="51"/>
        <v/>
      </c>
      <c r="AM139" t="str">
        <f t="shared" si="52"/>
        <v>FG%, BLK, TO</v>
      </c>
      <c r="AN139" t="str">
        <f t="shared" si="53"/>
        <v>, TREB</v>
      </c>
      <c r="AO139" t="str">
        <f t="shared" si="54"/>
        <v>, FT%, 3PM, PTS, AST, STL</v>
      </c>
      <c r="AP139">
        <f>VLOOKUP(B139,'2025-2026 actuals'!B:Q,16,FALSE)</f>
        <v>128</v>
      </c>
      <c r="AQ139" s="7">
        <f t="shared" si="41"/>
        <v>-1.2538692393020747</v>
      </c>
      <c r="AR139">
        <f t="shared" si="42"/>
        <v>127</v>
      </c>
    </row>
    <row r="140" spans="1:44" ht="18">
      <c r="A140" s="3">
        <f t="shared" si="55"/>
        <v>176</v>
      </c>
      <c r="B140" s="41" t="s">
        <v>831</v>
      </c>
      <c r="C140" s="1">
        <f t="shared" si="56"/>
        <v>176</v>
      </c>
      <c r="D140" s="1" t="e">
        <f t="shared" si="40"/>
        <v>#N/A</v>
      </c>
      <c r="E140" s="1">
        <f>VLOOKUP(B140,'2026-2027 adp'!A:C,3,FALSE)</f>
        <v>118.3</v>
      </c>
      <c r="F140" s="1">
        <f t="shared" si="43"/>
        <v>-57.7</v>
      </c>
      <c r="G140" s="1"/>
      <c r="H140" s="22" t="s">
        <v>701</v>
      </c>
      <c r="I140" s="22" t="s">
        <v>702</v>
      </c>
      <c r="J140" s="42">
        <v>2.6</v>
      </c>
      <c r="K140" s="42">
        <v>13.2</v>
      </c>
      <c r="L140" s="42">
        <v>3.7</v>
      </c>
      <c r="M140" s="42">
        <v>4</v>
      </c>
      <c r="N140" s="42">
        <v>1</v>
      </c>
      <c r="O140" s="42">
        <v>0.4</v>
      </c>
      <c r="P140" s="42">
        <v>2.1</v>
      </c>
      <c r="Q140" s="43">
        <v>-0.19</v>
      </c>
      <c r="R140" s="42">
        <v>4.5999999999999996</v>
      </c>
      <c r="S140" s="42">
        <v>11.1</v>
      </c>
      <c r="T140">
        <f t="shared" si="44"/>
        <v>0.4144144144144144</v>
      </c>
      <c r="U140" s="42">
        <v>1.3</v>
      </c>
      <c r="V140" s="42">
        <v>1.6</v>
      </c>
      <c r="W140">
        <f t="shared" si="45"/>
        <v>0.8125</v>
      </c>
      <c r="X140" s="7">
        <f>IF(((T140 - '2026-2027 means'!E$2) / '2026-2027 means'!R$2) * (S140 / '2026-2027 means'!B$2) / 2 &lt; -2, -2, ((T140 - '2026-2027 means'!E$2) / '2026-2027 means'!R$2) * (S140 / '2026-2027 means'!B$2) / 2)</f>
        <v>-1.3949095327779755</v>
      </c>
      <c r="Y140" s="11">
        <f>IF(((W140 - '2026-2027 means'!F$2) / '2026-2027 means'!S$2) * (V140 / '2026-2027 means'!D$2) &lt; -2, -2, ((W140 - '2026-2027 means'!F$2) / '2026-2027 means'!S$2) * (V140 / '2026-2027 means'!D$2))</f>
        <v>9.7824088501725567E-2</v>
      </c>
      <c r="Z140" s="7">
        <f>(J140-'2026-2027 means'!G$2)/'2026-2027 means'!T$2</f>
        <v>0.98148860718033804</v>
      </c>
      <c r="AA140" s="7">
        <f>(K140-'2026-2027 means'!H$2)/'2026-2027 means'!U$2</f>
        <v>-0.51051826157195757</v>
      </c>
      <c r="AB140" s="7">
        <f>(L140-'2026-2027 means'!I$2)/'2026-2027 means'!V$2</f>
        <v>-0.8264604093047313</v>
      </c>
      <c r="AC140" s="7">
        <f>(M140-'2026-2027 means'!J$2)/'2026-2027 means'!W$2</f>
        <v>0.18109774697256467</v>
      </c>
      <c r="AD140" s="7">
        <f>(N140-'2026-2027 means'!K$2)/'2026-2027 means'!X$2</f>
        <v>-4.818821706617768E-2</v>
      </c>
      <c r="AE140" s="7">
        <f>(O140-'2026-2027 means'!L$2)/'2026-2027 means'!Y$2</f>
        <v>-0.56566001122390897</v>
      </c>
      <c r="AF140" s="7">
        <f>IF(((P140 - '2026-2027 means'!M$2) / '2026-2027 means'!Z$2 * -1) &lt; -2, -2, (P140 - '2026-2027 means'!M$2) / '2026-2027 means'!Z$2 * -1)</f>
        <v>-0.34692844765482989</v>
      </c>
      <c r="AG140">
        <f t="shared" si="46"/>
        <v>0</v>
      </c>
      <c r="AH140">
        <f t="shared" si="47"/>
        <v>4</v>
      </c>
      <c r="AI140" s="8">
        <f t="shared" si="48"/>
        <v>0</v>
      </c>
      <c r="AJ140" s="8" t="e" vm="1">
        <f t="shared" ca="1" si="49"/>
        <v>#NAME?</v>
      </c>
      <c r="AK140" s="8" t="str">
        <f t="shared" si="50"/>
        <v>FG%, PTS, TREB, STL, BLK, TO</v>
      </c>
      <c r="AL140" t="str">
        <f t="shared" si="51"/>
        <v/>
      </c>
      <c r="AM140" t="str">
        <f t="shared" si="52"/>
        <v/>
      </c>
      <c r="AN140" t="str">
        <f t="shared" si="53"/>
        <v>, FT%, 3PM, AST</v>
      </c>
      <c r="AO140" t="str">
        <f t="shared" si="54"/>
        <v>FG%, PTS, TREB, STL, BLK, TO</v>
      </c>
      <c r="AP140" t="e">
        <f>VLOOKUP(B140,'2025-2026 actuals'!B:Q,16,FALSE)</f>
        <v>#N/A</v>
      </c>
      <c r="AQ140" s="7">
        <f t="shared" si="41"/>
        <v>-2.4322544369449521</v>
      </c>
      <c r="AR140">
        <f t="shared" si="42"/>
        <v>176</v>
      </c>
    </row>
    <row r="141" spans="1:44" ht="18">
      <c r="A141" s="3">
        <f t="shared" si="55"/>
        <v>135</v>
      </c>
      <c r="B141" s="41" t="s">
        <v>299</v>
      </c>
      <c r="C141" s="1">
        <f t="shared" si="56"/>
        <v>135</v>
      </c>
      <c r="D141" s="1">
        <f t="shared" si="40"/>
        <v>110</v>
      </c>
      <c r="E141" s="1">
        <f>VLOOKUP(B141,'2026-2027 adp'!A:C,3,FALSE)</f>
        <v>115.7</v>
      </c>
      <c r="F141" s="1">
        <f t="shared" si="43"/>
        <v>-19.299999999999997</v>
      </c>
      <c r="G141" s="1"/>
      <c r="H141" s="22" t="s">
        <v>703</v>
      </c>
      <c r="I141" s="22" t="s">
        <v>704</v>
      </c>
      <c r="J141" s="42">
        <v>1.2</v>
      </c>
      <c r="K141" s="42">
        <v>12.5</v>
      </c>
      <c r="L141" s="42">
        <v>4.7</v>
      </c>
      <c r="M141" s="42">
        <v>1.9</v>
      </c>
      <c r="N141" s="42">
        <v>0.9</v>
      </c>
      <c r="O141" s="42">
        <v>1.4</v>
      </c>
      <c r="P141" s="42">
        <v>1.4</v>
      </c>
      <c r="Q141" s="43">
        <v>-0.25</v>
      </c>
      <c r="R141" s="42">
        <v>4.5999999999999996</v>
      </c>
      <c r="S141" s="42">
        <v>9.6</v>
      </c>
      <c r="T141">
        <f t="shared" si="44"/>
        <v>0.47916666666666663</v>
      </c>
      <c r="U141" s="42">
        <v>2.2000000000000002</v>
      </c>
      <c r="V141" s="42">
        <v>3</v>
      </c>
      <c r="W141">
        <f t="shared" si="45"/>
        <v>0.73333333333333339</v>
      </c>
      <c r="X141" s="7">
        <f>IF(((T141 - '2026-2027 means'!E$2) / '2026-2027 means'!R$2) * (S141 / '2026-2027 means'!B$2) / 2 &lt; -2, -2, ((T141 - '2026-2027 means'!E$2) / '2026-2027 means'!R$2) * (S141 / '2026-2027 means'!B$2) / 2)</f>
        <v>-6.1963640018523967E-2</v>
      </c>
      <c r="Y141" s="11">
        <f>IF(((W141 - '2026-2027 means'!F$2) / '2026-2027 means'!S$2) * (V141 / '2026-2027 means'!D$2) &lt; -2, -2, ((W141 - '2026-2027 means'!F$2) / '2026-2027 means'!S$2) * (V141 / '2026-2027 means'!D$2))</f>
        <v>-0.64224529577467704</v>
      </c>
      <c r="Z141" s="7">
        <f>(J141-'2026-2027 means'!G$2)/'2026-2027 means'!T$2</f>
        <v>-0.49152949447591393</v>
      </c>
      <c r="AA141" s="7">
        <f>(K141-'2026-2027 means'!H$2)/'2026-2027 means'!U$2</f>
        <v>-0.64302134108343978</v>
      </c>
      <c r="AB141" s="7">
        <f>(L141-'2026-2027 means'!I$2)/'2026-2027 means'!V$2</f>
        <v>-0.41033179640330097</v>
      </c>
      <c r="AC141" s="7">
        <f>(M141-'2026-2027 means'!J$2)/'2026-2027 means'!W$2</f>
        <v>-0.90317684873125736</v>
      </c>
      <c r="AD141" s="7">
        <f>(N141-'2026-2027 means'!K$2)/'2026-2027 means'!X$2</f>
        <v>-0.34169826646924195</v>
      </c>
      <c r="AE141" s="7">
        <f>(O141-'2026-2027 means'!L$2)/'2026-2027 means'!Y$2</f>
        <v>1.464655386204762</v>
      </c>
      <c r="AF141" s="7">
        <f>IF(((P141 - '2026-2027 means'!M$2) / '2026-2027 means'!Z$2 * -1) &lt; -2, -2, (P141 - '2026-2027 means'!M$2) / '2026-2027 means'!Z$2 * -1)</f>
        <v>0.60831289451805992</v>
      </c>
      <c r="AG141">
        <f t="shared" si="46"/>
        <v>1</v>
      </c>
      <c r="AH141">
        <f t="shared" si="47"/>
        <v>6</v>
      </c>
      <c r="AI141" s="8">
        <f t="shared" si="48"/>
        <v>0.16666666666666666</v>
      </c>
      <c r="AJ141" s="8" t="e" vm="1">
        <f t="shared" ca="1" si="49"/>
        <v>#NAME?</v>
      </c>
      <c r="AK141" s="8" t="str">
        <f t="shared" si="50"/>
        <v>FG%, FT%, 3PM, PTS, TREB, AST, STL</v>
      </c>
      <c r="AL141" t="str">
        <f t="shared" si="51"/>
        <v/>
      </c>
      <c r="AM141" t="str">
        <f t="shared" si="52"/>
        <v>, BLK</v>
      </c>
      <c r="AN141" t="str">
        <f t="shared" si="53"/>
        <v>, TO</v>
      </c>
      <c r="AO141" t="str">
        <f t="shared" si="54"/>
        <v>FG%, FT%, 3PM, PTS, TREB, AST, STL</v>
      </c>
      <c r="AP141">
        <f>VLOOKUP(B141,'2025-2026 actuals'!B:Q,16,FALSE)</f>
        <v>110</v>
      </c>
      <c r="AQ141" s="7">
        <f t="shared" si="41"/>
        <v>-1.4209984022335331</v>
      </c>
      <c r="AR141">
        <f t="shared" si="42"/>
        <v>135</v>
      </c>
    </row>
    <row r="142" spans="1:44" ht="18">
      <c r="A142" s="3">
        <f t="shared" si="55"/>
        <v>189</v>
      </c>
      <c r="B142" s="41" t="s">
        <v>179</v>
      </c>
      <c r="C142" s="1">
        <f t="shared" si="56"/>
        <v>189</v>
      </c>
      <c r="D142" s="1" t="e">
        <f t="shared" si="40"/>
        <v>#N/A</v>
      </c>
      <c r="E142" s="1">
        <f>VLOOKUP(B142,'2026-2027 adp'!A:C,3,FALSE)</f>
        <v>101.9</v>
      </c>
      <c r="F142" s="1">
        <f t="shared" si="43"/>
        <v>-87.1</v>
      </c>
      <c r="G142" s="1"/>
      <c r="H142" s="22" t="s">
        <v>705</v>
      </c>
      <c r="I142" s="22" t="s">
        <v>706</v>
      </c>
      <c r="J142" s="42">
        <v>2.7</v>
      </c>
      <c r="K142" s="42">
        <v>20.399999999999999</v>
      </c>
      <c r="L142" s="42">
        <v>4.4000000000000004</v>
      </c>
      <c r="M142" s="42">
        <v>3.3</v>
      </c>
      <c r="N142" s="42">
        <v>0.9</v>
      </c>
      <c r="O142" s="42">
        <v>0.3</v>
      </c>
      <c r="P142" s="42">
        <v>2.5</v>
      </c>
      <c r="Q142" s="43">
        <v>-0.28000000000000003</v>
      </c>
      <c r="R142" s="42">
        <v>7.3</v>
      </c>
      <c r="S142" s="42">
        <v>17.399999999999999</v>
      </c>
      <c r="T142">
        <f t="shared" si="44"/>
        <v>0.41954022988505751</v>
      </c>
      <c r="U142" s="42">
        <v>3</v>
      </c>
      <c r="V142" s="42">
        <v>3.8</v>
      </c>
      <c r="W142">
        <f t="shared" si="45"/>
        <v>0.78947368421052633</v>
      </c>
      <c r="X142" s="7">
        <f>IF(((T142 - '2026-2027 means'!E$2) / '2026-2027 means'!R$2) * (S142 / '2026-2027 means'!B$2) / 2 &lt; -2, -2, ((T142 - '2026-2027 means'!E$2) / '2026-2027 means'!R$2) * (S142 / '2026-2027 means'!B$2) / 2)</f>
        <v>-2</v>
      </c>
      <c r="Y142" s="11">
        <f>IF(((W142 - '2026-2027 means'!F$2) / '2026-2027 means'!S$2) * (V142 / '2026-2027 means'!D$2) &lt; -2, -2, ((W142 - '2026-2027 means'!F$2) / '2026-2027 means'!S$2) * (V142 / '2026-2027 means'!D$2))</f>
        <v>-7.1860328335132742E-2</v>
      </c>
      <c r="Z142" s="7">
        <f>(J142-'2026-2027 means'!G$2)/'2026-2027 means'!T$2</f>
        <v>1.0867041858700703</v>
      </c>
      <c r="AA142" s="7">
        <f>(K142-'2026-2027 means'!H$2)/'2026-2027 means'!U$2</f>
        <v>0.85237055626043223</v>
      </c>
      <c r="AB142" s="7">
        <f>(L142-'2026-2027 means'!I$2)/'2026-2027 means'!V$2</f>
        <v>-0.53517038027372998</v>
      </c>
      <c r="AC142" s="7">
        <f>(M142-'2026-2027 means'!J$2)/'2026-2027 means'!W$2</f>
        <v>-0.18032711826204276</v>
      </c>
      <c r="AD142" s="7">
        <f>(N142-'2026-2027 means'!K$2)/'2026-2027 means'!X$2</f>
        <v>-0.34169826646924195</v>
      </c>
      <c r="AE142" s="7">
        <f>(O142-'2026-2027 means'!L$2)/'2026-2027 means'!Y$2</f>
        <v>-0.76869155096677622</v>
      </c>
      <c r="AF142" s="7">
        <f>IF(((P142 - '2026-2027 means'!M$2) / '2026-2027 means'!Z$2 * -1) &lt; -2, -2, (P142 - '2026-2027 means'!M$2) / '2026-2027 means'!Z$2 * -1)</f>
        <v>-0.89278064318219519</v>
      </c>
      <c r="AG142">
        <f t="shared" si="46"/>
        <v>1</v>
      </c>
      <c r="AH142">
        <f t="shared" si="47"/>
        <v>4</v>
      </c>
      <c r="AI142" s="8">
        <f t="shared" si="48"/>
        <v>0.25</v>
      </c>
      <c r="AJ142" s="8" t="e" vm="1">
        <f t="shared" ca="1" si="49"/>
        <v>#NAME?</v>
      </c>
      <c r="AK142" s="8" t="str">
        <f t="shared" si="50"/>
        <v>FG%, FT%, TREB, AST, STL, BLK, TO</v>
      </c>
      <c r="AL142" t="str">
        <f t="shared" si="51"/>
        <v/>
      </c>
      <c r="AM142" t="str">
        <f t="shared" si="52"/>
        <v>, 3PM</v>
      </c>
      <c r="AN142" t="str">
        <f t="shared" si="53"/>
        <v>, PTS</v>
      </c>
      <c r="AO142" t="str">
        <f t="shared" si="54"/>
        <v>FG%, FT%, TREB, AST, STL, BLK, TO</v>
      </c>
      <c r="AP142" t="e">
        <f>VLOOKUP(B142,'2025-2026 actuals'!B:Q,16,FALSE)</f>
        <v>#N/A</v>
      </c>
      <c r="AQ142" s="7">
        <f t="shared" si="41"/>
        <v>-2.8514535453586163</v>
      </c>
      <c r="AR142">
        <f t="shared" si="42"/>
        <v>189</v>
      </c>
    </row>
    <row r="143" spans="1:44" ht="18">
      <c r="A143" s="3">
        <f t="shared" si="55"/>
        <v>151</v>
      </c>
      <c r="B143" s="41" t="s">
        <v>341</v>
      </c>
      <c r="C143" s="1">
        <f t="shared" si="56"/>
        <v>151</v>
      </c>
      <c r="D143" s="1">
        <f t="shared" si="40"/>
        <v>84</v>
      </c>
      <c r="E143" s="1">
        <f>VLOOKUP(B143,'2026-2027 adp'!A:C,3,FALSE)</f>
        <v>119.7</v>
      </c>
      <c r="F143" s="1">
        <f t="shared" si="43"/>
        <v>-31.299999999999997</v>
      </c>
      <c r="G143" s="1"/>
      <c r="H143" s="22" t="s">
        <v>707</v>
      </c>
      <c r="I143" s="22" t="s">
        <v>708</v>
      </c>
      <c r="J143" s="42">
        <v>2</v>
      </c>
      <c r="K143" s="42">
        <v>11.9</v>
      </c>
      <c r="L143" s="42">
        <v>4.9000000000000004</v>
      </c>
      <c r="M143" s="42">
        <v>3.5</v>
      </c>
      <c r="N143" s="42">
        <v>1.1000000000000001</v>
      </c>
      <c r="O143" s="42">
        <v>0.9</v>
      </c>
      <c r="P143" s="42">
        <v>2</v>
      </c>
      <c r="Q143" s="43">
        <v>-0.33</v>
      </c>
      <c r="R143" s="42">
        <v>4.2</v>
      </c>
      <c r="S143" s="42">
        <v>10.3</v>
      </c>
      <c r="T143">
        <f t="shared" si="44"/>
        <v>0.40776699029126212</v>
      </c>
      <c r="U143" s="42">
        <v>1.6</v>
      </c>
      <c r="V143" s="42">
        <v>2.1</v>
      </c>
      <c r="W143">
        <f t="shared" si="45"/>
        <v>0.76190476190476186</v>
      </c>
      <c r="X143" s="7">
        <f>IF(((T143 - '2026-2027 means'!E$2) / '2026-2027 means'!R$2) * (S143 / '2026-2027 means'!B$2) / 2 &lt; -2, -2, ((T143 - '2026-2027 means'!E$2) / '2026-2027 means'!R$2) * (S143 / '2026-2027 means'!B$2) / 2)</f>
        <v>-1.4204302804345552</v>
      </c>
      <c r="Y143" s="11">
        <f>IF(((W143 - '2026-2027 means'!F$2) / '2026-2027 means'!S$2) * (V143 / '2026-2027 means'!D$2) &lt; -2, -2, ((W143 - '2026-2027 means'!F$2) / '2026-2027 means'!S$2) * (V143 / '2026-2027 means'!D$2))</f>
        <v>-0.24098253776680187</v>
      </c>
      <c r="Z143" s="7">
        <f>(J143-'2026-2027 means'!G$2)/'2026-2027 means'!T$2</f>
        <v>0.35019513504194433</v>
      </c>
      <c r="AA143" s="7">
        <f>(K143-'2026-2027 means'!H$2)/'2026-2027 means'!U$2</f>
        <v>-0.75659540923613888</v>
      </c>
      <c r="AB143" s="7">
        <f>(L143-'2026-2027 means'!I$2)/'2026-2027 means'!V$2</f>
        <v>-0.32710607382301482</v>
      </c>
      <c r="AC143" s="7">
        <f>(M143-'2026-2027 means'!J$2)/'2026-2027 means'!W$2</f>
        <v>-7.7062871052154841E-2</v>
      </c>
      <c r="AD143" s="7">
        <f>(N143-'2026-2027 means'!K$2)/'2026-2027 means'!X$2</f>
        <v>0.24532183233688692</v>
      </c>
      <c r="AE143" s="7">
        <f>(O143-'2026-2027 means'!L$2)/'2026-2027 means'!Y$2</f>
        <v>0.44949768749042662</v>
      </c>
      <c r="AF143" s="7">
        <f>IF(((P143 - '2026-2027 means'!M$2) / '2026-2027 means'!Z$2 * -1) &lt; -2, -2, (P143 - '2026-2027 means'!M$2) / '2026-2027 means'!Z$2 * -1)</f>
        <v>-0.21046539877298837</v>
      </c>
      <c r="AG143">
        <f t="shared" si="46"/>
        <v>0</v>
      </c>
      <c r="AH143">
        <f t="shared" si="47"/>
        <v>3</v>
      </c>
      <c r="AI143" s="8">
        <f t="shared" si="48"/>
        <v>0</v>
      </c>
      <c r="AJ143" s="8" t="e" vm="1">
        <f t="shared" ca="1" si="49"/>
        <v>#NAME?</v>
      </c>
      <c r="AK143" s="8" t="str">
        <f t="shared" si="50"/>
        <v>FG%, FT%, PTS, TREB, AST, TO</v>
      </c>
      <c r="AL143" t="str">
        <f t="shared" si="51"/>
        <v/>
      </c>
      <c r="AM143" t="str">
        <f t="shared" si="52"/>
        <v/>
      </c>
      <c r="AN143" t="str">
        <f t="shared" si="53"/>
        <v>, 3PM, STL, BLK</v>
      </c>
      <c r="AO143" t="str">
        <f t="shared" si="54"/>
        <v>FG%, FT%, PTS, TREB, AST, TO</v>
      </c>
      <c r="AP143">
        <f>VLOOKUP(B143,'2025-2026 actuals'!B:Q,16,FALSE)</f>
        <v>84</v>
      </c>
      <c r="AQ143" s="7">
        <f t="shared" si="41"/>
        <v>-1.9876279162163963</v>
      </c>
      <c r="AR143">
        <f t="shared" si="42"/>
        <v>151</v>
      </c>
    </row>
    <row r="144" spans="1:44" ht="18">
      <c r="A144" s="3">
        <f t="shared" si="55"/>
        <v>163</v>
      </c>
      <c r="B144" s="41" t="s">
        <v>309</v>
      </c>
      <c r="C144" s="1">
        <f t="shared" si="56"/>
        <v>163</v>
      </c>
      <c r="D144" s="1">
        <f t="shared" si="40"/>
        <v>133</v>
      </c>
      <c r="E144" s="1">
        <f>VLOOKUP(B144,'2026-2027 adp'!A:C,3,FALSE)</f>
        <v>119.4</v>
      </c>
      <c r="F144" s="1">
        <f t="shared" si="43"/>
        <v>-43.599999999999994</v>
      </c>
      <c r="G144" s="1"/>
      <c r="H144" s="22" t="s">
        <v>709</v>
      </c>
      <c r="I144" s="22" t="s">
        <v>710</v>
      </c>
      <c r="J144" s="42">
        <v>1.3</v>
      </c>
      <c r="K144" s="42">
        <v>13.7</v>
      </c>
      <c r="L144" s="42">
        <v>3.8</v>
      </c>
      <c r="M144" s="42">
        <v>3.9</v>
      </c>
      <c r="N144" s="42">
        <v>1.4</v>
      </c>
      <c r="O144" s="42">
        <v>0.8</v>
      </c>
      <c r="P144" s="42">
        <v>2.2000000000000002</v>
      </c>
      <c r="Q144" s="43">
        <v>-0.36</v>
      </c>
      <c r="R144" s="42">
        <v>4.9000000000000004</v>
      </c>
      <c r="S144" s="42">
        <v>11.3</v>
      </c>
      <c r="T144">
        <f t="shared" si="44"/>
        <v>0.4336283185840708</v>
      </c>
      <c r="U144" s="42">
        <v>2.6</v>
      </c>
      <c r="V144" s="42">
        <v>3.5</v>
      </c>
      <c r="W144">
        <f t="shared" si="45"/>
        <v>0.74285714285714288</v>
      </c>
      <c r="X144" s="7">
        <f>IF(((T144 - '2026-2027 means'!E$2) / '2026-2027 means'!R$2) * (S144 / '2026-2027 means'!B$2) / 2 &lt; -2, -2, ((T144 - '2026-2027 means'!E$2) / '2026-2027 means'!R$2) * (S144 / '2026-2027 means'!B$2) / 2)</f>
        <v>-1.0203167339663533</v>
      </c>
      <c r="Y144" s="11">
        <f>IF(((W144 - '2026-2027 means'!F$2) / '2026-2027 means'!S$2) * (V144 / '2026-2027 means'!D$2) &lt; -2, -2, ((W144 - '2026-2027 means'!F$2) / '2026-2027 means'!S$2) * (V144 / '2026-2027 means'!D$2))</f>
        <v>-0.63340330658408306</v>
      </c>
      <c r="Z144" s="7">
        <f>(J144-'2026-2027 means'!G$2)/'2026-2027 means'!T$2</f>
        <v>-0.38631391578618157</v>
      </c>
      <c r="AA144" s="7">
        <f>(K144-'2026-2027 means'!H$2)/'2026-2027 means'!U$2</f>
        <v>-0.41587320477804163</v>
      </c>
      <c r="AB144" s="7">
        <f>(L144-'2026-2027 means'!I$2)/'2026-2027 means'!V$2</f>
        <v>-0.78484754801458845</v>
      </c>
      <c r="AC144" s="7">
        <f>(M144-'2026-2027 means'!J$2)/'2026-2027 means'!W$2</f>
        <v>0.12946562336762074</v>
      </c>
      <c r="AD144" s="7">
        <f>(N144-'2026-2027 means'!K$2)/'2026-2027 means'!X$2</f>
        <v>1.1258519805460794</v>
      </c>
      <c r="AE144" s="7">
        <f>(O144-'2026-2027 means'!L$2)/'2026-2027 means'!Y$2</f>
        <v>0.24646614774755957</v>
      </c>
      <c r="AF144" s="7">
        <f>IF(((P144 - '2026-2027 means'!M$2) / '2026-2027 means'!Z$2 * -1) &lt; -2, -2, (P144 - '2026-2027 means'!M$2) / '2026-2027 means'!Z$2 * -1)</f>
        <v>-0.48339149653667135</v>
      </c>
      <c r="AG144">
        <f t="shared" si="46"/>
        <v>1</v>
      </c>
      <c r="AH144">
        <f t="shared" si="47"/>
        <v>5</v>
      </c>
      <c r="AI144" s="8">
        <f t="shared" si="48"/>
        <v>0.2</v>
      </c>
      <c r="AJ144" s="8" t="e" vm="1">
        <f t="shared" ca="1" si="49"/>
        <v>#NAME?</v>
      </c>
      <c r="AK144" s="8" t="str">
        <f t="shared" si="50"/>
        <v>FG%, FT%, 3PM, PTS, TREB, TO</v>
      </c>
      <c r="AL144" t="str">
        <f t="shared" si="51"/>
        <v/>
      </c>
      <c r="AM144" t="str">
        <f t="shared" si="52"/>
        <v>, STL</v>
      </c>
      <c r="AN144" t="str">
        <f t="shared" si="53"/>
        <v>, AST, BLK</v>
      </c>
      <c r="AO144" t="str">
        <f t="shared" si="54"/>
        <v>FG%, FT%, 3PM, PTS, TREB, TO</v>
      </c>
      <c r="AP144">
        <f>VLOOKUP(B144,'2025-2026 actuals'!B:Q,16,FALSE)</f>
        <v>133</v>
      </c>
      <c r="AQ144" s="7">
        <f t="shared" si="41"/>
        <v>-2.2223624540046591</v>
      </c>
      <c r="AR144">
        <f t="shared" si="42"/>
        <v>163</v>
      </c>
    </row>
    <row r="145" spans="1:44" ht="18">
      <c r="A145" s="3">
        <f t="shared" si="55"/>
        <v>156</v>
      </c>
      <c r="B145" s="41" t="s">
        <v>195</v>
      </c>
      <c r="C145" s="1">
        <f t="shared" si="56"/>
        <v>156</v>
      </c>
      <c r="D145" s="1">
        <f t="shared" si="40"/>
        <v>147</v>
      </c>
      <c r="E145" s="1">
        <f>VLOOKUP(B145,'2026-2027 adp'!A:C,3,FALSE)</f>
        <v>116.5</v>
      </c>
      <c r="F145" s="1">
        <f t="shared" si="43"/>
        <v>-39.5</v>
      </c>
      <c r="G145" s="1"/>
      <c r="H145" s="22" t="s">
        <v>711</v>
      </c>
      <c r="I145" s="22" t="s">
        <v>712</v>
      </c>
      <c r="J145" s="42">
        <v>1.4</v>
      </c>
      <c r="K145" s="42">
        <v>14</v>
      </c>
      <c r="L145" s="42">
        <v>7.2</v>
      </c>
      <c r="M145" s="42">
        <v>2</v>
      </c>
      <c r="N145" s="42">
        <v>1</v>
      </c>
      <c r="O145" s="42">
        <v>1</v>
      </c>
      <c r="P145" s="42">
        <v>1.8</v>
      </c>
      <c r="Q145" s="43">
        <v>-0.38</v>
      </c>
      <c r="R145" s="42">
        <v>5.0999999999999996</v>
      </c>
      <c r="S145" s="42">
        <v>11.4</v>
      </c>
      <c r="T145">
        <f t="shared" si="44"/>
        <v>0.44736842105263153</v>
      </c>
      <c r="U145" s="42">
        <v>2.2999999999999998</v>
      </c>
      <c r="V145" s="42">
        <v>3.3</v>
      </c>
      <c r="W145">
        <f t="shared" si="45"/>
        <v>0.69696969696969691</v>
      </c>
      <c r="X145" s="7">
        <f>IF(((T145 - '2026-2027 means'!E$2) / '2026-2027 means'!R$2) * (S145 / '2026-2027 means'!B$2) / 2 &lt; -2, -2, ((T145 - '2026-2027 means'!E$2) / '2026-2027 means'!R$2) * (S145 / '2026-2027 means'!B$2) / 2)</f>
        <v>-0.74096718158617458</v>
      </c>
      <c r="Y145" s="11">
        <f>IF(((W145 - '2026-2027 means'!F$2) / '2026-2027 means'!S$2) * (V145 / '2026-2027 means'!D$2) &lt; -2, -2, ((W145 - '2026-2027 means'!F$2) / '2026-2027 means'!S$2) * (V145 / '2026-2027 means'!D$2))</f>
        <v>-1.1236481639030915</v>
      </c>
      <c r="Z145" s="7">
        <f>(J145-'2026-2027 means'!G$2)/'2026-2027 means'!T$2</f>
        <v>-0.28109833709644944</v>
      </c>
      <c r="AA145" s="7">
        <f>(K145-'2026-2027 means'!H$2)/'2026-2027 means'!U$2</f>
        <v>-0.35908617070169191</v>
      </c>
      <c r="AB145" s="7">
        <f>(L145-'2026-2027 means'!I$2)/'2026-2027 means'!V$2</f>
        <v>0.62998973585027496</v>
      </c>
      <c r="AC145" s="7">
        <f>(M145-'2026-2027 means'!J$2)/'2026-2027 means'!W$2</f>
        <v>-0.85154472512631341</v>
      </c>
      <c r="AD145" s="7">
        <f>(N145-'2026-2027 means'!K$2)/'2026-2027 means'!X$2</f>
        <v>-4.818821706617768E-2</v>
      </c>
      <c r="AE145" s="7">
        <f>(O145-'2026-2027 means'!L$2)/'2026-2027 means'!Y$2</f>
        <v>0.65252922723329376</v>
      </c>
      <c r="AF145" s="7">
        <f>IF(((P145 - '2026-2027 means'!M$2) / '2026-2027 means'!Z$2 * -1) &lt; -2, -2, (P145 - '2026-2027 means'!M$2) / '2026-2027 means'!Z$2 * -1)</f>
        <v>6.2460698990694306E-2</v>
      </c>
      <c r="AG145">
        <f t="shared" si="46"/>
        <v>0</v>
      </c>
      <c r="AH145">
        <f t="shared" si="47"/>
        <v>5</v>
      </c>
      <c r="AI145" s="8">
        <f t="shared" si="48"/>
        <v>0</v>
      </c>
      <c r="AJ145" s="8" t="e" vm="1">
        <f t="shared" ca="1" si="49"/>
        <v>#NAME?</v>
      </c>
      <c r="AK145" s="8" t="str">
        <f t="shared" si="50"/>
        <v>FG%, FT%, 3PM, PTS, AST, STL</v>
      </c>
      <c r="AL145" t="str">
        <f t="shared" si="51"/>
        <v/>
      </c>
      <c r="AM145" t="str">
        <f t="shared" si="52"/>
        <v/>
      </c>
      <c r="AN145" t="str">
        <f t="shared" si="53"/>
        <v>, TREB, BLK, TO</v>
      </c>
      <c r="AO145" t="str">
        <f t="shared" si="54"/>
        <v>FG%, FT%, 3PM, PTS, AST, STL</v>
      </c>
      <c r="AP145">
        <f>VLOOKUP(B145,'2025-2026 actuals'!B:Q,16,FALSE)</f>
        <v>147</v>
      </c>
      <c r="AQ145" s="7">
        <f t="shared" si="41"/>
        <v>-2.0595531334056352</v>
      </c>
      <c r="AR145">
        <f t="shared" si="42"/>
        <v>156</v>
      </c>
    </row>
    <row r="146" spans="1:44" ht="18">
      <c r="A146" s="3">
        <f t="shared" si="55"/>
        <v>140</v>
      </c>
      <c r="B146" s="41" t="s">
        <v>190</v>
      </c>
      <c r="C146" s="1">
        <f t="shared" si="56"/>
        <v>140</v>
      </c>
      <c r="D146" s="1">
        <f t="shared" si="40"/>
        <v>138</v>
      </c>
      <c r="E146" s="1">
        <f>VLOOKUP(B146,'2026-2027 adp'!A:C,3,FALSE)</f>
        <v>111</v>
      </c>
      <c r="F146" s="1">
        <f t="shared" si="43"/>
        <v>-29</v>
      </c>
      <c r="G146" s="1"/>
      <c r="H146" s="22" t="s">
        <v>713</v>
      </c>
      <c r="I146" s="22" t="s">
        <v>714</v>
      </c>
      <c r="J146" s="42">
        <v>1.6</v>
      </c>
      <c r="K146" s="42">
        <v>15.3</v>
      </c>
      <c r="L146" s="42">
        <v>5.2</v>
      </c>
      <c r="M146" s="42">
        <v>3</v>
      </c>
      <c r="N146" s="42">
        <v>0.5</v>
      </c>
      <c r="O146" s="42">
        <v>0.3</v>
      </c>
      <c r="P146" s="42">
        <v>1.3</v>
      </c>
      <c r="Q146" s="43">
        <v>-0.39</v>
      </c>
      <c r="R146" s="42">
        <v>5.3</v>
      </c>
      <c r="S146" s="42">
        <v>10.3</v>
      </c>
      <c r="T146">
        <f t="shared" si="44"/>
        <v>0.5145631067961165</v>
      </c>
      <c r="U146" s="42">
        <v>3.1</v>
      </c>
      <c r="V146" s="42">
        <v>3.9</v>
      </c>
      <c r="W146">
        <f t="shared" si="45"/>
        <v>0.79487179487179493</v>
      </c>
      <c r="X146" s="7">
        <f>IF(((T146 - '2026-2027 means'!E$2) / '2026-2027 means'!R$2) * (S146 / '2026-2027 means'!B$2) / 2 &lt; -2, -2, ((T146 - '2026-2027 means'!E$2) / '2026-2027 means'!R$2) * (S146 / '2026-2027 means'!B$2) / 2)</f>
        <v>0.60473908500156837</v>
      </c>
      <c r="Y146" s="11">
        <f>IF(((W146 - '2026-2027 means'!F$2) / '2026-2027 means'!S$2) * (V146 / '2026-2027 means'!D$2) &lt; -2, -2, ((W146 - '2026-2027 means'!F$2) / '2026-2027 means'!S$2) * (V146 / '2026-2027 means'!D$2))</f>
        <v>-5.6220740518896767E-4</v>
      </c>
      <c r="Z146" s="7">
        <f>(J146-'2026-2027 means'!G$2)/'2026-2027 means'!T$2</f>
        <v>-7.066717971698469E-2</v>
      </c>
      <c r="AA146" s="7">
        <f>(K146-'2026-2027 means'!H$2)/'2026-2027 means'!U$2</f>
        <v>-0.11300902303751025</v>
      </c>
      <c r="AB146" s="7">
        <f>(L146-'2026-2027 means'!I$2)/'2026-2027 means'!V$2</f>
        <v>-0.20226748995258578</v>
      </c>
      <c r="AC146" s="7">
        <f>(M146-'2026-2027 means'!J$2)/'2026-2027 means'!W$2</f>
        <v>-0.33522348907687438</v>
      </c>
      <c r="AD146" s="7">
        <f>(N146-'2026-2027 means'!K$2)/'2026-2027 means'!X$2</f>
        <v>-1.5157384640814993</v>
      </c>
      <c r="AE146" s="7">
        <f>(O146-'2026-2027 means'!L$2)/'2026-2027 means'!Y$2</f>
        <v>-0.76869155096677622</v>
      </c>
      <c r="AF146" s="7">
        <f>IF(((P146 - '2026-2027 means'!M$2) / '2026-2027 means'!Z$2 * -1) &lt; -2, -2, (P146 - '2026-2027 means'!M$2) / '2026-2027 means'!Z$2 * -1)</f>
        <v>0.74477594339990116</v>
      </c>
      <c r="AG146">
        <f t="shared" si="46"/>
        <v>0</v>
      </c>
      <c r="AH146">
        <f t="shared" si="47"/>
        <v>3</v>
      </c>
      <c r="AI146" s="8">
        <f t="shared" si="48"/>
        <v>0</v>
      </c>
      <c r="AJ146" s="8" t="e" vm="1">
        <f t="shared" ca="1" si="49"/>
        <v>#NAME?</v>
      </c>
      <c r="AK146" s="8" t="str">
        <f t="shared" si="50"/>
        <v>, FT%, 3PM, PTS, TREB, AST, STL, BLK</v>
      </c>
      <c r="AL146" t="str">
        <f t="shared" si="51"/>
        <v/>
      </c>
      <c r="AM146" t="str">
        <f t="shared" si="52"/>
        <v/>
      </c>
      <c r="AN146" t="str">
        <f t="shared" si="53"/>
        <v>FG%, TO</v>
      </c>
      <c r="AO146" t="str">
        <f t="shared" si="54"/>
        <v>, FT%, 3PM, PTS, TREB, AST, STL, BLK</v>
      </c>
      <c r="AP146">
        <f>VLOOKUP(B146,'2025-2026 actuals'!B:Q,16,FALSE)</f>
        <v>138</v>
      </c>
      <c r="AQ146" s="7">
        <f t="shared" si="41"/>
        <v>-1.6566443758359499</v>
      </c>
      <c r="AR146">
        <f t="shared" si="42"/>
        <v>140</v>
      </c>
    </row>
    <row r="147" spans="1:44" ht="18">
      <c r="A147" s="3">
        <f t="shared" si="55"/>
        <v>142</v>
      </c>
      <c r="B147" s="41" t="s">
        <v>184</v>
      </c>
      <c r="C147" s="1">
        <f t="shared" si="56"/>
        <v>142</v>
      </c>
      <c r="D147" s="1">
        <f t="shared" si="40"/>
        <v>102</v>
      </c>
      <c r="E147" s="1">
        <f>VLOOKUP(B147,'2026-2027 adp'!A:C,3,FALSE)</f>
        <v>113.2</v>
      </c>
      <c r="F147" s="1">
        <f t="shared" si="43"/>
        <v>-28.799999999999997</v>
      </c>
      <c r="G147" s="1"/>
      <c r="H147" s="22" t="s">
        <v>715</v>
      </c>
      <c r="I147" s="22" t="s">
        <v>716</v>
      </c>
      <c r="J147" s="42">
        <v>1.5</v>
      </c>
      <c r="K147" s="42">
        <v>12.7</v>
      </c>
      <c r="L147" s="42">
        <v>3.2</v>
      </c>
      <c r="M147" s="42">
        <v>3.7</v>
      </c>
      <c r="N147" s="42">
        <v>0.8</v>
      </c>
      <c r="O147" s="42">
        <v>0.3</v>
      </c>
      <c r="P147" s="42">
        <v>1.3</v>
      </c>
      <c r="Q147" s="43">
        <v>-0.4</v>
      </c>
      <c r="R147" s="42">
        <v>4.9000000000000004</v>
      </c>
      <c r="S147" s="42">
        <v>9.6</v>
      </c>
      <c r="T147">
        <f t="shared" si="44"/>
        <v>0.51041666666666674</v>
      </c>
      <c r="U147" s="42">
        <v>1.5</v>
      </c>
      <c r="V147" s="42">
        <v>1.8</v>
      </c>
      <c r="W147">
        <f t="shared" si="45"/>
        <v>0.83333333333333326</v>
      </c>
      <c r="X147" s="7">
        <f>IF(((T147 - '2026-2027 means'!E$2) / '2026-2027 means'!R$2) * (S147 / '2026-2027 means'!B$2) / 2 &lt; -2, -2, ((T147 - '2026-2027 means'!E$2) / '2026-2027 means'!R$2) * (S147 / '2026-2027 means'!B$2) / 2)</f>
        <v>0.49035527782769334</v>
      </c>
      <c r="Y147" s="11">
        <f>IF(((W147 - '2026-2027 means'!F$2) / '2026-2027 means'!S$2) * (V147 / '2026-2027 means'!D$2) &lt; -2, -2, ((W147 - '2026-2027 means'!F$2) / '2026-2027 means'!S$2) * (V147 / '2026-2027 means'!D$2))</f>
        <v>0.24042033036161128</v>
      </c>
      <c r="Z147" s="7">
        <f>(J147-'2026-2027 means'!G$2)/'2026-2027 means'!T$2</f>
        <v>-0.17588275840671705</v>
      </c>
      <c r="AA147" s="7">
        <f>(K147-'2026-2027 means'!H$2)/'2026-2027 means'!U$2</f>
        <v>-0.60516331836587356</v>
      </c>
      <c r="AB147" s="7">
        <f>(L147-'2026-2027 means'!I$2)/'2026-2027 means'!V$2</f>
        <v>-1.0345247157554465</v>
      </c>
      <c r="AC147" s="7">
        <f>(M147-'2026-2027 means'!J$2)/'2026-2027 means'!W$2</f>
        <v>2.6201376157733058E-2</v>
      </c>
      <c r="AD147" s="7">
        <f>(N147-'2026-2027 means'!K$2)/'2026-2027 means'!X$2</f>
        <v>-0.6352083158723062</v>
      </c>
      <c r="AE147" s="7">
        <f>(O147-'2026-2027 means'!L$2)/'2026-2027 means'!Y$2</f>
        <v>-0.76869155096677622</v>
      </c>
      <c r="AF147" s="7">
        <f>IF(((P147 - '2026-2027 means'!M$2) / '2026-2027 means'!Z$2 * -1) &lt; -2, -2, (P147 - '2026-2027 means'!M$2) / '2026-2027 means'!Z$2 * -1)</f>
        <v>0.74477594339990116</v>
      </c>
      <c r="AG147">
        <f t="shared" si="46"/>
        <v>0</v>
      </c>
      <c r="AH147">
        <f t="shared" si="47"/>
        <v>4</v>
      </c>
      <c r="AI147" s="8">
        <f t="shared" si="48"/>
        <v>0</v>
      </c>
      <c r="AJ147" s="8" t="e" vm="1">
        <f t="shared" ca="1" si="49"/>
        <v>#NAME?</v>
      </c>
      <c r="AK147" s="8" t="str">
        <f t="shared" si="50"/>
        <v>, 3PM, PTS, TREB, STL, BLK</v>
      </c>
      <c r="AL147" t="str">
        <f t="shared" si="51"/>
        <v/>
      </c>
      <c r="AM147" t="str">
        <f t="shared" si="52"/>
        <v/>
      </c>
      <c r="AN147" t="str">
        <f t="shared" si="53"/>
        <v>FG%, FT%, AST, TO</v>
      </c>
      <c r="AO147" t="str">
        <f t="shared" si="54"/>
        <v>, 3PM, PTS, TREB, STL, BLK</v>
      </c>
      <c r="AP147">
        <f>VLOOKUP(B147,'2025-2026 actuals'!B:Q,16,FALSE)</f>
        <v>102</v>
      </c>
      <c r="AQ147" s="7">
        <f t="shared" si="41"/>
        <v>-1.7177177316201808</v>
      </c>
      <c r="AR147">
        <f t="shared" si="42"/>
        <v>142</v>
      </c>
    </row>
    <row r="148" spans="1:44" ht="18">
      <c r="A148" s="3">
        <f t="shared" si="55"/>
        <v>124</v>
      </c>
      <c r="B148" s="41" t="s">
        <v>185</v>
      </c>
      <c r="C148" s="1">
        <f t="shared" si="56"/>
        <v>124</v>
      </c>
      <c r="D148" s="1">
        <f t="shared" si="40"/>
        <v>182</v>
      </c>
      <c r="E148" s="1">
        <f>VLOOKUP(B148,'2026-2027 adp'!A:C,3,FALSE)</f>
        <v>115.7</v>
      </c>
      <c r="F148" s="1">
        <f t="shared" si="43"/>
        <v>-8.2999999999999972</v>
      </c>
      <c r="G148" s="1"/>
      <c r="H148" s="22" t="s">
        <v>717</v>
      </c>
      <c r="I148" s="22" t="s">
        <v>718</v>
      </c>
      <c r="J148" s="42">
        <v>1.3</v>
      </c>
      <c r="K148" s="42">
        <v>10.8</v>
      </c>
      <c r="L148" s="42">
        <v>6.1</v>
      </c>
      <c r="M148" s="42">
        <v>1.4</v>
      </c>
      <c r="N148" s="42">
        <v>1.4</v>
      </c>
      <c r="O148" s="42">
        <v>0.6</v>
      </c>
      <c r="P148" s="42">
        <v>1.2</v>
      </c>
      <c r="Q148" s="43">
        <v>-0.4</v>
      </c>
      <c r="R148" s="42">
        <v>4.2</v>
      </c>
      <c r="S148" s="42">
        <v>9.4</v>
      </c>
      <c r="T148">
        <f t="shared" si="44"/>
        <v>0.44680851063829785</v>
      </c>
      <c r="U148" s="42">
        <v>1.1000000000000001</v>
      </c>
      <c r="V148" s="42">
        <v>1.4</v>
      </c>
      <c r="W148">
        <f t="shared" si="45"/>
        <v>0.78571428571428581</v>
      </c>
      <c r="X148" s="7">
        <f>IF(((T148 - '2026-2027 means'!E$2) / '2026-2027 means'!R$2) * (S148 / '2026-2027 means'!B$2) / 2 &lt; -2, -2, ((T148 - '2026-2027 means'!E$2) / '2026-2027 means'!R$2) * (S148 / '2026-2027 means'!B$2) / 2)</f>
        <v>-0.62066274477888395</v>
      </c>
      <c r="Y148" s="11">
        <f>IF(((W148 - '2026-2027 means'!F$2) / '2026-2027 means'!S$2) * (V148 / '2026-2027 means'!D$2) &lt; -2, -2, ((W148 - '2026-2027 means'!F$2) / '2026-2027 means'!S$2) * (V148 / '2026-2027 means'!D$2))</f>
        <v>-4.4772153358160142E-2</v>
      </c>
      <c r="Z148" s="7">
        <f>(J148-'2026-2027 means'!G$2)/'2026-2027 means'!T$2</f>
        <v>-0.38631391578618157</v>
      </c>
      <c r="AA148" s="7">
        <f>(K148-'2026-2027 means'!H$2)/'2026-2027 means'!U$2</f>
        <v>-0.96481453418275398</v>
      </c>
      <c r="AB148" s="7">
        <f>(L148-'2026-2027 means'!I$2)/'2026-2027 means'!V$2</f>
        <v>0.17224826165870133</v>
      </c>
      <c r="AC148" s="7">
        <f>(M148-'2026-2027 means'!J$2)/'2026-2027 means'!W$2</f>
        <v>-1.1613374667559768</v>
      </c>
      <c r="AD148" s="7">
        <f>(N148-'2026-2027 means'!K$2)/'2026-2027 means'!X$2</f>
        <v>1.1258519805460794</v>
      </c>
      <c r="AE148" s="7">
        <f>(O148-'2026-2027 means'!L$2)/'2026-2027 means'!Y$2</f>
        <v>-0.15959693173817482</v>
      </c>
      <c r="AF148" s="7">
        <f>IF(((P148 - '2026-2027 means'!M$2) / '2026-2027 means'!Z$2 * -1) &lt; -2, -2, (P148 - '2026-2027 means'!M$2) / '2026-2027 means'!Z$2 * -1)</f>
        <v>0.88123899228174263</v>
      </c>
      <c r="AG148">
        <f t="shared" si="46"/>
        <v>1</v>
      </c>
      <c r="AH148">
        <f t="shared" si="47"/>
        <v>4</v>
      </c>
      <c r="AI148" s="8">
        <f t="shared" si="48"/>
        <v>0.25</v>
      </c>
      <c r="AJ148" s="8" t="e" vm="1">
        <f t="shared" ca="1" si="49"/>
        <v>#NAME?</v>
      </c>
      <c r="AK148" s="8" t="str">
        <f t="shared" si="50"/>
        <v>FG%, FT%, 3PM, PTS, AST, BLK</v>
      </c>
      <c r="AL148" t="str">
        <f t="shared" si="51"/>
        <v/>
      </c>
      <c r="AM148" t="str">
        <f t="shared" si="52"/>
        <v>, STL</v>
      </c>
      <c r="AN148" t="str">
        <f t="shared" si="53"/>
        <v>, TREB, TO</v>
      </c>
      <c r="AO148" t="str">
        <f t="shared" si="54"/>
        <v>FG%, FT%, 3PM, PTS, AST, BLK</v>
      </c>
      <c r="AP148">
        <f>VLOOKUP(B148,'2025-2026 actuals'!B:Q,16,FALSE)</f>
        <v>182</v>
      </c>
      <c r="AQ148" s="7">
        <f t="shared" si="41"/>
        <v>-1.1581585121136078</v>
      </c>
      <c r="AR148">
        <f t="shared" si="42"/>
        <v>124</v>
      </c>
    </row>
    <row r="149" spans="1:44" ht="18">
      <c r="A149" s="3">
        <f t="shared" si="55"/>
        <v>128</v>
      </c>
      <c r="B149" s="41" t="s">
        <v>170</v>
      </c>
      <c r="C149" s="1">
        <f t="shared" si="56"/>
        <v>128</v>
      </c>
      <c r="D149" s="1">
        <f t="shared" si="40"/>
        <v>172</v>
      </c>
      <c r="E149" s="1">
        <f>VLOOKUP(B149,'2026-2027 adp'!A:C,3,FALSE)</f>
        <v>110.4</v>
      </c>
      <c r="F149" s="1">
        <f t="shared" si="43"/>
        <v>-17.599999999999994</v>
      </c>
      <c r="G149" s="1"/>
      <c r="H149" s="22" t="s">
        <v>720</v>
      </c>
      <c r="I149" s="22" t="s">
        <v>721</v>
      </c>
      <c r="J149" s="42">
        <v>1.8</v>
      </c>
      <c r="K149" s="42">
        <v>14.1</v>
      </c>
      <c r="L149" s="42">
        <v>7.4</v>
      </c>
      <c r="M149" s="42">
        <v>1.9</v>
      </c>
      <c r="N149" s="42">
        <v>0.7</v>
      </c>
      <c r="O149" s="42">
        <v>0.3</v>
      </c>
      <c r="P149" s="42">
        <v>1.1000000000000001</v>
      </c>
      <c r="Q149" s="43">
        <v>-0.42</v>
      </c>
      <c r="R149" s="42">
        <v>5.7</v>
      </c>
      <c r="S149" s="42">
        <v>11.9</v>
      </c>
      <c r="T149">
        <f t="shared" si="44"/>
        <v>0.47899159663865548</v>
      </c>
      <c r="U149" s="42">
        <v>1</v>
      </c>
      <c r="V149" s="42">
        <v>1.3</v>
      </c>
      <c r="W149">
        <f t="shared" si="45"/>
        <v>0.76923076923076916</v>
      </c>
      <c r="X149" s="7">
        <f>IF(((T149 - '2026-2027 means'!E$2) / '2026-2027 means'!R$2) * (S149 / '2026-2027 means'!B$2) / 2 &lt; -2, -2, ((T149 - '2026-2027 means'!E$2) / '2026-2027 means'!R$2) * (S149 / '2026-2027 means'!B$2) / 2)</f>
        <v>-8.0644643480226166E-2</v>
      </c>
      <c r="Y149" s="11">
        <f>IF(((W149 - '2026-2027 means'!F$2) / '2026-2027 means'!S$2) * (V149 / '2026-2027 means'!D$2) &lt; -2, -2, ((W149 - '2026-2027 means'!F$2) / '2026-2027 means'!S$2) * (V149 / '2026-2027 means'!D$2))</f>
        <v>-0.11607027428810403</v>
      </c>
      <c r="Z149" s="7">
        <f>(J149-'2026-2027 means'!G$2)/'2026-2027 means'!T$2</f>
        <v>0.13976397766247983</v>
      </c>
      <c r="AA149" s="7">
        <f>(K149-'2026-2027 means'!H$2)/'2026-2027 means'!U$2</f>
        <v>-0.3401571593429088</v>
      </c>
      <c r="AB149" s="7">
        <f>(L149-'2026-2027 means'!I$2)/'2026-2027 means'!V$2</f>
        <v>0.71321545843056111</v>
      </c>
      <c r="AC149" s="7">
        <f>(M149-'2026-2027 means'!J$2)/'2026-2027 means'!W$2</f>
        <v>-0.90317684873125736</v>
      </c>
      <c r="AD149" s="7">
        <f>(N149-'2026-2027 means'!K$2)/'2026-2027 means'!X$2</f>
        <v>-0.92871836527537077</v>
      </c>
      <c r="AE149" s="7">
        <f>(O149-'2026-2027 means'!L$2)/'2026-2027 means'!Y$2</f>
        <v>-0.76869155096677622</v>
      </c>
      <c r="AF149" s="7">
        <f>IF(((P149 - '2026-2027 means'!M$2) / '2026-2027 means'!Z$2 * -1) &lt; -2, -2, (P149 - '2026-2027 means'!M$2) / '2026-2027 means'!Z$2 * -1)</f>
        <v>1.0177020411635838</v>
      </c>
      <c r="AG149">
        <f t="shared" si="46"/>
        <v>0</v>
      </c>
      <c r="AH149">
        <f t="shared" si="47"/>
        <v>4</v>
      </c>
      <c r="AI149" s="8">
        <f t="shared" si="48"/>
        <v>0</v>
      </c>
      <c r="AJ149" s="8" t="e" vm="1">
        <f t="shared" ca="1" si="49"/>
        <v>#NAME?</v>
      </c>
      <c r="AK149" s="8" t="str">
        <f t="shared" si="50"/>
        <v>FG%, FT%, PTS, AST, STL, BLK</v>
      </c>
      <c r="AL149" t="str">
        <f t="shared" si="51"/>
        <v/>
      </c>
      <c r="AM149" t="str">
        <f t="shared" si="52"/>
        <v>, TO</v>
      </c>
      <c r="AN149" t="str">
        <f t="shared" si="53"/>
        <v>, 3PM, TREB</v>
      </c>
      <c r="AO149" t="str">
        <f t="shared" si="54"/>
        <v>FG%, FT%, PTS, AST, STL, BLK</v>
      </c>
      <c r="AP149">
        <f>VLOOKUP(B149,'2025-2026 actuals'!B:Q,16,FALSE)</f>
        <v>172</v>
      </c>
      <c r="AQ149" s="7">
        <f t="shared" si="41"/>
        <v>-1.2667773648280185</v>
      </c>
      <c r="AR149">
        <f t="shared" si="42"/>
        <v>128</v>
      </c>
    </row>
    <row r="150" spans="1:44" ht="18">
      <c r="A150" s="3">
        <f t="shared" si="55"/>
        <v>177</v>
      </c>
      <c r="B150" s="41" t="s">
        <v>180</v>
      </c>
      <c r="C150" s="1">
        <f t="shared" si="56"/>
        <v>177</v>
      </c>
      <c r="D150" s="1" t="e">
        <f t="shared" si="40"/>
        <v>#N/A</v>
      </c>
      <c r="E150" s="1">
        <f>VLOOKUP(B150,'2026-2027 adp'!A:C,3,FALSE)</f>
        <v>140</v>
      </c>
      <c r="F150" s="1">
        <f t="shared" si="43"/>
        <v>-37</v>
      </c>
      <c r="G150" s="1"/>
      <c r="H150" s="22" t="s">
        <v>723</v>
      </c>
      <c r="I150" s="22" t="s">
        <v>724</v>
      </c>
      <c r="J150" s="42">
        <v>2</v>
      </c>
      <c r="K150" s="42">
        <v>14.6</v>
      </c>
      <c r="L150" s="42">
        <v>2.8</v>
      </c>
      <c r="M150" s="42">
        <v>4.2</v>
      </c>
      <c r="N150" s="42">
        <v>0.8</v>
      </c>
      <c r="O150" s="42">
        <v>0.5</v>
      </c>
      <c r="P150" s="42">
        <v>1.9</v>
      </c>
      <c r="Q150" s="43">
        <v>-0.42</v>
      </c>
      <c r="R150" s="42">
        <v>5.3</v>
      </c>
      <c r="S150" s="42">
        <v>12.2</v>
      </c>
      <c r="T150">
        <f t="shared" si="44"/>
        <v>0.43442622950819676</v>
      </c>
      <c r="U150" s="42">
        <v>1.9</v>
      </c>
      <c r="V150" s="42">
        <v>2.2000000000000002</v>
      </c>
      <c r="W150">
        <f t="shared" si="45"/>
        <v>0.86363636363636354</v>
      </c>
      <c r="X150" s="7">
        <f>IF(((T150 - '2026-2027 means'!E$2) / '2026-2027 means'!R$2) * (S150 / '2026-2027 means'!B$2) / 2 &lt; -2, -2, ((T150 - '2026-2027 means'!E$2) / '2026-2027 means'!R$2) * (S150 / '2026-2027 means'!B$2) / 2)</f>
        <v>-1.0836590458270698</v>
      </c>
      <c r="Y150" s="11">
        <f>IF(((W150 - '2026-2027 means'!F$2) / '2026-2027 means'!S$2) * (V150 / '2026-2027 means'!D$2) &lt; -2, -2, ((W150 - '2026-2027 means'!F$2) / '2026-2027 means'!S$2) * (V150 / '2026-2027 means'!D$2))</f>
        <v>0.52561281408138338</v>
      </c>
      <c r="Z150" s="7">
        <f>(J150-'2026-2027 means'!G$2)/'2026-2027 means'!T$2</f>
        <v>0.35019513504194433</v>
      </c>
      <c r="AA150" s="7">
        <f>(K150-'2026-2027 means'!H$2)/'2026-2027 means'!U$2</f>
        <v>-0.24551210254899281</v>
      </c>
      <c r="AB150" s="7">
        <f>(L150-'2026-2027 means'!I$2)/'2026-2027 means'!V$2</f>
        <v>-1.2009761609160188</v>
      </c>
      <c r="AC150" s="7">
        <f>(M150-'2026-2027 means'!J$2)/'2026-2027 means'!W$2</f>
        <v>0.28436199418245256</v>
      </c>
      <c r="AD150" s="7">
        <f>(N150-'2026-2027 means'!K$2)/'2026-2027 means'!X$2</f>
        <v>-0.6352083158723062</v>
      </c>
      <c r="AE150" s="7">
        <f>(O150-'2026-2027 means'!L$2)/'2026-2027 means'!Y$2</f>
        <v>-0.36262847148104194</v>
      </c>
      <c r="AF150" s="7">
        <f>IF(((P150 - '2026-2027 means'!M$2) / '2026-2027 means'!Z$2 * -1) &lt; -2, -2, (P150 - '2026-2027 means'!M$2) / '2026-2027 means'!Z$2 * -1)</f>
        <v>-7.4002349891146874E-2</v>
      </c>
      <c r="AG150">
        <f t="shared" si="46"/>
        <v>0</v>
      </c>
      <c r="AH150">
        <f t="shared" si="47"/>
        <v>4</v>
      </c>
      <c r="AI150" s="8">
        <f t="shared" si="48"/>
        <v>0</v>
      </c>
      <c r="AJ150" s="8" t="e" vm="1">
        <f t="shared" ca="1" si="49"/>
        <v>#NAME?</v>
      </c>
      <c r="AK150" s="8" t="str">
        <f t="shared" si="50"/>
        <v>FG%, PTS, TREB, STL, BLK, TO</v>
      </c>
      <c r="AL150" t="str">
        <f t="shared" si="51"/>
        <v/>
      </c>
      <c r="AM150" t="str">
        <f t="shared" si="52"/>
        <v/>
      </c>
      <c r="AN150" t="str">
        <f t="shared" si="53"/>
        <v>, FT%, 3PM, AST</v>
      </c>
      <c r="AO150" t="str">
        <f t="shared" si="54"/>
        <v>FG%, PTS, TREB, STL, BLK, TO</v>
      </c>
      <c r="AP150" t="e">
        <f>VLOOKUP(B150,'2025-2026 actuals'!B:Q,16,FALSE)</f>
        <v>#N/A</v>
      </c>
      <c r="AQ150" s="7">
        <f t="shared" si="41"/>
        <v>-2.4418165032307964</v>
      </c>
      <c r="AR150">
        <f t="shared" si="42"/>
        <v>177</v>
      </c>
    </row>
    <row r="151" spans="1:44" ht="18">
      <c r="A151" s="3">
        <f t="shared" si="55"/>
        <v>157</v>
      </c>
      <c r="B151" s="41" t="s">
        <v>208</v>
      </c>
      <c r="C151" s="1">
        <f t="shared" si="56"/>
        <v>157</v>
      </c>
      <c r="D151" s="1">
        <f t="shared" ref="D151:D174" si="57">AP151</f>
        <v>141</v>
      </c>
      <c r="E151" s="1">
        <f>VLOOKUP(B151,'2026-2027 adp'!A:C,3,FALSE)</f>
        <v>112.7</v>
      </c>
      <c r="F151" s="1">
        <f t="shared" si="43"/>
        <v>-44.3</v>
      </c>
      <c r="G151" s="1"/>
      <c r="H151" s="22" t="s">
        <v>725</v>
      </c>
      <c r="I151" s="22" t="s">
        <v>726</v>
      </c>
      <c r="J151" s="42">
        <v>0.8</v>
      </c>
      <c r="K151" s="42">
        <v>14.6</v>
      </c>
      <c r="L151" s="42">
        <v>5.6</v>
      </c>
      <c r="M151" s="42">
        <v>4.4000000000000004</v>
      </c>
      <c r="N151" s="42">
        <v>1</v>
      </c>
      <c r="O151" s="42">
        <v>0.3</v>
      </c>
      <c r="P151" s="42">
        <v>2.1</v>
      </c>
      <c r="Q151" s="43">
        <v>-0.43</v>
      </c>
      <c r="R151" s="42">
        <v>5.7</v>
      </c>
      <c r="S151" s="42">
        <v>11.6</v>
      </c>
      <c r="T151">
        <f t="shared" si="44"/>
        <v>0.49137931034482762</v>
      </c>
      <c r="U151" s="42">
        <v>2.2999999999999998</v>
      </c>
      <c r="V151" s="42">
        <v>3</v>
      </c>
      <c r="W151">
        <f t="shared" si="45"/>
        <v>0.76666666666666661</v>
      </c>
      <c r="X151" s="7">
        <f>IF(((T151 - '2026-2027 means'!E$2) / '2026-2027 means'!R$2) * (S151 / '2026-2027 means'!B$2) / 2 &lt; -2, -2, ((T151 - '2026-2027 means'!E$2) / '2026-2027 means'!R$2) * (S151 / '2026-2027 means'!B$2) / 2)</f>
        <v>0.18594453507166464</v>
      </c>
      <c r="Y151" s="11">
        <f>IF(((W151 - '2026-2027 means'!F$2) / '2026-2027 means'!S$2) * (V151 / '2026-2027 means'!D$2) &lt; -2, -2, ((W151 - '2026-2027 means'!F$2) / '2026-2027 means'!S$2) * (V151 / '2026-2027 means'!D$2))</f>
        <v>-0.29459668031555697</v>
      </c>
      <c r="Z151" s="7">
        <f>(J151-'2026-2027 means'!G$2)/'2026-2027 means'!T$2</f>
        <v>-0.91239180923484298</v>
      </c>
      <c r="AA151" s="7">
        <f>(K151-'2026-2027 means'!H$2)/'2026-2027 means'!U$2</f>
        <v>-0.24551210254899281</v>
      </c>
      <c r="AB151" s="7">
        <f>(L151-'2026-2027 means'!I$2)/'2026-2027 means'!V$2</f>
        <v>-3.5816044792013849E-2</v>
      </c>
      <c r="AC151" s="7">
        <f>(M151-'2026-2027 means'!J$2)/'2026-2027 means'!W$2</f>
        <v>0.38762624139234048</v>
      </c>
      <c r="AD151" s="7">
        <f>(N151-'2026-2027 means'!K$2)/'2026-2027 means'!X$2</f>
        <v>-4.818821706617768E-2</v>
      </c>
      <c r="AE151" s="7">
        <f>(O151-'2026-2027 means'!L$2)/'2026-2027 means'!Y$2</f>
        <v>-0.76869155096677622</v>
      </c>
      <c r="AF151" s="7">
        <f>IF(((P151 - '2026-2027 means'!M$2) / '2026-2027 means'!Z$2 * -1) &lt; -2, -2, (P151 - '2026-2027 means'!M$2) / '2026-2027 means'!Z$2 * -1)</f>
        <v>-0.34692844765482989</v>
      </c>
      <c r="AG151">
        <f t="shared" si="46"/>
        <v>0</v>
      </c>
      <c r="AH151">
        <f t="shared" si="47"/>
        <v>3</v>
      </c>
      <c r="AI151" s="8">
        <f t="shared" si="48"/>
        <v>0</v>
      </c>
      <c r="AJ151" s="8" t="e" vm="1">
        <f t="shared" ca="1" si="49"/>
        <v>#NAME?</v>
      </c>
      <c r="AK151" s="8" t="str">
        <f t="shared" si="50"/>
        <v>, FT%, 3PM, PTS, TREB, STL, BLK, TO</v>
      </c>
      <c r="AL151" t="str">
        <f t="shared" si="51"/>
        <v/>
      </c>
      <c r="AM151" t="str">
        <f t="shared" si="52"/>
        <v/>
      </c>
      <c r="AN151" t="str">
        <f t="shared" si="53"/>
        <v>FG%, AST</v>
      </c>
      <c r="AO151" t="str">
        <f t="shared" si="54"/>
        <v>, FT%, 3PM, PTS, TREB, STL, BLK, TO</v>
      </c>
      <c r="AP151">
        <f>VLOOKUP(B151,'2025-2026 actuals'!B:Q,16,FALSE)</f>
        <v>141</v>
      </c>
      <c r="AQ151" s="7">
        <f t="shared" si="41"/>
        <v>-2.0785540761151853</v>
      </c>
      <c r="AR151">
        <f t="shared" si="42"/>
        <v>157</v>
      </c>
    </row>
    <row r="152" spans="1:44" ht="18">
      <c r="A152" s="3">
        <f t="shared" si="55"/>
        <v>194</v>
      </c>
      <c r="B152" s="41" t="s">
        <v>286</v>
      </c>
      <c r="C152" s="1">
        <f t="shared" si="56"/>
        <v>194</v>
      </c>
      <c r="D152" s="1">
        <f t="shared" si="57"/>
        <v>111</v>
      </c>
      <c r="E152" s="1">
        <f>VLOOKUP(B152,'2026-2027 adp'!A:C,3,FALSE)</f>
        <v>54</v>
      </c>
      <c r="F152" s="1">
        <f t="shared" si="43"/>
        <v>-140</v>
      </c>
      <c r="G152" s="1"/>
      <c r="H152" s="22" t="s">
        <v>727</v>
      </c>
      <c r="I152" s="22" t="s">
        <v>728</v>
      </c>
      <c r="J152" s="42">
        <v>1.3</v>
      </c>
      <c r="K152" s="42">
        <v>17.5</v>
      </c>
      <c r="L152" s="42">
        <v>5</v>
      </c>
      <c r="M152" s="42">
        <v>6.3</v>
      </c>
      <c r="N152" s="42">
        <v>1.2</v>
      </c>
      <c r="O152" s="42">
        <v>0.3</v>
      </c>
      <c r="P152" s="42">
        <v>3</v>
      </c>
      <c r="Q152" s="43">
        <v>-0.56000000000000005</v>
      </c>
      <c r="R152" s="42">
        <v>6.1</v>
      </c>
      <c r="S152" s="42">
        <v>13.6</v>
      </c>
      <c r="T152">
        <f t="shared" si="44"/>
        <v>0.44852941176470584</v>
      </c>
      <c r="U152" s="42">
        <v>4</v>
      </c>
      <c r="V152" s="42">
        <v>5.5</v>
      </c>
      <c r="W152">
        <f t="shared" si="45"/>
        <v>0.72727272727272729</v>
      </c>
      <c r="X152" s="7">
        <f>IF(((T152 - '2026-2027 means'!E$2) / '2026-2027 means'!R$2) * (S152 / '2026-2027 means'!B$2) / 2 &lt; -2, -2, ((T152 - '2026-2027 means'!E$2) / '2026-2027 means'!R$2) * (S152 / '2026-2027 means'!B$2) / 2)</f>
        <v>-0.85489143147931923</v>
      </c>
      <c r="Y152" s="11">
        <f>IF(((W152 - '2026-2027 means'!F$2) / '2026-2027 means'!S$2) * (V152 / '2026-2027 means'!D$2) &lt; -2, -2, ((W152 - '2026-2027 means'!F$2) / '2026-2027 means'!S$2) * (V152 / '2026-2027 means'!D$2))</f>
        <v>-1.2933325807399489</v>
      </c>
      <c r="Z152" s="7">
        <f>(J152-'2026-2027 means'!G$2)/'2026-2027 means'!T$2</f>
        <v>-0.38631391578618157</v>
      </c>
      <c r="AA152" s="7">
        <f>(K152-'2026-2027 means'!H$2)/'2026-2027 means'!U$2</f>
        <v>0.30342922685571988</v>
      </c>
      <c r="AB152" s="7">
        <f>(L152-'2026-2027 means'!I$2)/'2026-2027 means'!V$2</f>
        <v>-0.28549321253287191</v>
      </c>
      <c r="AC152" s="7">
        <f>(M152-'2026-2027 means'!J$2)/'2026-2027 means'!W$2</f>
        <v>1.3686365898862745</v>
      </c>
      <c r="AD152" s="7">
        <f>(N152-'2026-2027 means'!K$2)/'2026-2027 means'!X$2</f>
        <v>0.53883188173995089</v>
      </c>
      <c r="AE152" s="7">
        <f>(O152-'2026-2027 means'!L$2)/'2026-2027 means'!Y$2</f>
        <v>-0.76869155096677622</v>
      </c>
      <c r="AF152" s="7">
        <f>IF(((P152 - '2026-2027 means'!M$2) / '2026-2027 means'!Z$2 * -1) &lt; -2, -2, (P152 - '2026-2027 means'!M$2) / '2026-2027 means'!Z$2 * -1)</f>
        <v>-1.5750958875914021</v>
      </c>
      <c r="AG152">
        <f t="shared" si="46"/>
        <v>1</v>
      </c>
      <c r="AH152">
        <f t="shared" si="47"/>
        <v>5</v>
      </c>
      <c r="AI152" s="8">
        <f t="shared" si="48"/>
        <v>0.2</v>
      </c>
      <c r="AJ152" s="8" t="e" vm="1">
        <f t="shared" ca="1" si="49"/>
        <v>#NAME?</v>
      </c>
      <c r="AK152" s="8" t="str">
        <f t="shared" si="50"/>
        <v>FG%, FT%, 3PM, TREB, BLK, TO</v>
      </c>
      <c r="AL152" t="str">
        <f t="shared" si="51"/>
        <v/>
      </c>
      <c r="AM152" t="str">
        <f t="shared" si="52"/>
        <v>, AST</v>
      </c>
      <c r="AN152" t="str">
        <f t="shared" si="53"/>
        <v>, PTS, STL</v>
      </c>
      <c r="AO152" t="str">
        <f t="shared" si="54"/>
        <v>FG%, FT%, 3PM, TREB, BLK, TO</v>
      </c>
      <c r="AP152">
        <f>VLOOKUP(B152,'2025-2026 actuals'!B:Q,16,FALSE)</f>
        <v>111</v>
      </c>
      <c r="AQ152" s="7">
        <f t="shared" si="41"/>
        <v>-2.9529208806145544</v>
      </c>
      <c r="AR152">
        <f t="shared" si="42"/>
        <v>194</v>
      </c>
    </row>
    <row r="153" spans="1:44" ht="18">
      <c r="A153" s="3">
        <f t="shared" si="55"/>
        <v>143</v>
      </c>
      <c r="B153" s="41" t="s">
        <v>214</v>
      </c>
      <c r="C153" s="1">
        <f t="shared" si="56"/>
        <v>143</v>
      </c>
      <c r="D153" s="1">
        <f t="shared" si="57"/>
        <v>125</v>
      </c>
      <c r="E153" s="1">
        <f>VLOOKUP(B153,'2026-2027 adp'!A:C,3,FALSE)</f>
        <v>120</v>
      </c>
      <c r="F153" s="1">
        <f t="shared" si="43"/>
        <v>-23</v>
      </c>
      <c r="G153" s="1"/>
      <c r="H153" s="22" t="s">
        <v>729</v>
      </c>
      <c r="I153" s="22" t="s">
        <v>730</v>
      </c>
      <c r="J153" s="42">
        <v>0.8</v>
      </c>
      <c r="K153" s="42">
        <v>11.3</v>
      </c>
      <c r="L153" s="42">
        <v>7.8</v>
      </c>
      <c r="M153" s="42">
        <v>2.1</v>
      </c>
      <c r="N153" s="42">
        <v>0.8</v>
      </c>
      <c r="O153" s="42">
        <v>0.7</v>
      </c>
      <c r="P153" s="42">
        <v>1.3</v>
      </c>
      <c r="Q153" s="43">
        <v>-0.57999999999999996</v>
      </c>
      <c r="R153" s="42">
        <v>4</v>
      </c>
      <c r="S153" s="42">
        <v>8.3000000000000007</v>
      </c>
      <c r="T153">
        <f t="shared" si="44"/>
        <v>0.48192771084337344</v>
      </c>
      <c r="U153" s="42">
        <v>2.4</v>
      </c>
      <c r="V153" s="42">
        <v>3.1</v>
      </c>
      <c r="W153">
        <f t="shared" si="45"/>
        <v>0.77419354838709675</v>
      </c>
      <c r="X153" s="7">
        <f>IF(((T153 - '2026-2027 means'!E$2) / '2026-2027 means'!R$2) * (S153 / '2026-2027 means'!B$2) / 2 &lt; -2, -2, ((T153 - '2026-2027 means'!E$2) / '2026-2027 means'!R$2) * (S153 / '2026-2027 means'!B$2) / 2)</f>
        <v>-1.1381701986096606E-2</v>
      </c>
      <c r="Y153" s="11">
        <f>IF(((W153 - '2026-2027 means'!F$2) / '2026-2027 means'!S$2) * (V153 / '2026-2027 means'!D$2) &lt; -2, -2, ((W153 - '2026-2027 means'!F$2) / '2026-2027 means'!S$2) * (V153 / '2026-2027 means'!D$2))</f>
        <v>-0.22329855938561347</v>
      </c>
      <c r="Z153" s="7">
        <f>(J153-'2026-2027 means'!G$2)/'2026-2027 means'!T$2</f>
        <v>-0.91239180923484298</v>
      </c>
      <c r="AA153" s="7">
        <f>(K153-'2026-2027 means'!H$2)/'2026-2027 means'!U$2</f>
        <v>-0.87016947738883799</v>
      </c>
      <c r="AB153" s="7">
        <f>(L153-'2026-2027 means'!I$2)/'2026-2027 means'!V$2</f>
        <v>0.87966690359113309</v>
      </c>
      <c r="AC153" s="7">
        <f>(M153-'2026-2027 means'!J$2)/'2026-2027 means'!W$2</f>
        <v>-0.79991260152136945</v>
      </c>
      <c r="AD153" s="7">
        <f>(N153-'2026-2027 means'!K$2)/'2026-2027 means'!X$2</f>
        <v>-0.6352083158723062</v>
      </c>
      <c r="AE153" s="7">
        <f>(O153-'2026-2027 means'!L$2)/'2026-2027 means'!Y$2</f>
        <v>4.3434608004692253E-2</v>
      </c>
      <c r="AF153" s="7">
        <f>IF(((P153 - '2026-2027 means'!M$2) / '2026-2027 means'!Z$2 * -1) &lt; -2, -2, (P153 - '2026-2027 means'!M$2) / '2026-2027 means'!Z$2 * -1)</f>
        <v>0.74477594339990116</v>
      </c>
      <c r="AG153">
        <f t="shared" si="46"/>
        <v>0</v>
      </c>
      <c r="AH153">
        <f t="shared" si="47"/>
        <v>4</v>
      </c>
      <c r="AI153" s="8">
        <f t="shared" si="48"/>
        <v>0</v>
      </c>
      <c r="AJ153" s="8" t="e" vm="1">
        <f t="shared" ca="1" si="49"/>
        <v>#NAME?</v>
      </c>
      <c r="AK153" s="8" t="str">
        <f t="shared" si="50"/>
        <v>FG%, FT%, 3PM, PTS, AST, STL</v>
      </c>
      <c r="AL153" t="str">
        <f t="shared" si="51"/>
        <v/>
      </c>
      <c r="AM153" t="str">
        <f t="shared" si="52"/>
        <v/>
      </c>
      <c r="AN153" t="str">
        <f t="shared" si="53"/>
        <v>, TREB, BLK, TO</v>
      </c>
      <c r="AO153" t="str">
        <f t="shared" si="54"/>
        <v>FG%, FT%, 3PM, PTS, AST, STL</v>
      </c>
      <c r="AP153">
        <f>VLOOKUP(B153,'2025-2026 actuals'!B:Q,16,FALSE)</f>
        <v>125</v>
      </c>
      <c r="AQ153" s="7">
        <f t="shared" si="41"/>
        <v>-1.7844850103933401</v>
      </c>
      <c r="AR153">
        <f t="shared" si="42"/>
        <v>143</v>
      </c>
    </row>
    <row r="154" spans="1:44" ht="18">
      <c r="A154" s="3">
        <f t="shared" si="55"/>
        <v>182</v>
      </c>
      <c r="B154" s="41" t="s">
        <v>199</v>
      </c>
      <c r="C154" s="1">
        <f t="shared" si="56"/>
        <v>182</v>
      </c>
      <c r="D154" s="1">
        <f t="shared" si="57"/>
        <v>160</v>
      </c>
      <c r="E154" s="1">
        <f>VLOOKUP(B154,'2026-2027 adp'!A:C,3,FALSE)</f>
        <v>112.4</v>
      </c>
      <c r="F154" s="1">
        <f t="shared" si="43"/>
        <v>-69.599999999999994</v>
      </c>
      <c r="G154" s="1"/>
      <c r="H154" s="22" t="s">
        <v>731</v>
      </c>
      <c r="I154" s="22" t="s">
        <v>732</v>
      </c>
      <c r="J154" s="42">
        <v>1.8</v>
      </c>
      <c r="K154" s="42">
        <v>20.5</v>
      </c>
      <c r="L154" s="42">
        <v>5.9</v>
      </c>
      <c r="M154" s="42">
        <v>4.5</v>
      </c>
      <c r="N154" s="42">
        <v>0.8</v>
      </c>
      <c r="O154" s="42">
        <v>0.3</v>
      </c>
      <c r="P154" s="42">
        <v>2.2999999999999998</v>
      </c>
      <c r="Q154" s="43">
        <v>-0.62</v>
      </c>
      <c r="R154" s="42">
        <v>7.6</v>
      </c>
      <c r="S154" s="42">
        <v>15.9</v>
      </c>
      <c r="T154">
        <f t="shared" si="44"/>
        <v>0.47798742138364775</v>
      </c>
      <c r="U154" s="42">
        <v>3.5</v>
      </c>
      <c r="V154" s="42">
        <v>5.2</v>
      </c>
      <c r="W154">
        <f t="shared" si="45"/>
        <v>0.67307692307692302</v>
      </c>
      <c r="X154" s="7">
        <f>IF(((T154 - '2026-2027 means'!E$2) / '2026-2027 means'!R$2) * (S154 / '2026-2027 means'!B$2) / 2 &lt; -2, -2, ((T154 - '2026-2027 means'!E$2) / '2026-2027 means'!R$2) * (S154 / '2026-2027 means'!B$2) / 2)</f>
        <v>-0.13714721114606918</v>
      </c>
      <c r="Y154" s="11">
        <f>IF(((W154 - '2026-2027 means'!F$2) / '2026-2027 means'!S$2) * (V154 / '2026-2027 means'!D$2) &lt; -2, -2, ((W154 - '2026-2027 means'!F$2) / '2026-2027 means'!S$2) * (V154 / '2026-2027 means'!D$2))</f>
        <v>-2</v>
      </c>
      <c r="Z154" s="7">
        <f>(J154-'2026-2027 means'!G$2)/'2026-2027 means'!T$2</f>
        <v>0.13976397766247983</v>
      </c>
      <c r="AA154" s="7">
        <f>(K154-'2026-2027 means'!H$2)/'2026-2027 means'!U$2</f>
        <v>0.87129956761921568</v>
      </c>
      <c r="AB154" s="7">
        <f>(L154-'2026-2027 means'!I$2)/'2026-2027 means'!V$2</f>
        <v>8.902253907841555E-2</v>
      </c>
      <c r="AC154" s="7">
        <f>(M154-'2026-2027 means'!J$2)/'2026-2027 means'!W$2</f>
        <v>0.43925836499728421</v>
      </c>
      <c r="AD154" s="7">
        <f>(N154-'2026-2027 means'!K$2)/'2026-2027 means'!X$2</f>
        <v>-0.6352083158723062</v>
      </c>
      <c r="AE154" s="7">
        <f>(O154-'2026-2027 means'!L$2)/'2026-2027 means'!Y$2</f>
        <v>-0.76869155096677622</v>
      </c>
      <c r="AF154" s="7">
        <f>IF(((P154 - '2026-2027 means'!M$2) / '2026-2027 means'!Z$2 * -1) &lt; -2, -2, (P154 - '2026-2027 means'!M$2) / '2026-2027 means'!Z$2 * -1)</f>
        <v>-0.61985454541851226</v>
      </c>
      <c r="AG154">
        <f t="shared" si="46"/>
        <v>0</v>
      </c>
      <c r="AH154">
        <f t="shared" si="47"/>
        <v>3</v>
      </c>
      <c r="AI154" s="8">
        <f t="shared" si="48"/>
        <v>0</v>
      </c>
      <c r="AJ154" s="8" t="e" vm="1">
        <f t="shared" ca="1" si="49"/>
        <v>#NAME?</v>
      </c>
      <c r="AK154" s="8" t="str">
        <f t="shared" si="50"/>
        <v>FG%, FT%, STL, BLK, TO</v>
      </c>
      <c r="AL154" t="str">
        <f t="shared" si="51"/>
        <v/>
      </c>
      <c r="AM154" t="str">
        <f t="shared" si="52"/>
        <v/>
      </c>
      <c r="AN154" t="str">
        <f t="shared" si="53"/>
        <v>, 3PM, PTS, TREB, AST</v>
      </c>
      <c r="AO154" t="str">
        <f t="shared" si="54"/>
        <v>FG%, FT%, STL, BLK, TO</v>
      </c>
      <c r="AP154">
        <f>VLOOKUP(B154,'2025-2026 actuals'!B:Q,16,FALSE)</f>
        <v>160</v>
      </c>
      <c r="AQ154" s="7">
        <f t="shared" si="41"/>
        <v>-2.6215571740462686</v>
      </c>
      <c r="AR154">
        <f t="shared" si="42"/>
        <v>182</v>
      </c>
    </row>
    <row r="155" spans="1:44" ht="18">
      <c r="A155" s="3">
        <f t="shared" si="55"/>
        <v>144</v>
      </c>
      <c r="B155" s="41" t="s">
        <v>104</v>
      </c>
      <c r="C155" s="1">
        <f t="shared" si="56"/>
        <v>144</v>
      </c>
      <c r="D155" s="1">
        <f t="shared" si="57"/>
        <v>132</v>
      </c>
      <c r="E155" s="1">
        <f>VLOOKUP(B155,'2026-2027 adp'!A:C,3,FALSE)</f>
        <v>111.8</v>
      </c>
      <c r="F155" s="1">
        <f t="shared" si="43"/>
        <v>-32.200000000000003</v>
      </c>
      <c r="G155" s="1"/>
      <c r="H155" s="22" t="s">
        <v>733</v>
      </c>
      <c r="I155" s="22" t="s">
        <v>734</v>
      </c>
      <c r="J155" s="42">
        <v>1.1000000000000001</v>
      </c>
      <c r="K155" s="42">
        <v>12</v>
      </c>
      <c r="L155" s="42">
        <v>4.9000000000000004</v>
      </c>
      <c r="M155" s="42">
        <v>2.1</v>
      </c>
      <c r="N155" s="42">
        <v>0.9</v>
      </c>
      <c r="O155" s="42">
        <v>0.5</v>
      </c>
      <c r="P155" s="42">
        <v>1</v>
      </c>
      <c r="Q155" s="43">
        <v>-0.67</v>
      </c>
      <c r="R155" s="42">
        <v>4.5</v>
      </c>
      <c r="S155" s="42">
        <v>9.6</v>
      </c>
      <c r="T155">
        <f t="shared" si="44"/>
        <v>0.46875</v>
      </c>
      <c r="U155" s="42">
        <v>1.8</v>
      </c>
      <c r="V155" s="42">
        <v>2.1</v>
      </c>
      <c r="W155">
        <f t="shared" si="45"/>
        <v>0.8571428571428571</v>
      </c>
      <c r="X155" s="7">
        <f>IF(((T155 - '2026-2027 means'!E$2) / '2026-2027 means'!R$2) * (S155 / '2026-2027 means'!B$2) / 2 &lt; -2, -2, ((T155 - '2026-2027 means'!E$2) / '2026-2027 means'!R$2) * (S155 / '2026-2027 means'!B$2) / 2)</f>
        <v>-0.24606994596726178</v>
      </c>
      <c r="Y155" s="11">
        <f>IF(((W155 - '2026-2027 means'!F$2) / '2026-2027 means'!S$2) * (V155 / '2026-2027 means'!D$2) &lt; -2, -2, ((W155 - '2026-2027 means'!F$2) / '2026-2027 means'!S$2) * (V155 / '2026-2027 means'!D$2))</f>
        <v>0.45431469315144063</v>
      </c>
      <c r="Z155" s="7">
        <f>(J155-'2026-2027 means'!G$2)/'2026-2027 means'!T$2</f>
        <v>-0.59674507316564607</v>
      </c>
      <c r="AA155" s="7">
        <f>(K155-'2026-2027 means'!H$2)/'2026-2027 means'!U$2</f>
        <v>-0.73766639787735577</v>
      </c>
      <c r="AB155" s="7">
        <f>(L155-'2026-2027 means'!I$2)/'2026-2027 means'!V$2</f>
        <v>-0.32710607382301482</v>
      </c>
      <c r="AC155" s="7">
        <f>(M155-'2026-2027 means'!J$2)/'2026-2027 means'!W$2</f>
        <v>-0.79991260152136945</v>
      </c>
      <c r="AD155" s="7">
        <f>(N155-'2026-2027 means'!K$2)/'2026-2027 means'!X$2</f>
        <v>-0.34169826646924195</v>
      </c>
      <c r="AE155" s="7">
        <f>(O155-'2026-2027 means'!L$2)/'2026-2027 means'!Y$2</f>
        <v>-0.36262847148104194</v>
      </c>
      <c r="AF155" s="7">
        <f>IF(((P155 - '2026-2027 means'!M$2) / '2026-2027 means'!Z$2 * -1) &lt; -2, -2, (P155 - '2026-2027 means'!M$2) / '2026-2027 means'!Z$2 * -1)</f>
        <v>1.1541650900454252</v>
      </c>
      <c r="AG155">
        <f t="shared" si="46"/>
        <v>0</v>
      </c>
      <c r="AH155">
        <f t="shared" si="47"/>
        <v>6</v>
      </c>
      <c r="AI155" s="8">
        <f t="shared" si="48"/>
        <v>0</v>
      </c>
      <c r="AJ155" s="8" t="e" vm="1">
        <f t="shared" ca="1" si="49"/>
        <v>#NAME?</v>
      </c>
      <c r="AK155" s="8" t="str">
        <f t="shared" si="50"/>
        <v>FG%, 3PM, PTS, TREB, AST, STL, BLK</v>
      </c>
      <c r="AL155" t="str">
        <f t="shared" si="51"/>
        <v/>
      </c>
      <c r="AM155" t="str">
        <f t="shared" si="52"/>
        <v>, TO</v>
      </c>
      <c r="AN155" t="str">
        <f t="shared" si="53"/>
        <v>, FT%</v>
      </c>
      <c r="AO155" t="str">
        <f t="shared" si="54"/>
        <v>FG%, 3PM, PTS, TREB, AST, STL, BLK</v>
      </c>
      <c r="AP155">
        <f>VLOOKUP(B155,'2025-2026 actuals'!B:Q,16,FALSE)</f>
        <v>132</v>
      </c>
      <c r="AQ155" s="7">
        <f t="shared" si="41"/>
        <v>-1.8033470471080664</v>
      </c>
      <c r="AR155">
        <f t="shared" si="42"/>
        <v>144</v>
      </c>
    </row>
    <row r="156" spans="1:44" ht="18">
      <c r="A156" s="3">
        <f t="shared" si="55"/>
        <v>164</v>
      </c>
      <c r="B156" s="41" t="s">
        <v>172</v>
      </c>
      <c r="C156" s="1">
        <f t="shared" si="56"/>
        <v>164</v>
      </c>
      <c r="D156" s="1">
        <f t="shared" si="57"/>
        <v>166</v>
      </c>
      <c r="E156" s="1">
        <f>VLOOKUP(B156,'2026-2027 adp'!A:C,3,FALSE)</f>
        <v>140</v>
      </c>
      <c r="F156" s="1">
        <f t="shared" si="43"/>
        <v>-24</v>
      </c>
      <c r="G156" s="1"/>
      <c r="H156" s="22" t="s">
        <v>735</v>
      </c>
      <c r="I156" s="22" t="s">
        <v>736</v>
      </c>
      <c r="J156" s="42">
        <v>0</v>
      </c>
      <c r="K156" s="42">
        <v>7.3</v>
      </c>
      <c r="L156" s="42">
        <v>6.5</v>
      </c>
      <c r="M156" s="42">
        <v>2.1</v>
      </c>
      <c r="N156" s="42">
        <v>0.5</v>
      </c>
      <c r="O156" s="42">
        <v>1.4</v>
      </c>
      <c r="P156" s="42">
        <v>1.1000000000000001</v>
      </c>
      <c r="Q156" s="43">
        <v>-0.73</v>
      </c>
      <c r="R156" s="42">
        <v>3.1</v>
      </c>
      <c r="S156" s="42">
        <v>4.4000000000000004</v>
      </c>
      <c r="T156">
        <f t="shared" si="44"/>
        <v>0.70454545454545447</v>
      </c>
      <c r="U156" s="42">
        <v>1.1000000000000001</v>
      </c>
      <c r="V156" s="42">
        <v>1.8</v>
      </c>
      <c r="W156">
        <f t="shared" si="45"/>
        <v>0.61111111111111116</v>
      </c>
      <c r="X156" s="7">
        <f>IF(((T156 - '2026-2027 means'!E$2) / '2026-2027 means'!R$2) * (S156 / '2026-2027 means'!B$2) / 2 &lt; -2, -2, ((T156 - '2026-2027 means'!E$2) / '2026-2027 means'!R$2) * (S156 / '2026-2027 means'!B$2) / 2)</f>
        <v>1.797320865649833</v>
      </c>
      <c r="Y156" s="11">
        <f>IF(((W156 - '2026-2027 means'!F$2) / '2026-2027 means'!S$2) * (V156 / '2026-2027 means'!D$2) &lt; -2, -2, ((W156 - '2026-2027 means'!F$2) / '2026-2027 means'!S$2) * (V156 / '2026-2027 means'!D$2))</f>
        <v>-1.150174131474873</v>
      </c>
      <c r="Z156" s="7">
        <f>(J156-'2026-2027 means'!G$2)/'2026-2027 means'!T$2</f>
        <v>-1.7541164387527013</v>
      </c>
      <c r="AA156" s="7">
        <f>(K156-'2026-2027 means'!H$2)/'2026-2027 means'!U$2</f>
        <v>-1.6273299317401657</v>
      </c>
      <c r="AB156" s="7">
        <f>(L156-'2026-2027 means'!I$2)/'2026-2027 means'!V$2</f>
        <v>0.33869970681927364</v>
      </c>
      <c r="AC156" s="7">
        <f>(M156-'2026-2027 means'!J$2)/'2026-2027 means'!W$2</f>
        <v>-0.79991260152136945</v>
      </c>
      <c r="AD156" s="7">
        <f>(N156-'2026-2027 means'!K$2)/'2026-2027 means'!X$2</f>
        <v>-1.5157384640814993</v>
      </c>
      <c r="AE156" s="7">
        <f>(O156-'2026-2027 means'!L$2)/'2026-2027 means'!Y$2</f>
        <v>1.464655386204762</v>
      </c>
      <c r="AF156" s="7">
        <f>IF(((P156 - '2026-2027 means'!M$2) / '2026-2027 means'!Z$2 * -1) &lt; -2, -2, (P156 - '2026-2027 means'!M$2) / '2026-2027 means'!Z$2 * -1)</f>
        <v>1.0177020411635838</v>
      </c>
      <c r="AG156">
        <f t="shared" si="46"/>
        <v>2</v>
      </c>
      <c r="AH156">
        <f t="shared" si="47"/>
        <v>5</v>
      </c>
      <c r="AI156" s="8">
        <f t="shared" si="48"/>
        <v>0.4</v>
      </c>
      <c r="AJ156" s="8" t="e" vm="1">
        <f t="shared" ca="1" si="49"/>
        <v>#NAME?</v>
      </c>
      <c r="AK156" s="8" t="str">
        <f t="shared" si="50"/>
        <v>, FT%, 3PM, PTS, AST, STL</v>
      </c>
      <c r="AL156" t="str">
        <f t="shared" si="51"/>
        <v/>
      </c>
      <c r="AM156" t="str">
        <f t="shared" si="52"/>
        <v>FG%, BLK, TO</v>
      </c>
      <c r="AN156" t="str">
        <f t="shared" si="53"/>
        <v>, TREB</v>
      </c>
      <c r="AO156" t="str">
        <f t="shared" si="54"/>
        <v>, FT%, 3PM, PTS, AST, STL</v>
      </c>
      <c r="AP156">
        <f>VLOOKUP(B156,'2025-2026 actuals'!B:Q,16,FALSE)</f>
        <v>166</v>
      </c>
      <c r="AQ156" s="7">
        <f t="shared" si="41"/>
        <v>-2.2288935677331567</v>
      </c>
      <c r="AR156">
        <f t="shared" si="42"/>
        <v>164</v>
      </c>
    </row>
    <row r="157" spans="1:44" ht="18">
      <c r="A157" s="3">
        <f t="shared" si="55"/>
        <v>162</v>
      </c>
      <c r="B157" s="41" t="s">
        <v>964</v>
      </c>
      <c r="C157" s="1">
        <f t="shared" si="56"/>
        <v>162</v>
      </c>
      <c r="D157" s="1" t="e">
        <f t="shared" si="57"/>
        <v>#N/A</v>
      </c>
      <c r="E157" s="1">
        <f>VLOOKUP(B157,'2026-2027 adp'!A:C,3,FALSE)</f>
        <v>103.3</v>
      </c>
      <c r="F157" s="1">
        <f t="shared" si="43"/>
        <v>-58.7</v>
      </c>
      <c r="G157" s="1"/>
      <c r="H157" s="22" t="s">
        <v>737</v>
      </c>
      <c r="I157" s="22" t="s">
        <v>738</v>
      </c>
      <c r="J157" s="42">
        <v>2</v>
      </c>
      <c r="K157" s="42">
        <v>15.1</v>
      </c>
      <c r="L157" s="42">
        <v>3.1</v>
      </c>
      <c r="M157" s="42">
        <v>3</v>
      </c>
      <c r="N157" s="42">
        <v>1.1000000000000001</v>
      </c>
      <c r="O157" s="42">
        <v>0.5</v>
      </c>
      <c r="P157" s="42">
        <v>2</v>
      </c>
      <c r="Q157" s="43">
        <v>-0.77</v>
      </c>
      <c r="R157" s="42">
        <v>4.9000000000000004</v>
      </c>
      <c r="S157" s="42">
        <v>11.4</v>
      </c>
      <c r="T157">
        <f t="shared" si="44"/>
        <v>0.42982456140350878</v>
      </c>
      <c r="U157" s="42">
        <v>3.4</v>
      </c>
      <c r="V157" s="42">
        <v>4.0999999999999996</v>
      </c>
      <c r="W157">
        <f t="shared" si="45"/>
        <v>0.8292682926829269</v>
      </c>
      <c r="X157" s="7">
        <f>IF(((T157 - '2026-2027 means'!E$2) / '2026-2027 means'!R$2) * (S157 / '2026-2027 means'!B$2) / 2 &lt; -2, -2, ((T157 - '2026-2027 means'!E$2) / '2026-2027 means'!R$2) * (S157 / '2026-2027 means'!B$2) / 2)</f>
        <v>-1.1091797934836503</v>
      </c>
      <c r="Y157" s="11">
        <f>IF(((W157 - '2026-2027 means'!F$2) / '2026-2027 means'!S$2) * (V157 / '2026-2027 means'!D$2) &lt; -2, -2, ((W157 - '2026-2027 means'!F$2) / '2026-2027 means'!S$2) * (V157 / '2026-2027 means'!D$2))</f>
        <v>0.4896826499138186</v>
      </c>
      <c r="Z157" s="7">
        <f>(J157-'2026-2027 means'!G$2)/'2026-2027 means'!T$2</f>
        <v>0.35019513504194433</v>
      </c>
      <c r="AA157" s="7">
        <f>(K157-'2026-2027 means'!H$2)/'2026-2027 means'!U$2</f>
        <v>-0.15086704575507684</v>
      </c>
      <c r="AB157" s="7">
        <f>(L157-'2026-2027 means'!I$2)/'2026-2027 means'!V$2</f>
        <v>-1.0761375770455897</v>
      </c>
      <c r="AC157" s="7">
        <f>(M157-'2026-2027 means'!J$2)/'2026-2027 means'!W$2</f>
        <v>-0.33522348907687438</v>
      </c>
      <c r="AD157" s="7">
        <f>(N157-'2026-2027 means'!K$2)/'2026-2027 means'!X$2</f>
        <v>0.24532183233688692</v>
      </c>
      <c r="AE157" s="7">
        <f>(O157-'2026-2027 means'!L$2)/'2026-2027 means'!Y$2</f>
        <v>-0.36262847148104194</v>
      </c>
      <c r="AF157" s="7">
        <f>IF(((P157 - '2026-2027 means'!M$2) / '2026-2027 means'!Z$2 * -1) &lt; -2, -2, (P157 - '2026-2027 means'!M$2) / '2026-2027 means'!Z$2 * -1)</f>
        <v>-0.21046539877298837</v>
      </c>
      <c r="AG157">
        <f t="shared" si="46"/>
        <v>0</v>
      </c>
      <c r="AH157">
        <f t="shared" si="47"/>
        <v>4</v>
      </c>
      <c r="AI157" s="8">
        <f t="shared" si="48"/>
        <v>0</v>
      </c>
      <c r="AJ157" s="8" t="e" vm="1">
        <f t="shared" ca="1" si="49"/>
        <v>#NAME?</v>
      </c>
      <c r="AK157" s="8" t="str">
        <f t="shared" si="50"/>
        <v>FG%, PTS, TREB, AST, BLK, TO</v>
      </c>
      <c r="AL157" t="str">
        <f t="shared" si="51"/>
        <v/>
      </c>
      <c r="AM157" t="str">
        <f t="shared" si="52"/>
        <v/>
      </c>
      <c r="AN157" t="str">
        <f t="shared" si="53"/>
        <v>, FT%, 3PM, STL</v>
      </c>
      <c r="AO157" t="str">
        <f t="shared" si="54"/>
        <v>FG%, PTS, TREB, AST, BLK, TO</v>
      </c>
      <c r="AP157" t="e">
        <f>VLOOKUP(B157,'2025-2026 actuals'!B:Q,16,FALSE)</f>
        <v>#N/A</v>
      </c>
      <c r="AQ157" s="7">
        <f t="shared" si="41"/>
        <v>-2.1593021583225718</v>
      </c>
      <c r="AR157">
        <f t="shared" si="42"/>
        <v>162</v>
      </c>
    </row>
    <row r="158" spans="1:44" ht="18">
      <c r="A158" s="3">
        <f t="shared" si="55"/>
        <v>152</v>
      </c>
      <c r="B158" s="41" t="s">
        <v>116</v>
      </c>
      <c r="C158" s="1">
        <f t="shared" si="56"/>
        <v>152</v>
      </c>
      <c r="D158" s="1">
        <f t="shared" si="57"/>
        <v>88</v>
      </c>
      <c r="E158" s="1">
        <f>VLOOKUP(B158,'2026-2027 adp'!A:C,3,FALSE)</f>
        <v>114.1</v>
      </c>
      <c r="F158" s="1">
        <f t="shared" si="43"/>
        <v>-37.900000000000006</v>
      </c>
      <c r="G158" s="1"/>
      <c r="H158" s="22" t="s">
        <v>739</v>
      </c>
      <c r="I158" s="22" t="s">
        <v>740</v>
      </c>
      <c r="J158" s="42">
        <v>2.6</v>
      </c>
      <c r="K158" s="42">
        <v>12.8</v>
      </c>
      <c r="L158" s="42">
        <v>2.9</v>
      </c>
      <c r="M158" s="42">
        <v>2.8</v>
      </c>
      <c r="N158" s="42">
        <v>1</v>
      </c>
      <c r="O158" s="42">
        <v>0.3</v>
      </c>
      <c r="P158" s="42">
        <v>1.3</v>
      </c>
      <c r="Q158" s="43">
        <v>-0.77</v>
      </c>
      <c r="R158" s="42">
        <v>4.0999999999999996</v>
      </c>
      <c r="S158" s="42">
        <v>9.6999999999999993</v>
      </c>
      <c r="T158">
        <f t="shared" si="44"/>
        <v>0.42268041237113402</v>
      </c>
      <c r="U158" s="42">
        <v>2</v>
      </c>
      <c r="V158" s="42">
        <v>2.4</v>
      </c>
      <c r="W158">
        <f t="shared" si="45"/>
        <v>0.83333333333333337</v>
      </c>
      <c r="X158" s="7">
        <f>IF(((T158 - '2026-2027 means'!E$2) / '2026-2027 means'!R$2) * (S158 / '2026-2027 means'!B$2) / 2 &lt; -2, -2, ((T158 - '2026-2027 means'!E$2) / '2026-2027 means'!R$2) * (S158 / '2026-2027 means'!B$2) / 2)</f>
        <v>-1.0713582292795123</v>
      </c>
      <c r="Y158" s="11">
        <f>IF(((W158 - '2026-2027 means'!F$2) / '2026-2027 means'!S$2) * (V158 / '2026-2027 means'!D$2) &lt; -2, -2, ((W158 - '2026-2027 means'!F$2) / '2026-2027 means'!S$2) * (V158 / '2026-2027 means'!D$2))</f>
        <v>0.32056044048214927</v>
      </c>
      <c r="Z158" s="7">
        <f>(J158-'2026-2027 means'!G$2)/'2026-2027 means'!T$2</f>
        <v>0.98148860718033804</v>
      </c>
      <c r="AA158" s="7">
        <f>(K158-'2026-2027 means'!H$2)/'2026-2027 means'!U$2</f>
        <v>-0.58623430700709012</v>
      </c>
      <c r="AB158" s="7">
        <f>(L158-'2026-2027 means'!I$2)/'2026-2027 means'!V$2</f>
        <v>-1.1593632996258758</v>
      </c>
      <c r="AC158" s="7">
        <f>(M158-'2026-2027 means'!J$2)/'2026-2027 means'!W$2</f>
        <v>-0.4384877362867623</v>
      </c>
      <c r="AD158" s="7">
        <f>(N158-'2026-2027 means'!K$2)/'2026-2027 means'!X$2</f>
        <v>-4.818821706617768E-2</v>
      </c>
      <c r="AE158" s="7">
        <f>(O158-'2026-2027 means'!L$2)/'2026-2027 means'!Y$2</f>
        <v>-0.76869155096677622</v>
      </c>
      <c r="AF158" s="7">
        <f>IF(((P158 - '2026-2027 means'!M$2) / '2026-2027 means'!Z$2 * -1) &lt; -2, -2, (P158 - '2026-2027 means'!M$2) / '2026-2027 means'!Z$2 * -1)</f>
        <v>0.74477594339990116</v>
      </c>
      <c r="AG158">
        <f t="shared" si="46"/>
        <v>0</v>
      </c>
      <c r="AH158">
        <f t="shared" si="47"/>
        <v>5</v>
      </c>
      <c r="AI158" s="8">
        <f t="shared" si="48"/>
        <v>0</v>
      </c>
      <c r="AJ158" s="8" t="e" vm="1">
        <f t="shared" ca="1" si="49"/>
        <v>#NAME?</v>
      </c>
      <c r="AK158" s="8" t="str">
        <f t="shared" si="50"/>
        <v>FG%, PTS, TREB, AST, STL, BLK</v>
      </c>
      <c r="AL158" t="str">
        <f t="shared" si="51"/>
        <v/>
      </c>
      <c r="AM158" t="str">
        <f t="shared" si="52"/>
        <v/>
      </c>
      <c r="AN158" t="str">
        <f t="shared" si="53"/>
        <v>, FT%, 3PM, TO</v>
      </c>
      <c r="AO158" t="str">
        <f t="shared" si="54"/>
        <v>FG%, PTS, TREB, AST, STL, BLK</v>
      </c>
      <c r="AP158">
        <f>VLOOKUP(B158,'2025-2026 actuals'!B:Q,16,FALSE)</f>
        <v>88</v>
      </c>
      <c r="AQ158" s="7">
        <f t="shared" si="41"/>
        <v>-2.0254983491698062</v>
      </c>
      <c r="AR158">
        <f t="shared" si="42"/>
        <v>152</v>
      </c>
    </row>
    <row r="159" spans="1:44" ht="18">
      <c r="A159" s="3">
        <f t="shared" si="55"/>
        <v>145</v>
      </c>
      <c r="B159" s="41" t="s">
        <v>213</v>
      </c>
      <c r="C159" s="1">
        <f t="shared" si="56"/>
        <v>145</v>
      </c>
      <c r="D159" s="1">
        <f t="shared" si="57"/>
        <v>134</v>
      </c>
      <c r="E159" s="1">
        <f>VLOOKUP(B159,'2026-2027 adp'!A:C,3,FALSE)</f>
        <v>140</v>
      </c>
      <c r="F159" s="1">
        <f t="shared" si="43"/>
        <v>-5</v>
      </c>
      <c r="G159" s="1"/>
      <c r="H159" s="22" t="s">
        <v>741</v>
      </c>
      <c r="I159" s="22" t="s">
        <v>742</v>
      </c>
      <c r="J159" s="42">
        <v>1.8</v>
      </c>
      <c r="K159" s="42">
        <v>13.2</v>
      </c>
      <c r="L159" s="42">
        <v>5.0999999999999996</v>
      </c>
      <c r="M159" s="42">
        <v>2.9</v>
      </c>
      <c r="N159" s="42">
        <v>0.8</v>
      </c>
      <c r="O159" s="42">
        <v>0.6</v>
      </c>
      <c r="P159" s="42">
        <v>1.2</v>
      </c>
      <c r="Q159" s="43">
        <v>-0.82</v>
      </c>
      <c r="R159" s="42">
        <v>5.0999999999999996</v>
      </c>
      <c r="S159" s="42">
        <v>10.5</v>
      </c>
      <c r="T159">
        <f t="shared" si="44"/>
        <v>0.48571428571428565</v>
      </c>
      <c r="U159" s="42">
        <v>1.3</v>
      </c>
      <c r="V159" s="42">
        <v>2</v>
      </c>
      <c r="W159">
        <f t="shared" si="45"/>
        <v>0.65</v>
      </c>
      <c r="X159" s="7">
        <f>IF(((T159 - '2026-2027 means'!E$2) / '2026-2027 means'!R$2) * (S159 / '2026-2027 means'!B$2) / 2 &lt; -2, -2, ((T159 - '2026-2027 means'!E$2) / '2026-2027 means'!R$2) * (S159 / '2026-2027 means'!B$2) / 2)</f>
        <v>5.8800354069496658E-2</v>
      </c>
      <c r="Y159" s="11">
        <f>IF(((W159 - '2026-2027 means'!F$2) / '2026-2027 means'!S$2) * (V159 / '2026-2027 means'!D$2) &lt; -2, -2, ((W159 - '2026-2027 means'!F$2) / '2026-2027 means'!S$2) * (V159 / '2026-2027 means'!D$2))</f>
        <v>-1.0075778896149872</v>
      </c>
      <c r="Z159" s="7">
        <f>(J159-'2026-2027 means'!G$2)/'2026-2027 means'!T$2</f>
        <v>0.13976397766247983</v>
      </c>
      <c r="AA159" s="7">
        <f>(K159-'2026-2027 means'!H$2)/'2026-2027 means'!U$2</f>
        <v>-0.51051826157195757</v>
      </c>
      <c r="AB159" s="7">
        <f>(L159-'2026-2027 means'!I$2)/'2026-2027 means'!V$2</f>
        <v>-0.24388035124272903</v>
      </c>
      <c r="AC159" s="7">
        <f>(M159-'2026-2027 means'!J$2)/'2026-2027 means'!W$2</f>
        <v>-0.38685561268181834</v>
      </c>
      <c r="AD159" s="7">
        <f>(N159-'2026-2027 means'!K$2)/'2026-2027 means'!X$2</f>
        <v>-0.6352083158723062</v>
      </c>
      <c r="AE159" s="7">
        <f>(O159-'2026-2027 means'!L$2)/'2026-2027 means'!Y$2</f>
        <v>-0.15959693173817482</v>
      </c>
      <c r="AF159" s="7">
        <f>IF(((P159 - '2026-2027 means'!M$2) / '2026-2027 means'!Z$2 * -1) &lt; -2, -2, (P159 - '2026-2027 means'!M$2) / '2026-2027 means'!Z$2 * -1)</f>
        <v>0.88123899228174263</v>
      </c>
      <c r="AG159">
        <f t="shared" si="46"/>
        <v>0</v>
      </c>
      <c r="AH159">
        <f t="shared" si="47"/>
        <v>4</v>
      </c>
      <c r="AI159" s="8">
        <f t="shared" si="48"/>
        <v>0</v>
      </c>
      <c r="AJ159" s="8" t="e" vm="1">
        <f t="shared" ca="1" si="49"/>
        <v>#NAME?</v>
      </c>
      <c r="AK159" s="8" t="str">
        <f t="shared" si="50"/>
        <v>, FT%, PTS, TREB, AST, STL, BLK</v>
      </c>
      <c r="AL159" t="str">
        <f t="shared" si="51"/>
        <v/>
      </c>
      <c r="AM159" t="str">
        <f t="shared" si="52"/>
        <v/>
      </c>
      <c r="AN159" t="str">
        <f t="shared" si="53"/>
        <v>FG%, 3PM, TO</v>
      </c>
      <c r="AO159" t="str">
        <f t="shared" si="54"/>
        <v>, FT%, PTS, TREB, AST, STL, BLK</v>
      </c>
      <c r="AP159">
        <f>VLOOKUP(B159,'2025-2026 actuals'!B:Q,16,FALSE)</f>
        <v>134</v>
      </c>
      <c r="AQ159" s="7">
        <f t="shared" si="41"/>
        <v>-1.8638340387082537</v>
      </c>
      <c r="AR159">
        <f t="shared" si="42"/>
        <v>145</v>
      </c>
    </row>
    <row r="160" spans="1:44" ht="18">
      <c r="A160" s="3">
        <f t="shared" si="55"/>
        <v>173</v>
      </c>
      <c r="B160" s="41" t="s">
        <v>204</v>
      </c>
      <c r="C160" s="1">
        <f t="shared" si="56"/>
        <v>173</v>
      </c>
      <c r="D160" s="1">
        <f t="shared" si="57"/>
        <v>153</v>
      </c>
      <c r="E160" s="1">
        <f>VLOOKUP(B160,'2026-2027 adp'!A:C,3,FALSE)</f>
        <v>113.2</v>
      </c>
      <c r="F160" s="1">
        <f t="shared" si="43"/>
        <v>-59.8</v>
      </c>
      <c r="G160" s="1"/>
      <c r="H160" s="22" t="s">
        <v>743</v>
      </c>
      <c r="I160" s="22" t="s">
        <v>744</v>
      </c>
      <c r="J160" s="42">
        <v>0.5</v>
      </c>
      <c r="K160" s="42">
        <v>8.6</v>
      </c>
      <c r="L160" s="42">
        <v>5.9</v>
      </c>
      <c r="M160" s="42">
        <v>1.6</v>
      </c>
      <c r="N160" s="42">
        <v>0.4</v>
      </c>
      <c r="O160" s="42">
        <v>1.5</v>
      </c>
      <c r="P160" s="42">
        <v>1.2</v>
      </c>
      <c r="Q160" s="43">
        <v>-0.82</v>
      </c>
      <c r="R160" s="42">
        <v>3.4</v>
      </c>
      <c r="S160" s="42">
        <v>6.1</v>
      </c>
      <c r="T160">
        <f t="shared" si="44"/>
        <v>0.55737704918032793</v>
      </c>
      <c r="U160" s="42">
        <v>1.4</v>
      </c>
      <c r="V160" s="42">
        <v>1.9</v>
      </c>
      <c r="W160">
        <f t="shared" si="45"/>
        <v>0.73684210526315785</v>
      </c>
      <c r="X160" s="7">
        <f>IF(((T160 - '2026-2027 means'!E$2) / '2026-2027 means'!R$2) * (S160 / '2026-2027 means'!B$2) / 2 &lt; -2, -2, ((T160 - '2026-2027 means'!E$2) / '2026-2027 means'!R$2) * (S160 / '2026-2027 means'!B$2) / 2)</f>
        <v>0.83896777170200365</v>
      </c>
      <c r="Y160" s="11">
        <f>IF(((W160 - '2026-2027 means'!F$2) / '2026-2027 means'!S$2) * (V160 / '2026-2027 means'!D$2) &lt; -2, -2, ((W160 - '2026-2027 means'!F$2) / '2026-2027 means'!S$2) * (V160 / '2026-2027 means'!D$2))</f>
        <v>-0.38357877962668796</v>
      </c>
      <c r="Z160" s="7">
        <f>(J160-'2026-2027 means'!G$2)/'2026-2027 means'!T$2</f>
        <v>-1.2280385453040399</v>
      </c>
      <c r="AA160" s="7">
        <f>(K160-'2026-2027 means'!H$2)/'2026-2027 means'!U$2</f>
        <v>-1.3812527840759845</v>
      </c>
      <c r="AB160" s="7">
        <f>(L160-'2026-2027 means'!I$2)/'2026-2027 means'!V$2</f>
        <v>8.902253907841555E-2</v>
      </c>
      <c r="AC160" s="7">
        <f>(M160-'2026-2027 means'!J$2)/'2026-2027 means'!W$2</f>
        <v>-1.0580732195460889</v>
      </c>
      <c r="AD160" s="7">
        <f>(N160-'2026-2027 means'!K$2)/'2026-2027 means'!X$2</f>
        <v>-1.8092485134845637</v>
      </c>
      <c r="AE160" s="7">
        <f>(O160-'2026-2027 means'!L$2)/'2026-2027 means'!Y$2</f>
        <v>1.6676869259476295</v>
      </c>
      <c r="AF160" s="7">
        <f>IF(((P160 - '2026-2027 means'!M$2) / '2026-2027 means'!Z$2 * -1) &lt; -2, -2, (P160 - '2026-2027 means'!M$2) / '2026-2027 means'!Z$2 * -1)</f>
        <v>0.88123899228174263</v>
      </c>
      <c r="AG160">
        <f t="shared" si="46"/>
        <v>1</v>
      </c>
      <c r="AH160">
        <f t="shared" si="47"/>
        <v>5</v>
      </c>
      <c r="AI160" s="8">
        <f t="shared" si="48"/>
        <v>0.2</v>
      </c>
      <c r="AJ160" s="8" t="e" vm="1">
        <f t="shared" ca="1" si="49"/>
        <v>#NAME?</v>
      </c>
      <c r="AK160" s="8" t="str">
        <f t="shared" si="50"/>
        <v>, FT%, 3PM, PTS, AST, STL</v>
      </c>
      <c r="AL160" t="str">
        <f t="shared" si="51"/>
        <v/>
      </c>
      <c r="AM160" t="str">
        <f t="shared" si="52"/>
        <v>, BLK</v>
      </c>
      <c r="AN160" t="str">
        <f t="shared" si="53"/>
        <v>FG%, TREB, TO</v>
      </c>
      <c r="AO160" t="str">
        <f t="shared" si="54"/>
        <v>, FT%, 3PM, PTS, AST, STL</v>
      </c>
      <c r="AP160">
        <f>VLOOKUP(B160,'2025-2026 actuals'!B:Q,16,FALSE)</f>
        <v>153</v>
      </c>
      <c r="AQ160" s="7">
        <f t="shared" si="41"/>
        <v>-2.383275613027573</v>
      </c>
      <c r="AR160">
        <f t="shared" si="42"/>
        <v>173</v>
      </c>
    </row>
    <row r="161" spans="1:44" ht="18">
      <c r="A161" s="3">
        <f t="shared" si="55"/>
        <v>153</v>
      </c>
      <c r="B161" s="41" t="s">
        <v>334</v>
      </c>
      <c r="C161" s="1">
        <f t="shared" si="56"/>
        <v>153</v>
      </c>
      <c r="D161" s="1" t="e">
        <f t="shared" si="57"/>
        <v>#N/A</v>
      </c>
      <c r="E161" s="1">
        <f>VLOOKUP(B161,'2026-2027 adp'!A:C,3,FALSE)</f>
        <v>140</v>
      </c>
      <c r="F161" s="1">
        <f t="shared" si="43"/>
        <v>-13</v>
      </c>
      <c r="G161" s="1"/>
      <c r="H161" s="22" t="s">
        <v>746</v>
      </c>
      <c r="I161" s="22" t="s">
        <v>747</v>
      </c>
      <c r="J161" s="42">
        <v>1.8</v>
      </c>
      <c r="K161" s="42">
        <v>8.5</v>
      </c>
      <c r="L161" s="42">
        <v>6.2</v>
      </c>
      <c r="M161" s="42">
        <v>3.2</v>
      </c>
      <c r="N161" s="42">
        <v>0.6</v>
      </c>
      <c r="O161" s="42">
        <v>0.8</v>
      </c>
      <c r="P161" s="42">
        <v>1.2</v>
      </c>
      <c r="Q161" s="43">
        <v>-0.85</v>
      </c>
      <c r="R161" s="42">
        <v>2.8</v>
      </c>
      <c r="S161" s="42">
        <v>6.5</v>
      </c>
      <c r="T161">
        <f t="shared" si="44"/>
        <v>0.43076923076923074</v>
      </c>
      <c r="U161" s="42">
        <v>1.1000000000000001</v>
      </c>
      <c r="V161" s="42">
        <v>1.4</v>
      </c>
      <c r="W161">
        <f t="shared" si="45"/>
        <v>0.78571428571428581</v>
      </c>
      <c r="X161" s="7">
        <f>IF(((T161 - '2026-2027 means'!E$2) / '2026-2027 means'!R$2) * (S161 / '2026-2027 means'!B$2) / 2 &lt; -2, -2, ((T161 - '2026-2027 means'!E$2) / '2026-2027 means'!R$2) * (S161 / '2026-2027 means'!B$2) / 2)</f>
        <v>-0.62112230205961538</v>
      </c>
      <c r="Y161" s="11">
        <f>IF(((W161 - '2026-2027 means'!F$2) / '2026-2027 means'!S$2) * (V161 / '2026-2027 means'!D$2) &lt; -2, -2, ((W161 - '2026-2027 means'!F$2) / '2026-2027 means'!S$2) * (V161 / '2026-2027 means'!D$2))</f>
        <v>-4.4772153358160142E-2</v>
      </c>
      <c r="Z161" s="7">
        <f>(J161-'2026-2027 means'!G$2)/'2026-2027 means'!T$2</f>
        <v>0.13976397766247983</v>
      </c>
      <c r="AA161" s="7">
        <f>(K161-'2026-2027 means'!H$2)/'2026-2027 means'!U$2</f>
        <v>-1.4001817954347675</v>
      </c>
      <c r="AB161" s="7">
        <f>(L161-'2026-2027 means'!I$2)/'2026-2027 means'!V$2</f>
        <v>0.2138611229488446</v>
      </c>
      <c r="AC161" s="7">
        <f>(M161-'2026-2027 means'!J$2)/'2026-2027 means'!W$2</f>
        <v>-0.23195924186698647</v>
      </c>
      <c r="AD161" s="7">
        <f>(N161-'2026-2027 means'!K$2)/'2026-2027 means'!X$2</f>
        <v>-1.222228414678435</v>
      </c>
      <c r="AE161" s="7">
        <f>(O161-'2026-2027 means'!L$2)/'2026-2027 means'!Y$2</f>
        <v>0.24646614774755957</v>
      </c>
      <c r="AF161" s="7">
        <f>IF(((P161 - '2026-2027 means'!M$2) / '2026-2027 means'!Z$2 * -1) &lt; -2, -2, (P161 - '2026-2027 means'!M$2) / '2026-2027 means'!Z$2 * -1)</f>
        <v>0.88123899228174263</v>
      </c>
      <c r="AG161">
        <f t="shared" si="46"/>
        <v>0</v>
      </c>
      <c r="AH161">
        <f t="shared" si="47"/>
        <v>3</v>
      </c>
      <c r="AI161" s="8">
        <f t="shared" si="48"/>
        <v>0</v>
      </c>
      <c r="AJ161" s="8" t="e" vm="1">
        <f t="shared" ca="1" si="49"/>
        <v>#NAME?</v>
      </c>
      <c r="AK161" s="8" t="str">
        <f t="shared" si="50"/>
        <v>FG%, FT%, PTS, AST, STL</v>
      </c>
      <c r="AL161" t="str">
        <f t="shared" si="51"/>
        <v/>
      </c>
      <c r="AM161" t="str">
        <f t="shared" si="52"/>
        <v/>
      </c>
      <c r="AN161" t="str">
        <f t="shared" si="53"/>
        <v>, 3PM, TREB, BLK, TO</v>
      </c>
      <c r="AO161" t="str">
        <f t="shared" si="54"/>
        <v>FG%, FT%, PTS, AST, STL</v>
      </c>
      <c r="AP161" t="e">
        <f>VLOOKUP(B161,'2025-2026 actuals'!B:Q,16,FALSE)</f>
        <v>#N/A</v>
      </c>
      <c r="AQ161" s="7">
        <f t="shared" si="41"/>
        <v>-2.0389336667573379</v>
      </c>
      <c r="AR161">
        <f t="shared" si="42"/>
        <v>153</v>
      </c>
    </row>
    <row r="162" spans="1:44" ht="18">
      <c r="A162" s="3">
        <f t="shared" si="55"/>
        <v>158</v>
      </c>
      <c r="B162" s="41" t="s">
        <v>935</v>
      </c>
      <c r="C162" s="1">
        <f t="shared" si="56"/>
        <v>158</v>
      </c>
      <c r="D162" s="1" t="e">
        <f t="shared" si="57"/>
        <v>#N/A</v>
      </c>
      <c r="E162" s="1">
        <f>VLOOKUP(B162,'2026-2027 adp'!A:C,3,FALSE)</f>
        <v>140</v>
      </c>
      <c r="F162" s="1">
        <f t="shared" si="43"/>
        <v>-18</v>
      </c>
      <c r="G162" s="1"/>
      <c r="H162" s="22" t="s">
        <v>748</v>
      </c>
      <c r="I162" s="22" t="s">
        <v>749</v>
      </c>
      <c r="J162" s="42">
        <v>0</v>
      </c>
      <c r="K162" s="42">
        <v>9.1999999999999993</v>
      </c>
      <c r="L162" s="42">
        <v>5.4</v>
      </c>
      <c r="M162" s="42">
        <v>0.7</v>
      </c>
      <c r="N162" s="42">
        <v>0.4</v>
      </c>
      <c r="O162" s="42">
        <v>1.5</v>
      </c>
      <c r="P162" s="42">
        <v>0.7</v>
      </c>
      <c r="Q162" s="43">
        <v>-0.86</v>
      </c>
      <c r="R162" s="42">
        <v>3.9</v>
      </c>
      <c r="S162" s="42">
        <v>5.8</v>
      </c>
      <c r="T162">
        <f t="shared" si="44"/>
        <v>0.67241379310344829</v>
      </c>
      <c r="U162" s="42">
        <v>1.5</v>
      </c>
      <c r="V162" s="42">
        <v>2.2000000000000002</v>
      </c>
      <c r="W162">
        <f t="shared" si="45"/>
        <v>0.68181818181818177</v>
      </c>
      <c r="X162" s="7">
        <f>IF(((T162 - '2026-2027 means'!E$2) / '2026-2027 means'!R$2) * (S162 / '2026-2027 means'!B$2) / 2 &lt; -2, -2, ((T162 - '2026-2027 means'!E$2) / '2026-2027 means'!R$2) * (S162 / '2026-2027 means'!B$2) / 2)</f>
        <v>2.0260884799975858</v>
      </c>
      <c r="Y162" s="11">
        <f>IF(((W162 - '2026-2027 means'!F$2) / '2026-2027 means'!S$2) * (V162 / '2026-2027 means'!D$2) &lt; -2, -2, ((W162 - '2026-2027 means'!F$2) / '2026-2027 means'!S$2) * (V162 / '2026-2027 means'!D$2))</f>
        <v>-0.86498164775510156</v>
      </c>
      <c r="Z162" s="7">
        <f>(J162-'2026-2027 means'!G$2)/'2026-2027 means'!T$2</f>
        <v>-1.7541164387527013</v>
      </c>
      <c r="AA162" s="7">
        <f>(K162-'2026-2027 means'!H$2)/'2026-2027 means'!U$2</f>
        <v>-1.2676787159232854</v>
      </c>
      <c r="AB162" s="7">
        <f>(L162-'2026-2027 means'!I$2)/'2026-2027 means'!V$2</f>
        <v>-0.11904176737229963</v>
      </c>
      <c r="AC162" s="7">
        <f>(M162-'2026-2027 means'!J$2)/'2026-2027 means'!W$2</f>
        <v>-1.5227623319905843</v>
      </c>
      <c r="AD162" s="7">
        <f>(N162-'2026-2027 means'!K$2)/'2026-2027 means'!X$2</f>
        <v>-1.8092485134845637</v>
      </c>
      <c r="AE162" s="7">
        <f>(O162-'2026-2027 means'!L$2)/'2026-2027 means'!Y$2</f>
        <v>1.6676869259476295</v>
      </c>
      <c r="AF162" s="7">
        <f>IF(((P162 - '2026-2027 means'!M$2) / '2026-2027 means'!Z$2 * -1) &lt; -2, -2, (P162 - '2026-2027 means'!M$2) / '2026-2027 means'!Z$2 * -1)</f>
        <v>1.5635542366909494</v>
      </c>
      <c r="AG162">
        <f t="shared" si="46"/>
        <v>2</v>
      </c>
      <c r="AH162">
        <f t="shared" si="47"/>
        <v>5</v>
      </c>
      <c r="AI162" s="8">
        <f t="shared" si="48"/>
        <v>0.4</v>
      </c>
      <c r="AJ162" s="8" t="e" vm="1">
        <f t="shared" ca="1" si="49"/>
        <v>#NAME?</v>
      </c>
      <c r="AK162" s="8" t="str">
        <f t="shared" si="50"/>
        <v>, FT%, 3PM, PTS, TREB, AST, STL</v>
      </c>
      <c r="AL162" t="str">
        <f t="shared" si="51"/>
        <v>FG%</v>
      </c>
      <c r="AM162" t="str">
        <f t="shared" si="52"/>
        <v>, BLK, TO</v>
      </c>
      <c r="AN162" t="str">
        <f t="shared" si="53"/>
        <v/>
      </c>
      <c r="AO162" t="str">
        <f t="shared" si="54"/>
        <v>, FT%, 3PM, PTS, TREB, AST, STL</v>
      </c>
      <c r="AP162" t="e">
        <f>VLOOKUP(B162,'2025-2026 actuals'!B:Q,16,FALSE)</f>
        <v>#N/A</v>
      </c>
      <c r="AQ162" s="7">
        <f t="shared" si="41"/>
        <v>-2.0804997726423711</v>
      </c>
      <c r="AR162">
        <f t="shared" si="42"/>
        <v>158</v>
      </c>
    </row>
    <row r="163" spans="1:44" ht="18">
      <c r="A163" s="3">
        <f t="shared" si="55"/>
        <v>129</v>
      </c>
      <c r="B163" s="41" t="s">
        <v>321</v>
      </c>
      <c r="C163" s="1">
        <f t="shared" si="56"/>
        <v>129</v>
      </c>
      <c r="D163" s="1" t="e">
        <f t="shared" si="57"/>
        <v>#N/A</v>
      </c>
      <c r="E163" s="1">
        <f>VLOOKUP(B163,'2026-2027 adp'!A:C,3,FALSE)</f>
        <v>140</v>
      </c>
      <c r="F163" s="1">
        <f t="shared" si="43"/>
        <v>11</v>
      </c>
      <c r="G163" s="1"/>
      <c r="H163" s="22" t="s">
        <v>750</v>
      </c>
      <c r="I163" s="22" t="s">
        <v>751</v>
      </c>
      <c r="J163" s="42">
        <v>3.1</v>
      </c>
      <c r="K163" s="42">
        <v>12.7</v>
      </c>
      <c r="L163" s="42">
        <v>3.1</v>
      </c>
      <c r="M163" s="42">
        <v>1.8</v>
      </c>
      <c r="N163" s="42">
        <v>0.8</v>
      </c>
      <c r="O163" s="42">
        <v>0.2</v>
      </c>
      <c r="P163" s="42">
        <v>0.7</v>
      </c>
      <c r="Q163" s="43">
        <v>-0.87</v>
      </c>
      <c r="R163" s="42">
        <v>4.2</v>
      </c>
      <c r="S163" s="42">
        <v>9.3000000000000007</v>
      </c>
      <c r="T163">
        <f t="shared" si="44"/>
        <v>0.45161290322580644</v>
      </c>
      <c r="U163" s="42">
        <v>1.3</v>
      </c>
      <c r="V163" s="42">
        <v>1.5</v>
      </c>
      <c r="W163">
        <f t="shared" si="45"/>
        <v>0.8666666666666667</v>
      </c>
      <c r="X163" s="7">
        <f>IF(((T163 - '2026-2027 means'!E$2) / '2026-2027 means'!R$2) * (S163 / '2026-2027 means'!B$2) / 2 &lt; -2, -2, ((T163 - '2026-2027 means'!E$2) / '2026-2027 means'!R$2) * (S163 / '2026-2027 means'!B$2) / 2)</f>
        <v>-0.53179968526158705</v>
      </c>
      <c r="Y163" s="11">
        <f>IF(((W163 - '2026-2027 means'!F$2) / '2026-2027 means'!S$2) * (V163 / '2026-2027 means'!D$2) &lt; -2, -2, ((W163 - '2026-2027 means'!F$2) / '2026-2027 means'!S$2) * (V163 / '2026-2027 means'!D$2))</f>
        <v>0.37417458303090395</v>
      </c>
      <c r="Z163" s="7">
        <f>(J163-'2026-2027 means'!G$2)/'2026-2027 means'!T$2</f>
        <v>1.5075665006289996</v>
      </c>
      <c r="AA163" s="7">
        <f>(K163-'2026-2027 means'!H$2)/'2026-2027 means'!U$2</f>
        <v>-0.60516331836587356</v>
      </c>
      <c r="AB163" s="7">
        <f>(L163-'2026-2027 means'!I$2)/'2026-2027 means'!V$2</f>
        <v>-1.0761375770455897</v>
      </c>
      <c r="AC163" s="7">
        <f>(M163-'2026-2027 means'!J$2)/'2026-2027 means'!W$2</f>
        <v>-0.95480897233620121</v>
      </c>
      <c r="AD163" s="7">
        <f>(N163-'2026-2027 means'!K$2)/'2026-2027 means'!X$2</f>
        <v>-0.6352083158723062</v>
      </c>
      <c r="AE163" s="7">
        <f>(O163-'2026-2027 means'!L$2)/'2026-2027 means'!Y$2</f>
        <v>-0.97172309070964324</v>
      </c>
      <c r="AF163" s="7">
        <f>IF(((P163 - '2026-2027 means'!M$2) / '2026-2027 means'!Z$2 * -1) &lt; -2, -2, (P163 - '2026-2027 means'!M$2) / '2026-2027 means'!Z$2 * -1)</f>
        <v>1.5635542366909494</v>
      </c>
      <c r="AG163">
        <f t="shared" si="46"/>
        <v>1</v>
      </c>
      <c r="AH163">
        <f t="shared" si="47"/>
        <v>6</v>
      </c>
      <c r="AI163" s="8">
        <f t="shared" si="48"/>
        <v>0.16666666666666666</v>
      </c>
      <c r="AJ163" s="8" t="e" vm="1">
        <f t="shared" ca="1" si="49"/>
        <v>#NAME?</v>
      </c>
      <c r="AK163" s="8" t="str">
        <f t="shared" si="50"/>
        <v>FG%, PTS, TREB, AST, STL, BLK</v>
      </c>
      <c r="AL163" t="str">
        <f t="shared" si="51"/>
        <v/>
      </c>
      <c r="AM163" t="str">
        <f t="shared" si="52"/>
        <v>, 3PM, TO</v>
      </c>
      <c r="AN163" t="str">
        <f t="shared" si="53"/>
        <v>, FT%</v>
      </c>
      <c r="AO163" t="str">
        <f t="shared" si="54"/>
        <v>FG%, PTS, TREB, AST, STL, BLK</v>
      </c>
      <c r="AP163" t="e">
        <f>VLOOKUP(B163,'2025-2026 actuals'!B:Q,16,FALSE)</f>
        <v>#N/A</v>
      </c>
      <c r="AQ163" s="7">
        <f t="shared" si="41"/>
        <v>-1.3295456392403482</v>
      </c>
      <c r="AR163">
        <f t="shared" si="42"/>
        <v>129</v>
      </c>
    </row>
    <row r="164" spans="1:44" ht="18">
      <c r="A164" s="3">
        <f t="shared" si="55"/>
        <v>154</v>
      </c>
      <c r="B164" s="41" t="s">
        <v>235</v>
      </c>
      <c r="C164" s="1">
        <f t="shared" si="56"/>
        <v>154</v>
      </c>
      <c r="D164" s="1" t="e">
        <f t="shared" si="57"/>
        <v>#N/A</v>
      </c>
      <c r="E164" s="1">
        <f>VLOOKUP(B164,'2026-2027 adp'!A:C,3,FALSE)</f>
        <v>140</v>
      </c>
      <c r="F164" s="1">
        <f t="shared" si="43"/>
        <v>-14</v>
      </c>
      <c r="G164" s="1"/>
      <c r="H164" s="22" t="s">
        <v>752</v>
      </c>
      <c r="I164" s="22" t="s">
        <v>753</v>
      </c>
      <c r="J164" s="42">
        <v>0</v>
      </c>
      <c r="K164" s="42">
        <v>9</v>
      </c>
      <c r="L164" s="42">
        <v>7.1</v>
      </c>
      <c r="M164" s="42">
        <v>1.3</v>
      </c>
      <c r="N164" s="42">
        <v>0.9</v>
      </c>
      <c r="O164" s="42">
        <v>1.3</v>
      </c>
      <c r="P164" s="42">
        <v>1.4</v>
      </c>
      <c r="Q164" s="43">
        <v>-0.89</v>
      </c>
      <c r="R164" s="42">
        <v>3.7</v>
      </c>
      <c r="S164" s="42">
        <v>5.8</v>
      </c>
      <c r="T164">
        <f t="shared" si="44"/>
        <v>0.63793103448275867</v>
      </c>
      <c r="U164" s="42">
        <v>1.7</v>
      </c>
      <c r="V164" s="42">
        <v>2.7</v>
      </c>
      <c r="W164">
        <f t="shared" si="45"/>
        <v>0.62962962962962954</v>
      </c>
      <c r="X164" s="7">
        <f>IF(((T164 - '2026-2027 means'!E$2) / '2026-2027 means'!R$2) * (S164 / '2026-2027 means'!B$2) / 2 &lt; -2, -2, ((T164 - '2026-2027 means'!E$2) / '2026-2027 means'!R$2) * (S164 / '2026-2027 means'!B$2) / 2)</f>
        <v>1.6578758681001093</v>
      </c>
      <c r="Y164" s="11">
        <f>IF(((W164 - '2026-2027 means'!F$2) / '2026-2027 means'!S$2) * (V164 / '2026-2027 means'!D$2) &lt; -2, -2, ((W164 - '2026-2027 means'!F$2) / '2026-2027 means'!S$2) * (V164 / '2026-2027 means'!D$2))</f>
        <v>-1.5514368894827504</v>
      </c>
      <c r="Z164" s="7">
        <f>(J164-'2026-2027 means'!G$2)/'2026-2027 means'!T$2</f>
        <v>-1.7541164387527013</v>
      </c>
      <c r="AA164" s="7">
        <f>(K164-'2026-2027 means'!H$2)/'2026-2027 means'!U$2</f>
        <v>-1.3055367386408516</v>
      </c>
      <c r="AB164" s="7">
        <f>(L164-'2026-2027 means'!I$2)/'2026-2027 means'!V$2</f>
        <v>0.58837687456013166</v>
      </c>
      <c r="AC164" s="7">
        <f>(M164-'2026-2027 means'!J$2)/'2026-2027 means'!W$2</f>
        <v>-1.2129695903609206</v>
      </c>
      <c r="AD164" s="7">
        <f>(N164-'2026-2027 means'!K$2)/'2026-2027 means'!X$2</f>
        <v>-0.34169826646924195</v>
      </c>
      <c r="AE164" s="7">
        <f>(O164-'2026-2027 means'!L$2)/'2026-2027 means'!Y$2</f>
        <v>1.2616238464618952</v>
      </c>
      <c r="AF164" s="7">
        <f>IF(((P164 - '2026-2027 means'!M$2) / '2026-2027 means'!Z$2 * -1) &lt; -2, -2, (P164 - '2026-2027 means'!M$2) / '2026-2027 means'!Z$2 * -1)</f>
        <v>0.60831289451805992</v>
      </c>
      <c r="AG164">
        <f t="shared" si="46"/>
        <v>2</v>
      </c>
      <c r="AH164">
        <f t="shared" si="47"/>
        <v>5</v>
      </c>
      <c r="AI164" s="8">
        <f t="shared" si="48"/>
        <v>0.4</v>
      </c>
      <c r="AJ164" s="8" t="e" vm="1">
        <f t="shared" ca="1" si="49"/>
        <v>#NAME?</v>
      </c>
      <c r="AK164" s="8" t="str">
        <f t="shared" si="50"/>
        <v>, FT%, 3PM, PTS, AST, STL</v>
      </c>
      <c r="AL164" t="str">
        <f t="shared" si="51"/>
        <v/>
      </c>
      <c r="AM164" t="str">
        <f t="shared" si="52"/>
        <v>FG%, BLK</v>
      </c>
      <c r="AN164" t="str">
        <f t="shared" si="53"/>
        <v>, TREB, TO</v>
      </c>
      <c r="AO164" t="str">
        <f t="shared" si="54"/>
        <v>, FT%, 3PM, PTS, AST, STL</v>
      </c>
      <c r="AP164" t="e">
        <f>VLOOKUP(B164,'2025-2026 actuals'!B:Q,16,FALSE)</f>
        <v>#N/A</v>
      </c>
      <c r="AQ164" s="7">
        <f t="shared" si="41"/>
        <v>-2.0495684400662699</v>
      </c>
      <c r="AR164">
        <f t="shared" si="42"/>
        <v>154</v>
      </c>
    </row>
    <row r="165" spans="1:44" ht="18">
      <c r="A165" s="3">
        <f t="shared" si="55"/>
        <v>166</v>
      </c>
      <c r="B165" s="41" t="s">
        <v>320</v>
      </c>
      <c r="C165" s="1">
        <f t="shared" si="56"/>
        <v>166</v>
      </c>
      <c r="D165" s="1">
        <f t="shared" si="57"/>
        <v>161</v>
      </c>
      <c r="E165" s="1">
        <f>VLOOKUP(B165,'2026-2027 adp'!A:C,3,FALSE)</f>
        <v>140</v>
      </c>
      <c r="F165" s="1">
        <f t="shared" si="43"/>
        <v>-26</v>
      </c>
      <c r="G165" s="1"/>
      <c r="H165" s="22" t="s">
        <v>754</v>
      </c>
      <c r="I165" s="22" t="s">
        <v>755</v>
      </c>
      <c r="J165" s="42">
        <v>0.8</v>
      </c>
      <c r="K165" s="42">
        <v>14.1</v>
      </c>
      <c r="L165" s="42">
        <v>4.7</v>
      </c>
      <c r="M165" s="42">
        <v>3.1</v>
      </c>
      <c r="N165" s="42">
        <v>1.1000000000000001</v>
      </c>
      <c r="O165" s="42">
        <v>0.1</v>
      </c>
      <c r="P165" s="42">
        <v>1.6</v>
      </c>
      <c r="Q165" s="43">
        <v>-1.05</v>
      </c>
      <c r="R165" s="42">
        <v>5.4</v>
      </c>
      <c r="S165" s="42">
        <v>10.7</v>
      </c>
      <c r="T165">
        <f t="shared" si="44"/>
        <v>0.50467289719626174</v>
      </c>
      <c r="U165" s="42">
        <v>2.5</v>
      </c>
      <c r="V165" s="42">
        <v>3.2</v>
      </c>
      <c r="W165">
        <f t="shared" si="45"/>
        <v>0.78125</v>
      </c>
      <c r="X165" s="7">
        <f>IF(((T165 - '2026-2027 means'!E$2) / '2026-2027 means'!R$2) * (S165 / '2026-2027 means'!B$2) / 2 &lt; -2, -2, ((T165 - '2026-2027 means'!E$2) / '2026-2027 means'!R$2) * (S165 / '2026-2027 means'!B$2) / 2)</f>
        <v>0.43339315288112068</v>
      </c>
      <c r="Y165" s="11">
        <f>IF(((W165 - '2026-2027 means'!F$2) / '2026-2027 means'!S$2) * (V165 / '2026-2027 means'!D$2) &lt; -2, -2, ((W165 - '2026-2027 means'!F$2) / '2026-2027 means'!S$2) * (V165 / '2026-2027 means'!D$2))</f>
        <v>-0.15200043845567016</v>
      </c>
      <c r="Z165" s="7">
        <f>(J165-'2026-2027 means'!G$2)/'2026-2027 means'!T$2</f>
        <v>-0.91239180923484298</v>
      </c>
      <c r="AA165" s="7">
        <f>(K165-'2026-2027 means'!H$2)/'2026-2027 means'!U$2</f>
        <v>-0.3401571593429088</v>
      </c>
      <c r="AB165" s="7">
        <f>(L165-'2026-2027 means'!I$2)/'2026-2027 means'!V$2</f>
        <v>-0.41033179640330097</v>
      </c>
      <c r="AC165" s="7">
        <f>(M165-'2026-2027 means'!J$2)/'2026-2027 means'!W$2</f>
        <v>-0.28359136547193042</v>
      </c>
      <c r="AD165" s="7">
        <f>(N165-'2026-2027 means'!K$2)/'2026-2027 means'!X$2</f>
        <v>0.24532183233688692</v>
      </c>
      <c r="AE165" s="7">
        <f>(O165-'2026-2027 means'!L$2)/'2026-2027 means'!Y$2</f>
        <v>-1.1747546304525105</v>
      </c>
      <c r="AF165" s="7">
        <f>IF(((P165 - '2026-2027 means'!M$2) / '2026-2027 means'!Z$2 * -1) &lt; -2, -2, (P165 - '2026-2027 means'!M$2) / '2026-2027 means'!Z$2 * -1)</f>
        <v>0.33538679675437699</v>
      </c>
      <c r="AG165">
        <f t="shared" si="46"/>
        <v>0</v>
      </c>
      <c r="AH165">
        <f t="shared" si="47"/>
        <v>5</v>
      </c>
      <c r="AI165" s="8">
        <f t="shared" si="48"/>
        <v>0</v>
      </c>
      <c r="AJ165" s="8" t="e" vm="1">
        <f t="shared" ca="1" si="49"/>
        <v>#NAME?</v>
      </c>
      <c r="AK165" s="8" t="str">
        <f t="shared" si="50"/>
        <v>, FT%, 3PM, PTS, TREB, AST, BLK</v>
      </c>
      <c r="AL165" t="str">
        <f t="shared" si="51"/>
        <v/>
      </c>
      <c r="AM165" t="str">
        <f t="shared" si="52"/>
        <v/>
      </c>
      <c r="AN165" t="str">
        <f t="shared" si="53"/>
        <v>FG%, STL, TO</v>
      </c>
      <c r="AO165" t="str">
        <f t="shared" si="54"/>
        <v>, FT%, 3PM, PTS, TREB, AST, BLK</v>
      </c>
      <c r="AP165">
        <f>VLOOKUP(B165,'2025-2026 actuals'!B:Q,16,FALSE)</f>
        <v>161</v>
      </c>
      <c r="AQ165" s="7">
        <f t="shared" si="41"/>
        <v>-2.2591254173887796</v>
      </c>
      <c r="AR165">
        <f t="shared" si="42"/>
        <v>166</v>
      </c>
    </row>
    <row r="166" spans="1:44" ht="18">
      <c r="A166" s="3">
        <f t="shared" si="55"/>
        <v>141</v>
      </c>
      <c r="B166" s="41" t="s">
        <v>331</v>
      </c>
      <c r="C166" s="1">
        <f t="shared" si="56"/>
        <v>141</v>
      </c>
      <c r="D166" s="1">
        <f t="shared" si="57"/>
        <v>145</v>
      </c>
      <c r="E166" s="1">
        <f>VLOOKUP(B166,'2026-2027 adp'!A:C,3,FALSE)</f>
        <v>110.4</v>
      </c>
      <c r="F166" s="1">
        <f t="shared" si="43"/>
        <v>-30.599999999999994</v>
      </c>
      <c r="G166" s="1"/>
      <c r="H166" s="22" t="s">
        <v>756</v>
      </c>
      <c r="I166" s="22" t="s">
        <v>757</v>
      </c>
      <c r="J166" s="42">
        <v>2.4</v>
      </c>
      <c r="K166" s="42">
        <v>11</v>
      </c>
      <c r="L166" s="42">
        <v>5</v>
      </c>
      <c r="M166" s="42">
        <v>1.5</v>
      </c>
      <c r="N166" s="42">
        <v>0.8</v>
      </c>
      <c r="O166" s="42">
        <v>0.5</v>
      </c>
      <c r="P166" s="42">
        <v>0.9</v>
      </c>
      <c r="Q166" s="43">
        <v>-1.06</v>
      </c>
      <c r="R166" s="42">
        <v>3.7</v>
      </c>
      <c r="S166" s="42">
        <v>8.6</v>
      </c>
      <c r="T166">
        <f t="shared" si="44"/>
        <v>0.43023255813953493</v>
      </c>
      <c r="U166" s="42">
        <v>1.3</v>
      </c>
      <c r="V166" s="42">
        <v>1.5</v>
      </c>
      <c r="W166">
        <f t="shared" si="45"/>
        <v>0.8666666666666667</v>
      </c>
      <c r="X166" s="7">
        <f>IF(((T166 - '2026-2027 means'!E$2) / '2026-2027 means'!R$2) * (S166 / '2026-2027 means'!B$2) / 2 &lt; -2, -2, ((T166 - '2026-2027 means'!E$2) / '2026-2027 means'!R$2) * (S166 / '2026-2027 means'!B$2) / 2)</f>
        <v>-0.83028979838420081</v>
      </c>
      <c r="Y166" s="11">
        <f>IF(((W166 - '2026-2027 means'!F$2) / '2026-2027 means'!S$2) * (V166 / '2026-2027 means'!D$2) &lt; -2, -2, ((W166 - '2026-2027 means'!F$2) / '2026-2027 means'!S$2) * (V166 / '2026-2027 means'!D$2))</f>
        <v>0.37417458303090395</v>
      </c>
      <c r="Z166" s="7">
        <f>(J166-'2026-2027 means'!G$2)/'2026-2027 means'!T$2</f>
        <v>0.77105744980087332</v>
      </c>
      <c r="AA166" s="7">
        <f>(K166-'2026-2027 means'!H$2)/'2026-2027 means'!U$2</f>
        <v>-0.92695651146518776</v>
      </c>
      <c r="AB166" s="7">
        <f>(L166-'2026-2027 means'!I$2)/'2026-2027 means'!V$2</f>
        <v>-0.28549321253287191</v>
      </c>
      <c r="AC166" s="7">
        <f>(M166-'2026-2027 means'!J$2)/'2026-2027 means'!W$2</f>
        <v>-1.1097053431510329</v>
      </c>
      <c r="AD166" s="7">
        <f>(N166-'2026-2027 means'!K$2)/'2026-2027 means'!X$2</f>
        <v>-0.6352083158723062</v>
      </c>
      <c r="AE166" s="7">
        <f>(O166-'2026-2027 means'!L$2)/'2026-2027 means'!Y$2</f>
        <v>-0.36262847148104194</v>
      </c>
      <c r="AF166" s="7">
        <f>IF(((P166 - '2026-2027 means'!M$2) / '2026-2027 means'!Z$2 * -1) &lt; -2, -2, (P166 - '2026-2027 means'!M$2) / '2026-2027 means'!Z$2 * -1)</f>
        <v>1.2906281389272667</v>
      </c>
      <c r="AG166">
        <f t="shared" si="46"/>
        <v>0</v>
      </c>
      <c r="AH166">
        <f t="shared" si="47"/>
        <v>6</v>
      </c>
      <c r="AI166" s="8">
        <f t="shared" si="48"/>
        <v>0</v>
      </c>
      <c r="AJ166" s="8" t="e" vm="1">
        <f t="shared" ca="1" si="49"/>
        <v>#NAME?</v>
      </c>
      <c r="AK166" s="8" t="str">
        <f t="shared" si="50"/>
        <v>FG%, PTS, TREB, AST, STL, BLK</v>
      </c>
      <c r="AL166" t="str">
        <f t="shared" si="51"/>
        <v/>
      </c>
      <c r="AM166" t="str">
        <f t="shared" si="52"/>
        <v>, TO</v>
      </c>
      <c r="AN166" t="str">
        <f t="shared" si="53"/>
        <v>, FT%, 3PM</v>
      </c>
      <c r="AO166" t="str">
        <f t="shared" si="54"/>
        <v>FG%, PTS, TREB, AST, STL, BLK</v>
      </c>
      <c r="AP166">
        <f>VLOOKUP(B166,'2025-2026 actuals'!B:Q,16,FALSE)</f>
        <v>145</v>
      </c>
      <c r="AQ166" s="7">
        <f t="shared" si="41"/>
        <v>-1.7144214811275973</v>
      </c>
      <c r="AR166">
        <f t="shared" si="42"/>
        <v>141</v>
      </c>
    </row>
    <row r="167" spans="1:44" ht="18">
      <c r="A167" s="3">
        <f t="shared" si="55"/>
        <v>161</v>
      </c>
      <c r="B167" s="41" t="s">
        <v>206</v>
      </c>
      <c r="C167" s="1">
        <f t="shared" si="56"/>
        <v>161</v>
      </c>
      <c r="D167" s="1">
        <f t="shared" si="57"/>
        <v>190</v>
      </c>
      <c r="E167" s="1">
        <f>VLOOKUP(B167,'2026-2027 adp'!A:C,3,FALSE)</f>
        <v>140</v>
      </c>
      <c r="F167" s="1">
        <f t="shared" si="43"/>
        <v>-21</v>
      </c>
      <c r="G167" s="1"/>
      <c r="H167" s="22" t="s">
        <v>758</v>
      </c>
      <c r="I167" s="22" t="s">
        <v>759</v>
      </c>
      <c r="J167" s="42">
        <v>1.6</v>
      </c>
      <c r="K167" s="42">
        <v>12</v>
      </c>
      <c r="L167" s="42">
        <v>4.5999999999999996</v>
      </c>
      <c r="M167" s="42">
        <v>2</v>
      </c>
      <c r="N167" s="42">
        <v>0.6</v>
      </c>
      <c r="O167" s="42">
        <v>0.3</v>
      </c>
      <c r="P167" s="42">
        <v>1</v>
      </c>
      <c r="Q167" s="43">
        <v>-1.1299999999999999</v>
      </c>
      <c r="R167" s="42">
        <v>4.5</v>
      </c>
      <c r="S167" s="42">
        <v>8.6</v>
      </c>
      <c r="T167">
        <f t="shared" si="44"/>
        <v>0.52325581395348841</v>
      </c>
      <c r="U167" s="42">
        <v>1.4</v>
      </c>
      <c r="V167" s="42">
        <v>1.7</v>
      </c>
      <c r="W167">
        <f t="shared" si="45"/>
        <v>0.82352941176470584</v>
      </c>
      <c r="X167" s="7">
        <f>IF(((T167 - '2026-2027 means'!E$2) / '2026-2027 means'!R$2) * (S167 / '2026-2027 means'!B$2) / 2 &lt; -2, -2, ((T167 - '2026-2027 means'!E$2) / '2026-2027 means'!R$2) * (S167 / '2026-2027 means'!B$2) / 2)</f>
        <v>0.64256064920570688</v>
      </c>
      <c r="Y167" s="11">
        <f>IF(((W167 - '2026-2027 means'!F$2) / '2026-2027 means'!S$2) * (V167 / '2026-2027 means'!D$2) &lt; -2, -2, ((W167 - '2026-2027 means'!F$2) / '2026-2027 means'!S$2) * (V167 / '2026-2027 means'!D$2))</f>
        <v>0.16912220943166839</v>
      </c>
      <c r="Z167" s="7">
        <f>(J167-'2026-2027 means'!G$2)/'2026-2027 means'!T$2</f>
        <v>-7.066717971698469E-2</v>
      </c>
      <c r="AA167" s="7">
        <f>(K167-'2026-2027 means'!H$2)/'2026-2027 means'!U$2</f>
        <v>-0.73766639787735577</v>
      </c>
      <c r="AB167" s="7">
        <f>(L167-'2026-2027 means'!I$2)/'2026-2027 means'!V$2</f>
        <v>-0.45194465769344422</v>
      </c>
      <c r="AC167" s="7">
        <f>(M167-'2026-2027 means'!J$2)/'2026-2027 means'!W$2</f>
        <v>-0.85154472512631341</v>
      </c>
      <c r="AD167" s="7">
        <f>(N167-'2026-2027 means'!K$2)/'2026-2027 means'!X$2</f>
        <v>-1.222228414678435</v>
      </c>
      <c r="AE167" s="7">
        <f>(O167-'2026-2027 means'!L$2)/'2026-2027 means'!Y$2</f>
        <v>-0.76869155096677622</v>
      </c>
      <c r="AF167" s="7">
        <f>IF(((P167 - '2026-2027 means'!M$2) / '2026-2027 means'!Z$2 * -1) &lt; -2, -2, (P167 - '2026-2027 means'!M$2) / '2026-2027 means'!Z$2 * -1)</f>
        <v>1.1541650900454252</v>
      </c>
      <c r="AG167">
        <f t="shared" si="46"/>
        <v>0</v>
      </c>
      <c r="AH167">
        <f t="shared" si="47"/>
        <v>5</v>
      </c>
      <c r="AI167" s="8">
        <f t="shared" si="48"/>
        <v>0</v>
      </c>
      <c r="AJ167" s="8" t="e" vm="1">
        <f t="shared" ca="1" si="49"/>
        <v>#NAME?</v>
      </c>
      <c r="AK167" s="8" t="str">
        <f t="shared" si="50"/>
        <v>, 3PM, PTS, TREB, AST, STL, BLK</v>
      </c>
      <c r="AL167" t="str">
        <f t="shared" si="51"/>
        <v/>
      </c>
      <c r="AM167" t="str">
        <f t="shared" si="52"/>
        <v>, TO</v>
      </c>
      <c r="AN167" t="str">
        <f t="shared" si="53"/>
        <v>FG%, FT%</v>
      </c>
      <c r="AO167" t="str">
        <f t="shared" si="54"/>
        <v>, 3PM, PTS, TREB, AST, STL, BLK</v>
      </c>
      <c r="AP167">
        <f>VLOOKUP(B167,'2025-2026 actuals'!B:Q,16,FALSE)</f>
        <v>190</v>
      </c>
      <c r="AQ167" s="7">
        <f t="shared" si="41"/>
        <v>-2.1368949773765089</v>
      </c>
      <c r="AR167">
        <f t="shared" si="42"/>
        <v>161</v>
      </c>
    </row>
    <row r="168" spans="1:44" ht="18">
      <c r="A168" s="3">
        <f t="shared" si="55"/>
        <v>165</v>
      </c>
      <c r="B168" s="41" t="s">
        <v>780</v>
      </c>
      <c r="C168" s="1">
        <f t="shared" si="56"/>
        <v>165</v>
      </c>
      <c r="D168" s="1">
        <f t="shared" si="57"/>
        <v>149</v>
      </c>
      <c r="E168" s="1">
        <f>VLOOKUP(B168,'2026-2027 adp'!A:C,3,FALSE)</f>
        <v>114.6</v>
      </c>
      <c r="F168" s="1">
        <f t="shared" si="43"/>
        <v>-50.400000000000006</v>
      </c>
      <c r="G168" s="1"/>
      <c r="H168" s="22" t="s">
        <v>760</v>
      </c>
      <c r="I168" s="22" t="s">
        <v>761</v>
      </c>
      <c r="J168" s="42">
        <v>0</v>
      </c>
      <c r="K168" s="42">
        <v>8</v>
      </c>
      <c r="L168" s="42">
        <v>8.8000000000000007</v>
      </c>
      <c r="M168" s="42">
        <v>1.6</v>
      </c>
      <c r="N168" s="42">
        <v>0.8</v>
      </c>
      <c r="O168" s="42">
        <v>0.9</v>
      </c>
      <c r="P168" s="42">
        <v>1.1000000000000001</v>
      </c>
      <c r="Q168" s="43">
        <v>-1.25</v>
      </c>
      <c r="R168" s="42">
        <v>3.3</v>
      </c>
      <c r="S168" s="42">
        <v>5.3</v>
      </c>
      <c r="T168">
        <f t="shared" si="44"/>
        <v>0.62264150943396224</v>
      </c>
      <c r="U168" s="42">
        <v>1.5</v>
      </c>
      <c r="V168" s="42">
        <v>2.4</v>
      </c>
      <c r="W168">
        <f t="shared" si="45"/>
        <v>0.625</v>
      </c>
      <c r="X168" s="7">
        <f>IF(((T168 - '2026-2027 means'!E$2) / '2026-2027 means'!R$2) * (S168 / '2026-2027 means'!B$2) / 2 &lt; -2, -2, ((T168 - '2026-2027 means'!E$2) / '2026-2027 means'!R$2) * (S168 / '2026-2027 means'!B$2) / 2)</f>
        <v>1.3657659418916388</v>
      </c>
      <c r="Y168" s="11">
        <f>IF(((W168 - '2026-2027 means'!F$2) / '2026-2027 means'!S$2) * (V168 / '2026-2027 means'!D$2) &lt; -2, -2, ((W168 - '2026-2027 means'!F$2) / '2026-2027 means'!S$2) * (V168 / '2026-2027 means'!D$2))</f>
        <v>-1.4176826368134574</v>
      </c>
      <c r="Z168" s="7">
        <f>(J168-'2026-2027 means'!G$2)/'2026-2027 means'!T$2</f>
        <v>-1.7541164387527013</v>
      </c>
      <c r="AA168" s="7">
        <f>(K168-'2026-2027 means'!H$2)/'2026-2027 means'!U$2</f>
        <v>-1.4948268522286836</v>
      </c>
      <c r="AB168" s="7">
        <f>(L168-'2026-2027 means'!I$2)/'2026-2027 means'!V$2</f>
        <v>1.2957955164925639</v>
      </c>
      <c r="AC168" s="7">
        <f>(M168-'2026-2027 means'!J$2)/'2026-2027 means'!W$2</f>
        <v>-1.0580732195460889</v>
      </c>
      <c r="AD168" s="7">
        <f>(N168-'2026-2027 means'!K$2)/'2026-2027 means'!X$2</f>
        <v>-0.6352083158723062</v>
      </c>
      <c r="AE168" s="7">
        <f>(O168-'2026-2027 means'!L$2)/'2026-2027 means'!Y$2</f>
        <v>0.44949768749042662</v>
      </c>
      <c r="AF168" s="7">
        <f>IF(((P168 - '2026-2027 means'!M$2) / '2026-2027 means'!Z$2 * -1) &lt; -2, -2, (P168 - '2026-2027 means'!M$2) / '2026-2027 means'!Z$2 * -1)</f>
        <v>1.0177020411635838</v>
      </c>
      <c r="AG168">
        <f t="shared" si="46"/>
        <v>2</v>
      </c>
      <c r="AH168">
        <f t="shared" si="47"/>
        <v>5</v>
      </c>
      <c r="AI168" s="8">
        <f t="shared" si="48"/>
        <v>0.4</v>
      </c>
      <c r="AJ168" s="8" t="e" vm="1">
        <f t="shared" ca="1" si="49"/>
        <v>#NAME?</v>
      </c>
      <c r="AK168" s="8" t="str">
        <f t="shared" si="50"/>
        <v>, FT%, 3PM, PTS, AST, STL</v>
      </c>
      <c r="AL168" t="str">
        <f t="shared" si="51"/>
        <v/>
      </c>
      <c r="AM168" t="str">
        <f t="shared" si="52"/>
        <v>FG%, TREB, TO</v>
      </c>
      <c r="AN168" t="str">
        <f t="shared" si="53"/>
        <v>, BLK</v>
      </c>
      <c r="AO168" t="str">
        <f t="shared" si="54"/>
        <v>, FT%, 3PM, PTS, AST, STL</v>
      </c>
      <c r="AP168">
        <f>VLOOKUP(B168,'2025-2026 actuals'!B:Q,16,FALSE)</f>
        <v>149</v>
      </c>
      <c r="AQ168" s="7">
        <f t="shared" si="41"/>
        <v>-2.231146276175024</v>
      </c>
      <c r="AR168">
        <f t="shared" si="42"/>
        <v>165</v>
      </c>
    </row>
    <row r="169" spans="1:44" ht="18">
      <c r="A169" s="3">
        <f t="shared" si="55"/>
        <v>195</v>
      </c>
      <c r="B169" s="41" t="s">
        <v>134</v>
      </c>
      <c r="C169" s="1">
        <f t="shared" si="56"/>
        <v>195</v>
      </c>
      <c r="D169" s="1">
        <f t="shared" si="57"/>
        <v>131</v>
      </c>
      <c r="E169" s="1">
        <f>VLOOKUP(B169,'2026-2027 adp'!A:C,3,FALSE)</f>
        <v>116.3</v>
      </c>
      <c r="F169" s="1">
        <f t="shared" si="43"/>
        <v>-78.7</v>
      </c>
      <c r="G169" s="1"/>
      <c r="H169" s="22" t="s">
        <v>762</v>
      </c>
      <c r="I169" s="22" t="s">
        <v>763</v>
      </c>
      <c r="J169" s="42">
        <v>1.5</v>
      </c>
      <c r="K169" s="42">
        <v>14.6</v>
      </c>
      <c r="L169" s="42">
        <v>2.2000000000000002</v>
      </c>
      <c r="M169" s="42">
        <v>3.2</v>
      </c>
      <c r="N169" s="42">
        <v>0.8</v>
      </c>
      <c r="O169" s="42">
        <v>0.1</v>
      </c>
      <c r="P169" s="42">
        <v>2</v>
      </c>
      <c r="Q169" s="43">
        <v>-1.25</v>
      </c>
      <c r="R169" s="42">
        <v>5.0999999999999996</v>
      </c>
      <c r="S169" s="42">
        <v>10.6</v>
      </c>
      <c r="T169">
        <f t="shared" si="44"/>
        <v>0.48113207547169812</v>
      </c>
      <c r="U169" s="42">
        <v>2.9</v>
      </c>
      <c r="V169" s="42">
        <v>3.3</v>
      </c>
      <c r="W169">
        <f t="shared" si="45"/>
        <v>0.87878787878787878</v>
      </c>
      <c r="X169" s="7">
        <f>IF(((T169 - '2026-2027 means'!E$2) / '2026-2027 means'!R$2) * (S169 / '2026-2027 means'!B$2) / 2 &lt; -2, -2, ((T169 - '2026-2027 means'!E$2) / '2026-2027 means'!R$2) * (S169 / '2026-2027 means'!B$2) / 2)</f>
        <v>-3.0062705447798897E-2</v>
      </c>
      <c r="Y169" s="11">
        <f>IF(((W169 - '2026-2027 means'!F$2) / '2026-2027 means'!S$2) * (V169 / '2026-2027 means'!D$2) &lt; -2, -2, ((W169 - '2026-2027 means'!F$2) / '2026-2027 means'!S$2) * (V169 / '2026-2027 means'!D$2))</f>
        <v>0.96224352885163678</v>
      </c>
      <c r="Z169" s="7">
        <f>(J169-'2026-2027 means'!G$2)/'2026-2027 means'!T$2</f>
        <v>-0.17588275840671705</v>
      </c>
      <c r="AA169" s="7">
        <f>(K169-'2026-2027 means'!H$2)/'2026-2027 means'!U$2</f>
        <v>-0.24551210254899281</v>
      </c>
      <c r="AB169" s="7">
        <f>(L169-'2026-2027 means'!I$2)/'2026-2027 means'!V$2</f>
        <v>-1.4506533286568768</v>
      </c>
      <c r="AC169" s="7">
        <f>(M169-'2026-2027 means'!J$2)/'2026-2027 means'!W$2</f>
        <v>-0.23195924186698647</v>
      </c>
      <c r="AD169" s="7">
        <f>(N169-'2026-2027 means'!K$2)/'2026-2027 means'!X$2</f>
        <v>-0.6352083158723062</v>
      </c>
      <c r="AE169" s="7">
        <f>(O169-'2026-2027 means'!L$2)/'2026-2027 means'!Y$2</f>
        <v>-1.1747546304525105</v>
      </c>
      <c r="AF169" s="7">
        <f>IF(((P169 - '2026-2027 means'!M$2) / '2026-2027 means'!Z$2 * -1) &lt; -2, -2, (P169 - '2026-2027 means'!M$2) / '2026-2027 means'!Z$2 * -1)</f>
        <v>-0.21046539877298837</v>
      </c>
      <c r="AG169">
        <f t="shared" si="46"/>
        <v>0</v>
      </c>
      <c r="AH169">
        <f t="shared" si="47"/>
        <v>3</v>
      </c>
      <c r="AI169" s="8">
        <f t="shared" si="48"/>
        <v>0</v>
      </c>
      <c r="AJ169" s="8" t="e" vm="1">
        <f t="shared" ca="1" si="49"/>
        <v>#NAME?</v>
      </c>
      <c r="AK169" s="8" t="str">
        <f t="shared" si="50"/>
        <v>FG%, 3PM, PTS, TREB, AST, STL, BLK, TO</v>
      </c>
      <c r="AL169" t="str">
        <f t="shared" si="51"/>
        <v/>
      </c>
      <c r="AM169" t="str">
        <f t="shared" si="52"/>
        <v/>
      </c>
      <c r="AN169" t="str">
        <f t="shared" si="53"/>
        <v>, FT%</v>
      </c>
      <c r="AO169" t="str">
        <f t="shared" si="54"/>
        <v>FG%, 3PM, PTS, TREB, AST, STL, BLK, TO</v>
      </c>
      <c r="AP169">
        <f>VLOOKUP(B169,'2025-2026 actuals'!B:Q,16,FALSE)</f>
        <v>131</v>
      </c>
      <c r="AQ169" s="7">
        <f t="shared" si="41"/>
        <v>-3.1922549531735407</v>
      </c>
      <c r="AR169">
        <f t="shared" si="42"/>
        <v>195</v>
      </c>
    </row>
    <row r="170" spans="1:44" ht="18">
      <c r="A170" s="3">
        <f t="shared" si="55"/>
        <v>155</v>
      </c>
      <c r="B170" s="41" t="s">
        <v>129</v>
      </c>
      <c r="C170" s="1">
        <f t="shared" si="56"/>
        <v>155</v>
      </c>
      <c r="D170" s="1">
        <f t="shared" si="57"/>
        <v>187</v>
      </c>
      <c r="E170" s="1">
        <f>VLOOKUP(B170,'2026-2027 adp'!A:C,3,FALSE)</f>
        <v>140</v>
      </c>
      <c r="F170" s="1">
        <f t="shared" si="43"/>
        <v>-15</v>
      </c>
      <c r="G170" s="1"/>
      <c r="H170" s="22" t="s">
        <v>764</v>
      </c>
      <c r="I170" s="22" t="s">
        <v>765</v>
      </c>
      <c r="J170" s="42">
        <v>1.3</v>
      </c>
      <c r="K170" s="42">
        <v>9.1999999999999993</v>
      </c>
      <c r="L170" s="42">
        <v>3.5</v>
      </c>
      <c r="M170" s="42">
        <v>2.9</v>
      </c>
      <c r="N170" s="42">
        <v>1.6</v>
      </c>
      <c r="O170" s="42">
        <v>0.5</v>
      </c>
      <c r="P170" s="42">
        <v>1.4</v>
      </c>
      <c r="Q170" s="43">
        <v>-1.27</v>
      </c>
      <c r="R170" s="42">
        <v>3.4</v>
      </c>
      <c r="S170" s="42">
        <v>8.5</v>
      </c>
      <c r="T170">
        <f t="shared" si="44"/>
        <v>0.39999999999999997</v>
      </c>
      <c r="U170" s="42">
        <v>1.1000000000000001</v>
      </c>
      <c r="V170" s="42">
        <v>1.3</v>
      </c>
      <c r="W170">
        <f t="shared" si="45"/>
        <v>0.84615384615384615</v>
      </c>
      <c r="X170" s="7">
        <f>IF(((T170 - '2026-2027 means'!E$2) / '2026-2027 means'!R$2) * (S170 / '2026-2027 means'!B$2) / 2 &lt; -2, -2, ((T170 - '2026-2027 means'!E$2) / '2026-2027 means'!R$2) * (S170 / '2026-2027 means'!B$2) / 2)</f>
        <v>-1.2937456567131207</v>
      </c>
      <c r="Y170" s="11">
        <f>IF(((W170 - '2026-2027 means'!F$2) / '2026-2027 means'!S$2) * (V170 / '2026-2027 means'!D$2) &lt; -2, -2, ((W170 - '2026-2027 means'!F$2) / '2026-2027 means'!S$2) * (V170 / '2026-2027 means'!D$2))</f>
        <v>0.23157834117101753</v>
      </c>
      <c r="Z170" s="7">
        <f>(J170-'2026-2027 means'!G$2)/'2026-2027 means'!T$2</f>
        <v>-0.38631391578618157</v>
      </c>
      <c r="AA170" s="7">
        <f>(K170-'2026-2027 means'!H$2)/'2026-2027 means'!U$2</f>
        <v>-1.2676787159232854</v>
      </c>
      <c r="AB170" s="7">
        <f>(L170-'2026-2027 means'!I$2)/'2026-2027 means'!V$2</f>
        <v>-0.90968613188501746</v>
      </c>
      <c r="AC170" s="7">
        <f>(M170-'2026-2027 means'!J$2)/'2026-2027 means'!W$2</f>
        <v>-0.38685561268181834</v>
      </c>
      <c r="AD170" s="7">
        <f>(N170-'2026-2027 means'!K$2)/'2026-2027 means'!X$2</f>
        <v>1.7128720793522085</v>
      </c>
      <c r="AE170" s="7">
        <f>(O170-'2026-2027 means'!L$2)/'2026-2027 means'!Y$2</f>
        <v>-0.36262847148104194</v>
      </c>
      <c r="AF170" s="7">
        <f>IF(((P170 - '2026-2027 means'!M$2) / '2026-2027 means'!Z$2 * -1) &lt; -2, -2, (P170 - '2026-2027 means'!M$2) / '2026-2027 means'!Z$2 * -1)</f>
        <v>0.60831289451805992</v>
      </c>
      <c r="AG170">
        <f t="shared" si="46"/>
        <v>1</v>
      </c>
      <c r="AH170">
        <f t="shared" si="47"/>
        <v>6</v>
      </c>
      <c r="AI170" s="8">
        <f t="shared" si="48"/>
        <v>0.16666666666666666</v>
      </c>
      <c r="AJ170" s="8" t="e" vm="1">
        <f t="shared" ca="1" si="49"/>
        <v>#NAME?</v>
      </c>
      <c r="AK170" s="8" t="str">
        <f t="shared" si="50"/>
        <v>FG%, 3PM, PTS, TREB, AST, BLK</v>
      </c>
      <c r="AL170" t="str">
        <f t="shared" si="51"/>
        <v/>
      </c>
      <c r="AM170" t="str">
        <f t="shared" si="52"/>
        <v>, STL</v>
      </c>
      <c r="AN170" t="str">
        <f t="shared" si="53"/>
        <v>, FT%, TO</v>
      </c>
      <c r="AO170" t="str">
        <f t="shared" si="54"/>
        <v>FG%, 3PM, PTS, TREB, AST, BLK</v>
      </c>
      <c r="AP170">
        <f>VLOOKUP(B170,'2025-2026 actuals'!B:Q,16,FALSE)</f>
        <v>187</v>
      </c>
      <c r="AQ170" s="7">
        <f t="shared" si="41"/>
        <v>-2.0541451894291787</v>
      </c>
      <c r="AR170">
        <f t="shared" si="42"/>
        <v>155</v>
      </c>
    </row>
    <row r="171" spans="1:44" ht="18">
      <c r="A171" s="3">
        <f t="shared" si="55"/>
        <v>180</v>
      </c>
      <c r="B171" s="41" t="s">
        <v>157</v>
      </c>
      <c r="C171" s="1">
        <f t="shared" si="56"/>
        <v>180</v>
      </c>
      <c r="D171" s="1">
        <f t="shared" si="57"/>
        <v>120</v>
      </c>
      <c r="E171" s="1">
        <f>VLOOKUP(B171,'2026-2027 adp'!A:C,3,FALSE)</f>
        <v>116.5</v>
      </c>
      <c r="F171" s="1">
        <f t="shared" si="43"/>
        <v>-63.5</v>
      </c>
      <c r="G171" s="1"/>
      <c r="H171" s="22" t="s">
        <v>766</v>
      </c>
      <c r="I171" s="22" t="s">
        <v>767</v>
      </c>
      <c r="J171" s="42">
        <v>2</v>
      </c>
      <c r="K171" s="42">
        <v>15.8</v>
      </c>
      <c r="L171" s="42">
        <v>3.4</v>
      </c>
      <c r="M171" s="42">
        <v>1.9</v>
      </c>
      <c r="N171" s="42">
        <v>0.7</v>
      </c>
      <c r="O171" s="42">
        <v>0.7</v>
      </c>
      <c r="P171" s="42">
        <v>1.5</v>
      </c>
      <c r="Q171" s="43">
        <v>-1.29</v>
      </c>
      <c r="R171" s="42">
        <v>5.2</v>
      </c>
      <c r="S171" s="42">
        <v>12</v>
      </c>
      <c r="T171">
        <f t="shared" si="44"/>
        <v>0.43333333333333335</v>
      </c>
      <c r="U171" s="42">
        <v>3.4</v>
      </c>
      <c r="V171" s="42">
        <v>4.0999999999999996</v>
      </c>
      <c r="W171">
        <f t="shared" si="45"/>
        <v>0.8292682926829269</v>
      </c>
      <c r="X171" s="7">
        <f>IF(((T171 - '2026-2027 means'!E$2) / '2026-2027 means'!R$2) * (S171 / '2026-2027 means'!B$2) / 2 &lt; -2, -2, ((T171 - '2026-2027 means'!E$2) / '2026-2027 means'!R$2) * (S171 / '2026-2027 means'!B$2) / 2)</f>
        <v>-1.0900392327412152</v>
      </c>
      <c r="Y171" s="11">
        <f>IF(((W171 - '2026-2027 means'!F$2) / '2026-2027 means'!S$2) * (V171 / '2026-2027 means'!D$2) &lt; -2, -2, ((W171 - '2026-2027 means'!F$2) / '2026-2027 means'!S$2) * (V171 / '2026-2027 means'!D$2))</f>
        <v>0.4896826499138186</v>
      </c>
      <c r="Z171" s="7">
        <f>(J171-'2026-2027 means'!G$2)/'2026-2027 means'!T$2</f>
        <v>0.35019513504194433</v>
      </c>
      <c r="AA171" s="7">
        <f>(K171-'2026-2027 means'!H$2)/'2026-2027 means'!U$2</f>
        <v>-1.8363966243594279E-2</v>
      </c>
      <c r="AB171" s="7">
        <f>(L171-'2026-2027 means'!I$2)/'2026-2027 means'!V$2</f>
        <v>-0.95129899317516053</v>
      </c>
      <c r="AC171" s="7">
        <f>(M171-'2026-2027 means'!J$2)/'2026-2027 means'!W$2</f>
        <v>-0.90317684873125736</v>
      </c>
      <c r="AD171" s="7">
        <f>(N171-'2026-2027 means'!K$2)/'2026-2027 means'!X$2</f>
        <v>-0.92871836527537077</v>
      </c>
      <c r="AE171" s="7">
        <f>(O171-'2026-2027 means'!L$2)/'2026-2027 means'!Y$2</f>
        <v>4.3434608004692253E-2</v>
      </c>
      <c r="AF171" s="7">
        <f>IF(((P171 - '2026-2027 means'!M$2) / '2026-2027 means'!Z$2 * -1) &lt; -2, -2, (P171 - '2026-2027 means'!M$2) / '2026-2027 means'!Z$2 * -1)</f>
        <v>0.47184984563621846</v>
      </c>
      <c r="AG171">
        <f t="shared" si="46"/>
        <v>0</v>
      </c>
      <c r="AH171">
        <f t="shared" si="47"/>
        <v>4</v>
      </c>
      <c r="AI171" s="8">
        <f t="shared" si="48"/>
        <v>0</v>
      </c>
      <c r="AJ171" s="8" t="e" vm="1">
        <f t="shared" ca="1" si="49"/>
        <v>#NAME?</v>
      </c>
      <c r="AK171" s="8" t="str">
        <f t="shared" si="50"/>
        <v>FG%, PTS, TREB, AST, STL</v>
      </c>
      <c r="AL171" t="str">
        <f t="shared" si="51"/>
        <v/>
      </c>
      <c r="AM171" t="str">
        <f t="shared" si="52"/>
        <v/>
      </c>
      <c r="AN171" t="str">
        <f t="shared" si="53"/>
        <v>, FT%, 3PM, BLK, TO</v>
      </c>
      <c r="AO171" t="str">
        <f t="shared" si="54"/>
        <v>FG%, PTS, TREB, AST, STL</v>
      </c>
      <c r="AP171">
        <f>VLOOKUP(B171,'2025-2026 actuals'!B:Q,16,FALSE)</f>
        <v>120</v>
      </c>
      <c r="AQ171" s="7">
        <f t="shared" si="41"/>
        <v>-2.5364351675699242</v>
      </c>
      <c r="AR171">
        <f t="shared" si="42"/>
        <v>180</v>
      </c>
    </row>
    <row r="172" spans="1:44" ht="18">
      <c r="A172" s="3">
        <f t="shared" si="55"/>
        <v>146</v>
      </c>
      <c r="B172" s="41" t="s">
        <v>196</v>
      </c>
      <c r="C172" s="1">
        <f t="shared" si="56"/>
        <v>146</v>
      </c>
      <c r="D172" s="1">
        <f t="shared" si="57"/>
        <v>123</v>
      </c>
      <c r="E172" s="1">
        <f>VLOOKUP(B172,'2026-2027 adp'!A:C,3,FALSE)</f>
        <v>110.9</v>
      </c>
      <c r="F172" s="1">
        <f t="shared" si="43"/>
        <v>-35.099999999999994</v>
      </c>
      <c r="G172" s="1"/>
      <c r="H172" s="22" t="s">
        <v>768</v>
      </c>
      <c r="I172" s="22" t="s">
        <v>769</v>
      </c>
      <c r="J172" s="42">
        <v>1.2</v>
      </c>
      <c r="K172" s="42">
        <v>12.6</v>
      </c>
      <c r="L172" s="42">
        <v>4.8</v>
      </c>
      <c r="M172" s="42">
        <v>1.5</v>
      </c>
      <c r="N172" s="42">
        <v>1.3</v>
      </c>
      <c r="O172" s="42">
        <v>0.4</v>
      </c>
      <c r="P172" s="42">
        <v>1.2</v>
      </c>
      <c r="Q172" s="43">
        <v>-1.35</v>
      </c>
      <c r="R172" s="42">
        <v>4.7</v>
      </c>
      <c r="S172" s="42">
        <v>10</v>
      </c>
      <c r="T172">
        <f t="shared" si="44"/>
        <v>0.47000000000000003</v>
      </c>
      <c r="U172" s="42">
        <v>2</v>
      </c>
      <c r="V172" s="42">
        <v>2.6</v>
      </c>
      <c r="W172">
        <f t="shared" si="45"/>
        <v>0.76923076923076916</v>
      </c>
      <c r="X172" s="7">
        <f>IF(((T172 - '2026-2027 means'!E$2) / '2026-2027 means'!R$2) * (S172 / '2026-2027 means'!B$2) / 2 &lt; -2, -2, ((T172 - '2026-2027 means'!E$2) / '2026-2027 means'!R$2) * (S172 / '2026-2027 means'!B$2) / 2)</f>
        <v>-0.23330957213897152</v>
      </c>
      <c r="Y172" s="11">
        <f>IF(((W172 - '2026-2027 means'!F$2) / '2026-2027 means'!S$2) * (V172 / '2026-2027 means'!D$2) &lt; -2, -2, ((W172 - '2026-2027 means'!F$2) / '2026-2027 means'!S$2) * (V172 / '2026-2027 means'!D$2))</f>
        <v>-0.23214054857620806</v>
      </c>
      <c r="Z172" s="7">
        <f>(J172-'2026-2027 means'!G$2)/'2026-2027 means'!T$2</f>
        <v>-0.49152949447591393</v>
      </c>
      <c r="AA172" s="7">
        <f>(K172-'2026-2027 means'!H$2)/'2026-2027 means'!U$2</f>
        <v>-0.62409232972465667</v>
      </c>
      <c r="AB172" s="7">
        <f>(L172-'2026-2027 means'!I$2)/'2026-2027 means'!V$2</f>
        <v>-0.36871893511315806</v>
      </c>
      <c r="AC172" s="7">
        <f>(M172-'2026-2027 means'!J$2)/'2026-2027 means'!W$2</f>
        <v>-1.1097053431510329</v>
      </c>
      <c r="AD172" s="7">
        <f>(N172-'2026-2027 means'!K$2)/'2026-2027 means'!X$2</f>
        <v>0.83234193114301547</v>
      </c>
      <c r="AE172" s="7">
        <f>(O172-'2026-2027 means'!L$2)/'2026-2027 means'!Y$2</f>
        <v>-0.56566001122390897</v>
      </c>
      <c r="AF172" s="7">
        <f>IF(((P172 - '2026-2027 means'!M$2) / '2026-2027 means'!Z$2 * -1) &lt; -2, -2, (P172 - '2026-2027 means'!M$2) / '2026-2027 means'!Z$2 * -1)</f>
        <v>0.88123899228174263</v>
      </c>
      <c r="AG172">
        <f t="shared" si="46"/>
        <v>0</v>
      </c>
      <c r="AH172">
        <f t="shared" si="47"/>
        <v>5</v>
      </c>
      <c r="AI172" s="8">
        <f t="shared" si="48"/>
        <v>0</v>
      </c>
      <c r="AJ172" s="8" t="e" vm="1">
        <f t="shared" ca="1" si="49"/>
        <v>#NAME?</v>
      </c>
      <c r="AK172" s="8" t="str">
        <f t="shared" si="50"/>
        <v>FG%, FT%, 3PM, PTS, TREB, AST, BLK</v>
      </c>
      <c r="AL172" t="str">
        <f t="shared" si="51"/>
        <v/>
      </c>
      <c r="AM172" t="str">
        <f t="shared" si="52"/>
        <v/>
      </c>
      <c r="AN172" t="str">
        <f t="shared" si="53"/>
        <v>, STL, TO</v>
      </c>
      <c r="AO172" t="str">
        <f t="shared" si="54"/>
        <v>FG%, FT%, 3PM, PTS, TREB, AST, BLK</v>
      </c>
      <c r="AP172">
        <f>VLOOKUP(B172,'2025-2026 actuals'!B:Q,16,FALSE)</f>
        <v>123</v>
      </c>
      <c r="AQ172" s="7">
        <f t="shared" si="41"/>
        <v>-1.9115753109790923</v>
      </c>
      <c r="AR172">
        <f t="shared" si="42"/>
        <v>146</v>
      </c>
    </row>
    <row r="173" spans="1:44" ht="18">
      <c r="A173" s="3">
        <f t="shared" si="55"/>
        <v>171</v>
      </c>
      <c r="B173" s="41" t="s">
        <v>226</v>
      </c>
      <c r="C173" s="1">
        <f t="shared" si="56"/>
        <v>171</v>
      </c>
      <c r="D173" s="1">
        <f t="shared" si="57"/>
        <v>173</v>
      </c>
      <c r="E173" s="1">
        <f>VLOOKUP(B173,'2026-2027 adp'!A:C,3,FALSE)</f>
        <v>140</v>
      </c>
      <c r="F173" s="1">
        <f t="shared" si="43"/>
        <v>-31</v>
      </c>
      <c r="G173" s="1"/>
      <c r="H173" s="22" t="s">
        <v>770</v>
      </c>
      <c r="I173" s="22" t="s">
        <v>771</v>
      </c>
      <c r="J173" s="42">
        <v>1.5</v>
      </c>
      <c r="K173" s="42">
        <v>10.4</v>
      </c>
      <c r="L173" s="42">
        <v>7</v>
      </c>
      <c r="M173" s="42">
        <v>1.3</v>
      </c>
      <c r="N173" s="42">
        <v>0.4</v>
      </c>
      <c r="O173" s="42">
        <v>0.8</v>
      </c>
      <c r="P173" s="42">
        <v>0.9</v>
      </c>
      <c r="Q173" s="43">
        <v>-1.38</v>
      </c>
      <c r="R173" s="42">
        <v>3.8</v>
      </c>
      <c r="S173" s="42">
        <v>8</v>
      </c>
      <c r="T173">
        <f t="shared" si="44"/>
        <v>0.47499999999999998</v>
      </c>
      <c r="U173" s="42">
        <v>1.4</v>
      </c>
      <c r="V173" s="42">
        <v>1.8</v>
      </c>
      <c r="W173">
        <f t="shared" si="45"/>
        <v>0.77777777777777768</v>
      </c>
      <c r="X173" s="7">
        <f>IF(((T173 - '2026-2027 means'!E$2) / '2026-2027 means'!R$2) * (S173 / '2026-2027 means'!B$2) / 2 &lt; -2, -2, ((T173 - '2026-2027 means'!E$2) / '2026-2027 means'!R$2) * (S173 / '2026-2027 means'!B$2) / 2)</f>
        <v>-0.11300513533168258</v>
      </c>
      <c r="Y173" s="11">
        <f>IF(((W173 - '2026-2027 means'!F$2) / '2026-2027 means'!S$2) * (V173 / '2026-2027 means'!D$2) &lt; -2, -2, ((W173 - '2026-2027 means'!F$2) / '2026-2027 means'!S$2) * (V173 / '2026-2027 means'!D$2))</f>
        <v>-0.10722828509751017</v>
      </c>
      <c r="Z173" s="7">
        <f>(J173-'2026-2027 means'!G$2)/'2026-2027 means'!T$2</f>
        <v>-0.17588275840671705</v>
      </c>
      <c r="AA173" s="7">
        <f>(K173-'2026-2027 means'!H$2)/'2026-2027 means'!U$2</f>
        <v>-1.0405305796178868</v>
      </c>
      <c r="AB173" s="7">
        <f>(L173-'2026-2027 means'!I$2)/'2026-2027 means'!V$2</f>
        <v>0.5467640132699888</v>
      </c>
      <c r="AC173" s="7">
        <f>(M173-'2026-2027 means'!J$2)/'2026-2027 means'!W$2</f>
        <v>-1.2129695903609206</v>
      </c>
      <c r="AD173" s="7">
        <f>(N173-'2026-2027 means'!K$2)/'2026-2027 means'!X$2</f>
        <v>-1.8092485134845637</v>
      </c>
      <c r="AE173" s="7">
        <f>(O173-'2026-2027 means'!L$2)/'2026-2027 means'!Y$2</f>
        <v>0.24646614774755957</v>
      </c>
      <c r="AF173" s="7">
        <f>IF(((P173 - '2026-2027 means'!M$2) / '2026-2027 means'!Z$2 * -1) &lt; -2, -2, (P173 - '2026-2027 means'!M$2) / '2026-2027 means'!Z$2 * -1)</f>
        <v>1.2906281389272667</v>
      </c>
      <c r="AG173">
        <f t="shared" si="46"/>
        <v>0</v>
      </c>
      <c r="AH173">
        <f t="shared" si="47"/>
        <v>3</v>
      </c>
      <c r="AI173" s="8">
        <f t="shared" si="48"/>
        <v>0</v>
      </c>
      <c r="AJ173" s="8" t="e" vm="1">
        <f t="shared" ca="1" si="49"/>
        <v>#NAME?</v>
      </c>
      <c r="AK173" s="8" t="str">
        <f t="shared" si="50"/>
        <v>FG%, FT%, 3PM, PTS, AST, STL</v>
      </c>
      <c r="AL173" t="str">
        <f t="shared" si="51"/>
        <v/>
      </c>
      <c r="AM173" t="str">
        <f t="shared" si="52"/>
        <v>, TO</v>
      </c>
      <c r="AN173" t="str">
        <f t="shared" si="53"/>
        <v>, TREB, BLK</v>
      </c>
      <c r="AO173" t="str">
        <f t="shared" si="54"/>
        <v>FG%, FT%, 3PM, PTS, AST, STL</v>
      </c>
      <c r="AP173">
        <f>VLOOKUP(B173,'2025-2026 actuals'!B:Q,16,FALSE)</f>
        <v>173</v>
      </c>
      <c r="AQ173" s="7">
        <f t="shared" si="41"/>
        <v>-2.3750065623544661</v>
      </c>
      <c r="AR173">
        <f t="shared" si="42"/>
        <v>171</v>
      </c>
    </row>
    <row r="174" spans="1:44" ht="18">
      <c r="A174" s="3">
        <f t="shared" si="55"/>
        <v>174</v>
      </c>
      <c r="B174" s="41" t="s">
        <v>340</v>
      </c>
      <c r="C174" s="1">
        <f t="shared" si="56"/>
        <v>174</v>
      </c>
      <c r="D174" s="1">
        <f t="shared" si="57"/>
        <v>170</v>
      </c>
      <c r="E174" s="1">
        <f>VLOOKUP(B174,'2026-2027 adp'!A:C,3,FALSE)</f>
        <v>118.4</v>
      </c>
      <c r="F174" s="1">
        <f t="shared" si="43"/>
        <v>-55.599999999999994</v>
      </c>
      <c r="G174" s="1"/>
      <c r="H174" s="22" t="s">
        <v>772</v>
      </c>
      <c r="I174" s="22" t="s">
        <v>773</v>
      </c>
      <c r="J174" s="42">
        <v>1.3</v>
      </c>
      <c r="K174" s="42">
        <v>9.4</v>
      </c>
      <c r="L174" s="42">
        <v>2.7</v>
      </c>
      <c r="M174" s="42">
        <v>6.2</v>
      </c>
      <c r="N174" s="42">
        <v>1.1000000000000001</v>
      </c>
      <c r="O174" s="42">
        <v>0.2</v>
      </c>
      <c r="P174" s="42">
        <v>1.8</v>
      </c>
      <c r="Q174" s="43">
        <v>-1.38</v>
      </c>
      <c r="R174" s="42">
        <v>3.7</v>
      </c>
      <c r="S174" s="42">
        <v>7.6</v>
      </c>
      <c r="T174">
        <f t="shared" si="44"/>
        <v>0.48684210526315796</v>
      </c>
      <c r="U174" s="42">
        <v>0.8</v>
      </c>
      <c r="V174" s="42">
        <v>1.1000000000000001</v>
      </c>
      <c r="W174">
        <f t="shared" si="45"/>
        <v>0.72727272727272729</v>
      </c>
      <c r="X174" s="7">
        <f>IF(((T174 - '2026-2027 means'!E$2) / '2026-2027 means'!R$2) * (S174 / '2026-2027 means'!B$2) / 2 &lt; -2, -2, ((T174 - '2026-2027 means'!E$2) / '2026-2027 means'!R$2) * (S174 / '2026-2027 means'!B$2) / 2)</f>
        <v>5.8340796788767454E-2</v>
      </c>
      <c r="Y174" s="11">
        <f>IF(((W174 - '2026-2027 means'!F$2) / '2026-2027 means'!S$2) * (V174 / '2026-2027 means'!D$2) &lt; -2, -2, ((W174 - '2026-2027 means'!F$2) / '2026-2027 means'!S$2) * (V174 / '2026-2027 means'!D$2))</f>
        <v>-0.2586665161479898</v>
      </c>
      <c r="Z174" s="7">
        <f>(J174-'2026-2027 means'!G$2)/'2026-2027 means'!T$2</f>
        <v>-0.38631391578618157</v>
      </c>
      <c r="AA174" s="7">
        <f>(K174-'2026-2027 means'!H$2)/'2026-2027 means'!U$2</f>
        <v>-1.2298206932057187</v>
      </c>
      <c r="AB174" s="7">
        <f>(L174-'2026-2027 means'!I$2)/'2026-2027 means'!V$2</f>
        <v>-1.2425890222061617</v>
      </c>
      <c r="AC174" s="7">
        <f>(M174-'2026-2027 means'!J$2)/'2026-2027 means'!W$2</f>
        <v>1.3170044662813307</v>
      </c>
      <c r="AD174" s="7">
        <f>(N174-'2026-2027 means'!K$2)/'2026-2027 means'!X$2</f>
        <v>0.24532183233688692</v>
      </c>
      <c r="AE174" s="7">
        <f>(O174-'2026-2027 means'!L$2)/'2026-2027 means'!Y$2</f>
        <v>-0.97172309070964324</v>
      </c>
      <c r="AF174" s="7">
        <f>IF(((P174 - '2026-2027 means'!M$2) / '2026-2027 means'!Z$2 * -1) &lt; -2, -2, (P174 - '2026-2027 means'!M$2) / '2026-2027 means'!Z$2 * -1)</f>
        <v>6.2460698990694306E-2</v>
      </c>
      <c r="AG174">
        <f t="shared" si="46"/>
        <v>1</v>
      </c>
      <c r="AH174">
        <f t="shared" si="47"/>
        <v>5</v>
      </c>
      <c r="AI174" s="8">
        <f t="shared" si="48"/>
        <v>0.2</v>
      </c>
      <c r="AJ174" s="8" t="e" vm="1">
        <f t="shared" ca="1" si="49"/>
        <v>#NAME?</v>
      </c>
      <c r="AK174" s="8" t="str">
        <f t="shared" si="50"/>
        <v>, FT%, 3PM, PTS, TREB, BLK</v>
      </c>
      <c r="AL174" t="str">
        <f t="shared" si="51"/>
        <v/>
      </c>
      <c r="AM174" t="str">
        <f t="shared" si="52"/>
        <v>, AST</v>
      </c>
      <c r="AN174" t="str">
        <f t="shared" si="53"/>
        <v>FG%, STL, TO</v>
      </c>
      <c r="AO174" t="str">
        <f t="shared" si="54"/>
        <v>, FT%, 3PM, PTS, TREB, BLK</v>
      </c>
      <c r="AP174">
        <f>VLOOKUP(B174,'2025-2026 actuals'!B:Q,16,FALSE)</f>
        <v>170</v>
      </c>
      <c r="AQ174" s="7">
        <f t="shared" si="41"/>
        <v>-2.4059854436580155</v>
      </c>
      <c r="AR174">
        <f t="shared" si="42"/>
        <v>174</v>
      </c>
    </row>
    <row r="175" spans="1:44" ht="18">
      <c r="A175" s="3">
        <f t="shared" si="55"/>
        <v>191</v>
      </c>
      <c r="B175" s="41" t="s">
        <v>337</v>
      </c>
      <c r="C175" s="1">
        <f t="shared" si="56"/>
        <v>191</v>
      </c>
      <c r="D175" s="1">
        <f t="shared" ref="D175:D182" si="58">AP175</f>
        <v>178</v>
      </c>
      <c r="E175" s="1">
        <f>VLOOKUP(B175,'2026-2027 adp'!A:C,3,FALSE)</f>
        <v>140</v>
      </c>
      <c r="F175" s="1">
        <f t="shared" si="43"/>
        <v>-51</v>
      </c>
      <c r="G175" s="1"/>
      <c r="H175" s="22" t="s">
        <v>774</v>
      </c>
      <c r="I175" s="22" t="s">
        <v>775</v>
      </c>
      <c r="J175" s="42">
        <v>2.1</v>
      </c>
      <c r="K175" s="42">
        <v>11.9</v>
      </c>
      <c r="L175" s="42">
        <v>3.6</v>
      </c>
      <c r="M175" s="42">
        <v>2.1</v>
      </c>
      <c r="N175" s="42">
        <v>0.8</v>
      </c>
      <c r="O175" s="42">
        <v>0.4</v>
      </c>
      <c r="P175" s="42">
        <v>1.3</v>
      </c>
      <c r="Q175" s="43">
        <v>-1.4</v>
      </c>
      <c r="R175" s="42">
        <v>4</v>
      </c>
      <c r="S175" s="42">
        <v>9.3000000000000007</v>
      </c>
      <c r="T175">
        <f t="shared" si="44"/>
        <v>0.43010752688172038</v>
      </c>
      <c r="U175" s="42">
        <v>1.8</v>
      </c>
      <c r="V175" s="42">
        <v>2.1</v>
      </c>
      <c r="W175">
        <f t="shared" si="45"/>
        <v>0.8571428571428571</v>
      </c>
      <c r="X175" s="7">
        <f>IF(((T175 - '2026-2027 means'!E$2) / '2026-2027 means'!R$2) * (S175 / '2026-2027 means'!B$2) / 2 &lt; -2, -2, ((T175 - '2026-2027 means'!E$2) / '2026-2027 means'!R$2) * (S175 / '2026-2027 means'!B$2) / 2)</f>
        <v>-0.90001229715906472</v>
      </c>
      <c r="Y175" s="11">
        <f>IF(((W175 - '2026-2027 means'!F$2) / '2026-2027 means'!S$2) * (V175 / '2026-2027 means'!D$2) &lt; -2, -2, ((W175 - '2026-2027 means'!F$2) / '2026-2027 means'!S$2) * (V175 / '2026-2027 means'!D$2))</f>
        <v>0.45431469315144063</v>
      </c>
      <c r="Z175" s="7">
        <f>(J175-'2026-2027 means'!G$2)/'2026-2027 means'!T$2</f>
        <v>0.45541071373167669</v>
      </c>
      <c r="AA175" s="7">
        <f>(K175-'2026-2027 means'!H$2)/'2026-2027 means'!U$2</f>
        <v>-0.75659540923613888</v>
      </c>
      <c r="AB175" s="7">
        <f>(L175-'2026-2027 means'!I$2)/'2026-2027 means'!V$2</f>
        <v>-0.86807327059487438</v>
      </c>
      <c r="AC175" s="7">
        <f>(M175-'2026-2027 means'!J$2)/'2026-2027 means'!W$2</f>
        <v>-0.79991260152136945</v>
      </c>
      <c r="AD175" s="7">
        <f>(N175-'2026-2027 means'!K$2)/'2026-2027 means'!X$2</f>
        <v>-0.6352083158723062</v>
      </c>
      <c r="AE175" s="7">
        <f>(O175-'2026-2027 means'!L$2)/'2026-2027 means'!Y$2</f>
        <v>-0.56566001122390897</v>
      </c>
      <c r="AF175" s="7">
        <f>IF(((P175 - '2026-2027 means'!M$2) / '2026-2027 means'!Z$2 * -1) &lt; -2, -2, (P175 - '2026-2027 means'!M$2) / '2026-2027 means'!Z$2 * -1)</f>
        <v>0.74477594339990116</v>
      </c>
      <c r="AG175">
        <f t="shared" si="46"/>
        <v>0</v>
      </c>
      <c r="AH175">
        <f t="shared" si="47"/>
        <v>6</v>
      </c>
      <c r="AI175" s="8">
        <f t="shared" si="48"/>
        <v>0</v>
      </c>
      <c r="AJ175" s="8" t="e" vm="1">
        <f t="shared" ca="1" si="49"/>
        <v>#NAME?</v>
      </c>
      <c r="AK175" s="8" t="str">
        <f t="shared" si="50"/>
        <v>FG%, PTS, TREB, AST, STL, BLK</v>
      </c>
      <c r="AL175" t="str">
        <f t="shared" si="51"/>
        <v/>
      </c>
      <c r="AM175" t="str">
        <f t="shared" si="52"/>
        <v/>
      </c>
      <c r="AN175" t="str">
        <f t="shared" si="53"/>
        <v>, FT%, 3PM, TO</v>
      </c>
      <c r="AO175" t="str">
        <f t="shared" si="54"/>
        <v>FG%, PTS, TREB, AST, STL, BLK</v>
      </c>
      <c r="AP175">
        <f>VLOOKUP(B175,'2025-2026 actuals'!B:Q,16,FALSE)</f>
        <v>178</v>
      </c>
      <c r="AQ175" s="7">
        <f t="shared" ref="AQ175:AQ183" si="59">SUM(X175:AF175)</f>
        <v>-2.8709605553246442</v>
      </c>
      <c r="AR175">
        <f t="shared" si="42"/>
        <v>191</v>
      </c>
    </row>
    <row r="176" spans="1:44" ht="18">
      <c r="A176" s="3">
        <f t="shared" si="55"/>
        <v>169</v>
      </c>
      <c r="B176" s="41" t="s">
        <v>236</v>
      </c>
      <c r="C176" s="1">
        <f t="shared" si="56"/>
        <v>169</v>
      </c>
      <c r="D176" s="1">
        <f t="shared" si="58"/>
        <v>139</v>
      </c>
      <c r="E176" s="1">
        <f>VLOOKUP(B176,'2026-2027 adp'!A:C,3,FALSE)</f>
        <v>113.6</v>
      </c>
      <c r="F176" s="1">
        <f t="shared" si="43"/>
        <v>-55.400000000000006</v>
      </c>
      <c r="G176" s="1"/>
      <c r="H176" s="22" t="s">
        <v>776</v>
      </c>
      <c r="I176" s="22" t="s">
        <v>777</v>
      </c>
      <c r="J176" s="42">
        <v>2.2999999999999998</v>
      </c>
      <c r="K176" s="42">
        <v>18.3</v>
      </c>
      <c r="L176" s="42">
        <v>3.6</v>
      </c>
      <c r="M176" s="42">
        <v>1.7</v>
      </c>
      <c r="N176" s="42">
        <v>0.9</v>
      </c>
      <c r="O176" s="42">
        <v>0.2</v>
      </c>
      <c r="P176" s="42">
        <v>1.3</v>
      </c>
      <c r="Q176" s="43">
        <v>-1.4</v>
      </c>
      <c r="R176" s="42">
        <v>6.6</v>
      </c>
      <c r="S176" s="42">
        <v>15.2</v>
      </c>
      <c r="T176">
        <f t="shared" si="44"/>
        <v>0.43421052631578949</v>
      </c>
      <c r="U176" s="42">
        <v>2.8</v>
      </c>
      <c r="V176" s="42">
        <v>3.4</v>
      </c>
      <c r="W176">
        <f t="shared" si="45"/>
        <v>0.82352941176470584</v>
      </c>
      <c r="X176" s="7">
        <f>IF(((T176 - '2026-2027 means'!E$2) / '2026-2027 means'!R$2) * (S176 / '2026-2027 means'!B$2) / 2 &lt; -2, -2, ((T176 - '2026-2027 means'!E$2) / '2026-2027 means'!R$2) * (S176 / '2026-2027 means'!B$2) / 2)</f>
        <v>-1.3561688540123742</v>
      </c>
      <c r="Y176" s="11">
        <f>IF(((W176 - '2026-2027 means'!F$2) / '2026-2027 means'!S$2) * (V176 / '2026-2027 means'!D$2) &lt; -2, -2, ((W176 - '2026-2027 means'!F$2) / '2026-2027 means'!S$2) * (V176 / '2026-2027 means'!D$2))</f>
        <v>0.33824441886333678</v>
      </c>
      <c r="Z176" s="7">
        <f>(J176-'2026-2027 means'!G$2)/'2026-2027 means'!T$2</f>
        <v>0.66584187111114101</v>
      </c>
      <c r="AA176" s="7">
        <f>(K176-'2026-2027 means'!H$2)/'2026-2027 means'!U$2</f>
        <v>0.45486131772598554</v>
      </c>
      <c r="AB176" s="7">
        <f>(L176-'2026-2027 means'!I$2)/'2026-2027 means'!V$2</f>
        <v>-0.86807327059487438</v>
      </c>
      <c r="AC176" s="7">
        <f>(M176-'2026-2027 means'!J$2)/'2026-2027 means'!W$2</f>
        <v>-1.0064410959411452</v>
      </c>
      <c r="AD176" s="7">
        <f>(N176-'2026-2027 means'!K$2)/'2026-2027 means'!X$2</f>
        <v>-0.34169826646924195</v>
      </c>
      <c r="AE176" s="7">
        <f>(O176-'2026-2027 means'!L$2)/'2026-2027 means'!Y$2</f>
        <v>-0.97172309070964324</v>
      </c>
      <c r="AF176" s="7">
        <f>IF(((P176 - '2026-2027 means'!M$2) / '2026-2027 means'!Z$2 * -1) &lt; -2, -2, (P176 - '2026-2027 means'!M$2) / '2026-2027 means'!Z$2 * -1)</f>
        <v>0.74477594339990116</v>
      </c>
      <c r="AG176">
        <f t="shared" si="46"/>
        <v>0</v>
      </c>
      <c r="AH176">
        <f t="shared" si="47"/>
        <v>5</v>
      </c>
      <c r="AI176" s="8">
        <f t="shared" si="48"/>
        <v>0</v>
      </c>
      <c r="AJ176" s="8" t="e" vm="1">
        <f t="shared" ca="1" si="49"/>
        <v>#NAME?</v>
      </c>
      <c r="AK176" s="8" t="str">
        <f t="shared" si="50"/>
        <v>FG%, TREB, AST, STL, BLK</v>
      </c>
      <c r="AL176" t="str">
        <f t="shared" si="51"/>
        <v/>
      </c>
      <c r="AM176" t="str">
        <f t="shared" si="52"/>
        <v/>
      </c>
      <c r="AN176" t="str">
        <f t="shared" si="53"/>
        <v>, FT%, 3PM, PTS, TO</v>
      </c>
      <c r="AO176" t="str">
        <f t="shared" si="54"/>
        <v>FG%, TREB, AST, STL, BLK</v>
      </c>
      <c r="AP176">
        <f>VLOOKUP(B176,'2025-2026 actuals'!B:Q,16,FALSE)</f>
        <v>139</v>
      </c>
      <c r="AQ176" s="7">
        <f t="shared" si="59"/>
        <v>-2.3403810266269147</v>
      </c>
      <c r="AR176">
        <f t="shared" si="42"/>
        <v>169</v>
      </c>
    </row>
    <row r="177" spans="1:44" ht="18">
      <c r="A177" s="3">
        <f t="shared" si="55"/>
        <v>184</v>
      </c>
      <c r="B177" s="41" t="s">
        <v>821</v>
      </c>
      <c r="C177" s="1">
        <f t="shared" si="56"/>
        <v>184</v>
      </c>
      <c r="D177" s="1">
        <f t="shared" si="58"/>
        <v>184</v>
      </c>
      <c r="E177" s="1">
        <f>VLOOKUP(B177,'2026-2027 adp'!A:C,3,FALSE)</f>
        <v>116.9</v>
      </c>
      <c r="F177" s="1">
        <f t="shared" si="43"/>
        <v>-67.099999999999994</v>
      </c>
      <c r="G177" s="1"/>
      <c r="H177" s="22" t="s">
        <v>778</v>
      </c>
      <c r="I177" s="22" t="s">
        <v>779</v>
      </c>
      <c r="J177" s="42">
        <v>1.9</v>
      </c>
      <c r="K177" s="42">
        <v>14.1</v>
      </c>
      <c r="L177" s="42">
        <v>4.3</v>
      </c>
      <c r="M177" s="42">
        <v>1.9</v>
      </c>
      <c r="N177" s="42">
        <v>0.9</v>
      </c>
      <c r="O177" s="42">
        <v>0.7</v>
      </c>
      <c r="P177" s="42">
        <v>1.5</v>
      </c>
      <c r="Q177" s="43">
        <v>-1.42</v>
      </c>
      <c r="R177" s="42">
        <v>5.6</v>
      </c>
      <c r="S177" s="42">
        <v>12.6</v>
      </c>
      <c r="T177">
        <f t="shared" si="44"/>
        <v>0.44444444444444442</v>
      </c>
      <c r="U177" s="42">
        <v>0.9</v>
      </c>
      <c r="V177" s="42">
        <v>1.3</v>
      </c>
      <c r="W177">
        <f t="shared" si="45"/>
        <v>0.69230769230769229</v>
      </c>
      <c r="X177" s="7">
        <f>IF(((T177 - '2026-2027 means'!E$2) / '2026-2027 means'!R$2) * (S177 / '2026-2027 means'!B$2) / 2 &lt; -2, -2, ((T177 - '2026-2027 means'!E$2) / '2026-2027 means'!R$2) * (S177 / '2026-2027 means'!B$2) / 2)</f>
        <v>-0.88679236605004319</v>
      </c>
      <c r="Y177" s="11">
        <f>IF(((W177 - '2026-2027 means'!F$2) / '2026-2027 means'!S$2) * (V177 / '2026-2027 means'!D$2) &lt; -2, -2, ((W177 - '2026-2027 means'!F$2) / '2026-2027 means'!S$2) * (V177 / '2026-2027 means'!D$2))</f>
        <v>-0.46371888974722508</v>
      </c>
      <c r="Z177" s="7">
        <f>(J177-'2026-2027 means'!G$2)/'2026-2027 means'!T$2</f>
        <v>0.24497955635221194</v>
      </c>
      <c r="AA177" s="7">
        <f>(K177-'2026-2027 means'!H$2)/'2026-2027 means'!U$2</f>
        <v>-0.3401571593429088</v>
      </c>
      <c r="AB177" s="7">
        <f>(L177-'2026-2027 means'!I$2)/'2026-2027 means'!V$2</f>
        <v>-0.57678324156387328</v>
      </c>
      <c r="AC177" s="7">
        <f>(M177-'2026-2027 means'!J$2)/'2026-2027 means'!W$2</f>
        <v>-0.90317684873125736</v>
      </c>
      <c r="AD177" s="7">
        <f>(N177-'2026-2027 means'!K$2)/'2026-2027 means'!X$2</f>
        <v>-0.34169826646924195</v>
      </c>
      <c r="AE177" s="7">
        <f>(O177-'2026-2027 means'!L$2)/'2026-2027 means'!Y$2</f>
        <v>4.3434608004692253E-2</v>
      </c>
      <c r="AF177" s="7">
        <f>IF(((P177 - '2026-2027 means'!M$2) / '2026-2027 means'!Z$2 * -1) &lt; -2, -2, (P177 - '2026-2027 means'!M$2) / '2026-2027 means'!Z$2 * -1)</f>
        <v>0.47184984563621846</v>
      </c>
      <c r="AG177">
        <f t="shared" si="46"/>
        <v>0</v>
      </c>
      <c r="AH177">
        <f t="shared" si="47"/>
        <v>6</v>
      </c>
      <c r="AI177" s="8">
        <f t="shared" si="48"/>
        <v>0</v>
      </c>
      <c r="AJ177" s="8" t="e" vm="1">
        <f t="shared" ca="1" si="49"/>
        <v>#NAME?</v>
      </c>
      <c r="AK177" s="8" t="str">
        <f t="shared" si="50"/>
        <v>FG%, FT%, PTS, TREB, AST, STL</v>
      </c>
      <c r="AL177" t="str">
        <f t="shared" si="51"/>
        <v/>
      </c>
      <c r="AM177" t="str">
        <f t="shared" si="52"/>
        <v/>
      </c>
      <c r="AN177" t="str">
        <f t="shared" si="53"/>
        <v>, 3PM, BLK, TO</v>
      </c>
      <c r="AO177" t="str">
        <f t="shared" si="54"/>
        <v>FG%, FT%, PTS, TREB, AST, STL</v>
      </c>
      <c r="AP177">
        <f>VLOOKUP(B177,'2025-2026 actuals'!B:Q,16,FALSE)</f>
        <v>184</v>
      </c>
      <c r="AQ177" s="7">
        <f t="shared" si="59"/>
        <v>-2.7520627619114268</v>
      </c>
      <c r="AR177">
        <f t="shared" si="42"/>
        <v>184</v>
      </c>
    </row>
    <row r="178" spans="1:44" ht="18">
      <c r="A178" s="3">
        <f t="shared" si="55"/>
        <v>183</v>
      </c>
      <c r="B178" s="41" t="s">
        <v>106</v>
      </c>
      <c r="C178" s="1">
        <f t="shared" si="56"/>
        <v>183</v>
      </c>
      <c r="D178" s="1" t="e">
        <f t="shared" si="58"/>
        <v>#N/A</v>
      </c>
      <c r="E178" s="1">
        <f>VLOOKUP(B178,'2026-2027 adp'!A:C,3,FALSE)</f>
        <v>140</v>
      </c>
      <c r="F178" s="1">
        <f t="shared" si="43"/>
        <v>-43</v>
      </c>
      <c r="G178" s="1"/>
      <c r="H178" s="22" t="s">
        <v>781</v>
      </c>
      <c r="I178" s="22" t="s">
        <v>782</v>
      </c>
      <c r="J178" s="42">
        <v>1.7</v>
      </c>
      <c r="K178" s="42">
        <v>13.9</v>
      </c>
      <c r="L178" s="42">
        <v>2.8</v>
      </c>
      <c r="M178" s="42">
        <v>3</v>
      </c>
      <c r="N178" s="42">
        <v>0.9</v>
      </c>
      <c r="O178" s="42">
        <v>0.4</v>
      </c>
      <c r="P178" s="42">
        <v>1.7</v>
      </c>
      <c r="Q178" s="43">
        <v>-1.48</v>
      </c>
      <c r="R178" s="42">
        <v>5.3</v>
      </c>
      <c r="S178" s="42">
        <v>11.3</v>
      </c>
      <c r="T178">
        <f t="shared" si="44"/>
        <v>0.46902654867256632</v>
      </c>
      <c r="U178" s="42">
        <v>1.8</v>
      </c>
      <c r="V178" s="42">
        <v>2.2000000000000002</v>
      </c>
      <c r="W178">
        <f t="shared" si="45"/>
        <v>0.81818181818181812</v>
      </c>
      <c r="X178" s="7">
        <f>IF(((T178 - '2026-2027 means'!E$2) / '2026-2027 means'!R$2) * (S178 / '2026-2027 means'!B$2) / 2 &lt; -2, -2, ((T178 - '2026-2027 means'!E$2) / '2026-2027 means'!R$2) * (S178 / '2026-2027 means'!B$2) / 2)</f>
        <v>-0.28389151017140063</v>
      </c>
      <c r="Y178" s="11">
        <f>IF(((W178 - '2026-2027 means'!F$2) / '2026-2027 means'!S$2) * (V178 / '2026-2027 means'!D$2) &lt; -2, -2, ((W178 - '2026-2027 means'!F$2) / '2026-2027 means'!S$2) * (V178 / '2026-2027 means'!D$2))</f>
        <v>0.17796419862226237</v>
      </c>
      <c r="Z178" s="7">
        <f>(J178-'2026-2027 means'!G$2)/'2026-2027 means'!T$2</f>
        <v>3.4548398972747453E-2</v>
      </c>
      <c r="AA178" s="7">
        <f>(K178-'2026-2027 means'!H$2)/'2026-2027 means'!U$2</f>
        <v>-0.37801518206047502</v>
      </c>
      <c r="AB178" s="7">
        <f>(L178-'2026-2027 means'!I$2)/'2026-2027 means'!V$2</f>
        <v>-1.2009761609160188</v>
      </c>
      <c r="AC178" s="7">
        <f>(M178-'2026-2027 means'!J$2)/'2026-2027 means'!W$2</f>
        <v>-0.33522348907687438</v>
      </c>
      <c r="AD178" s="7">
        <f>(N178-'2026-2027 means'!K$2)/'2026-2027 means'!X$2</f>
        <v>-0.34169826646924195</v>
      </c>
      <c r="AE178" s="7">
        <f>(O178-'2026-2027 means'!L$2)/'2026-2027 means'!Y$2</f>
        <v>-0.56566001122390897</v>
      </c>
      <c r="AF178" s="7">
        <f>IF(((P178 - '2026-2027 means'!M$2) / '2026-2027 means'!Z$2 * -1) &lt; -2, -2, (P178 - '2026-2027 means'!M$2) / '2026-2027 means'!Z$2 * -1)</f>
        <v>0.19892374787253581</v>
      </c>
      <c r="AG178">
        <f t="shared" si="46"/>
        <v>0</v>
      </c>
      <c r="AH178">
        <f t="shared" si="47"/>
        <v>6</v>
      </c>
      <c r="AI178" s="8">
        <f t="shared" si="48"/>
        <v>0</v>
      </c>
      <c r="AJ178" s="8" t="e" vm="1">
        <f t="shared" ca="1" si="49"/>
        <v>#NAME?</v>
      </c>
      <c r="AK178" s="8" t="str">
        <f t="shared" si="50"/>
        <v>FG%, PTS, TREB, AST, STL, BLK</v>
      </c>
      <c r="AL178" t="str">
        <f t="shared" si="51"/>
        <v/>
      </c>
      <c r="AM178" t="str">
        <f t="shared" si="52"/>
        <v/>
      </c>
      <c r="AN178" t="str">
        <f t="shared" si="53"/>
        <v>, FT%, 3PM, TO</v>
      </c>
      <c r="AO178" t="str">
        <f t="shared" si="54"/>
        <v>FG%, PTS, TREB, AST, STL, BLK</v>
      </c>
      <c r="AP178" t="e">
        <f>VLOOKUP(B178,'2025-2026 actuals'!B:Q,16,FALSE)</f>
        <v>#N/A</v>
      </c>
      <c r="AQ178" s="7">
        <f t="shared" si="59"/>
        <v>-2.6940282744503743</v>
      </c>
      <c r="AR178">
        <f t="shared" si="42"/>
        <v>183</v>
      </c>
    </row>
    <row r="179" spans="1:44" ht="18">
      <c r="A179" s="3">
        <f t="shared" si="55"/>
        <v>181</v>
      </c>
      <c r="B179" s="41" t="s">
        <v>259</v>
      </c>
      <c r="C179" s="1">
        <f t="shared" si="56"/>
        <v>181</v>
      </c>
      <c r="D179" s="1">
        <f t="shared" si="58"/>
        <v>105</v>
      </c>
      <c r="E179" s="1">
        <f>VLOOKUP(B179,'2026-2027 adp'!A:C,3,FALSE)</f>
        <v>140</v>
      </c>
      <c r="F179" s="1">
        <f t="shared" si="43"/>
        <v>-41</v>
      </c>
      <c r="G179" s="1"/>
      <c r="H179" s="22" t="s">
        <v>783</v>
      </c>
      <c r="I179" s="22" t="s">
        <v>784</v>
      </c>
      <c r="J179" s="42">
        <v>1.4</v>
      </c>
      <c r="K179" s="42">
        <v>8.6</v>
      </c>
      <c r="L179" s="42">
        <v>3.2</v>
      </c>
      <c r="M179" s="42">
        <v>1.1000000000000001</v>
      </c>
      <c r="N179" s="42">
        <v>0.4</v>
      </c>
      <c r="O179" s="42">
        <v>1.5</v>
      </c>
      <c r="P179" s="42">
        <v>0.8</v>
      </c>
      <c r="Q179" s="43">
        <v>-1.5</v>
      </c>
      <c r="R179" s="42">
        <v>3.1</v>
      </c>
      <c r="S179" s="42">
        <v>6.4</v>
      </c>
      <c r="T179">
        <f t="shared" si="44"/>
        <v>0.484375</v>
      </c>
      <c r="U179" s="42">
        <v>0.9</v>
      </c>
      <c r="V179" s="42">
        <v>1.1000000000000001</v>
      </c>
      <c r="W179">
        <f t="shared" si="45"/>
        <v>0.81818181818181812</v>
      </c>
      <c r="X179" s="7">
        <f>IF(((T179 - '2026-2027 means'!E$2) / '2026-2027 means'!R$2) * (S179 / '2026-2027 means'!B$2) / 2 &lt; -2, -2, ((T179 - '2026-2027 means'!E$2) / '2026-2027 means'!R$2) * (S179 / '2026-2027 means'!B$2) / 2)</f>
        <v>2.0059675303897285E-2</v>
      </c>
      <c r="Y179" s="11">
        <f>IF(((W179 - '2026-2027 means'!F$2) / '2026-2027 means'!S$2) * (V179 / '2026-2027 means'!D$2) &lt; -2, -2, ((W179 - '2026-2027 means'!F$2) / '2026-2027 means'!S$2) * (V179 / '2026-2027 means'!D$2))</f>
        <v>8.8982099311131185E-2</v>
      </c>
      <c r="Z179" s="7">
        <f>(J179-'2026-2027 means'!G$2)/'2026-2027 means'!T$2</f>
        <v>-0.28109833709644944</v>
      </c>
      <c r="AA179" s="7">
        <f>(K179-'2026-2027 means'!H$2)/'2026-2027 means'!U$2</f>
        <v>-1.3812527840759845</v>
      </c>
      <c r="AB179" s="7">
        <f>(L179-'2026-2027 means'!I$2)/'2026-2027 means'!V$2</f>
        <v>-1.0345247157554465</v>
      </c>
      <c r="AC179" s="7">
        <f>(M179-'2026-2027 means'!J$2)/'2026-2027 means'!W$2</f>
        <v>-1.3162338375708085</v>
      </c>
      <c r="AD179" s="7">
        <f>(N179-'2026-2027 means'!K$2)/'2026-2027 means'!X$2</f>
        <v>-1.8092485134845637</v>
      </c>
      <c r="AE179" s="7">
        <f>(O179-'2026-2027 means'!L$2)/'2026-2027 means'!Y$2</f>
        <v>1.6676869259476295</v>
      </c>
      <c r="AF179" s="7">
        <f>IF(((P179 - '2026-2027 means'!M$2) / '2026-2027 means'!Z$2 * -1) &lt; -2, -2, (P179 - '2026-2027 means'!M$2) / '2026-2027 means'!Z$2 * -1)</f>
        <v>1.4270911878091079</v>
      </c>
      <c r="AG179">
        <f t="shared" si="46"/>
        <v>1</v>
      </c>
      <c r="AH179">
        <f t="shared" si="47"/>
        <v>5</v>
      </c>
      <c r="AI179" s="8">
        <f t="shared" si="48"/>
        <v>0.2</v>
      </c>
      <c r="AJ179" s="8" t="e" vm="1">
        <f t="shared" ca="1" si="49"/>
        <v>#NAME?</v>
      </c>
      <c r="AK179" s="8" t="str">
        <f t="shared" si="50"/>
        <v>, 3PM, PTS, TREB, AST, STL</v>
      </c>
      <c r="AL179" t="str">
        <f t="shared" si="51"/>
        <v/>
      </c>
      <c r="AM179" t="str">
        <f t="shared" si="52"/>
        <v>, BLK, TO</v>
      </c>
      <c r="AN179" t="str">
        <f t="shared" si="53"/>
        <v>FG%, FT%</v>
      </c>
      <c r="AO179" t="str">
        <f t="shared" si="54"/>
        <v>, 3PM, PTS, TREB, AST, STL</v>
      </c>
      <c r="AP179">
        <f>VLOOKUP(B179,'2025-2026 actuals'!B:Q,16,FALSE)</f>
        <v>105</v>
      </c>
      <c r="AQ179" s="7">
        <f t="shared" si="59"/>
        <v>-2.6185382996114868</v>
      </c>
      <c r="AR179">
        <f t="shared" si="42"/>
        <v>181</v>
      </c>
    </row>
    <row r="180" spans="1:44" ht="18">
      <c r="A180" s="3">
        <f t="shared" si="55"/>
        <v>185</v>
      </c>
      <c r="B180" s="41" t="s">
        <v>174</v>
      </c>
      <c r="C180" s="1">
        <f t="shared" si="56"/>
        <v>185</v>
      </c>
      <c r="D180" s="1">
        <f t="shared" si="58"/>
        <v>171</v>
      </c>
      <c r="E180" s="1">
        <f>VLOOKUP(B180,'2026-2027 adp'!A:C,3,FALSE)</f>
        <v>140</v>
      </c>
      <c r="F180" s="1">
        <f t="shared" si="43"/>
        <v>-45</v>
      </c>
      <c r="G180" s="1"/>
      <c r="H180" s="22" t="s">
        <v>785</v>
      </c>
      <c r="I180" s="22" t="s">
        <v>786</v>
      </c>
      <c r="J180" s="42">
        <v>1.5</v>
      </c>
      <c r="K180" s="42">
        <v>11.9</v>
      </c>
      <c r="L180" s="42">
        <v>3.2</v>
      </c>
      <c r="M180" s="42">
        <v>2.6</v>
      </c>
      <c r="N180" s="42">
        <v>1.5</v>
      </c>
      <c r="O180" s="42">
        <v>0.4</v>
      </c>
      <c r="P180" s="42">
        <v>1.8</v>
      </c>
      <c r="Q180" s="43">
        <v>-1.5</v>
      </c>
      <c r="R180" s="42">
        <v>4.3</v>
      </c>
      <c r="S180" s="42">
        <v>10.5</v>
      </c>
      <c r="T180">
        <f t="shared" si="44"/>
        <v>0.40952380952380951</v>
      </c>
      <c r="U180" s="42">
        <v>1.9</v>
      </c>
      <c r="V180" s="42">
        <v>2.2999999999999998</v>
      </c>
      <c r="W180">
        <f t="shared" si="45"/>
        <v>0.82608695652173914</v>
      </c>
      <c r="X180" s="7">
        <f>IF(((T180 - '2026-2027 means'!E$2) / '2026-2027 means'!R$2) * (S180 / '2026-2027 means'!B$2) / 2 &lt; -2, -2, ((T180 - '2026-2027 means'!E$2) / '2026-2027 means'!R$2) * (S180 / '2026-2027 means'!B$2) / 2)</f>
        <v>-1.4140500935204101</v>
      </c>
      <c r="Y180" s="11">
        <f>IF(((W180 - '2026-2027 means'!F$2) / '2026-2027 means'!S$2) * (V180 / '2026-2027 means'!D$2) &lt; -2, -2, ((W180 - '2026-2027 means'!F$2) / '2026-2027 means'!S$2) * (V180 / '2026-2027 means'!D$2))</f>
        <v>0.24926231955220593</v>
      </c>
      <c r="Z180" s="7">
        <f>(J180-'2026-2027 means'!G$2)/'2026-2027 means'!T$2</f>
        <v>-0.17588275840671705</v>
      </c>
      <c r="AA180" s="7">
        <f>(K180-'2026-2027 means'!H$2)/'2026-2027 means'!U$2</f>
        <v>-0.75659540923613888</v>
      </c>
      <c r="AB180" s="7">
        <f>(L180-'2026-2027 means'!I$2)/'2026-2027 means'!V$2</f>
        <v>-1.0345247157554465</v>
      </c>
      <c r="AC180" s="7">
        <f>(M180-'2026-2027 means'!J$2)/'2026-2027 means'!W$2</f>
        <v>-0.54175198349664999</v>
      </c>
      <c r="AD180" s="7">
        <f>(N180-'2026-2027 means'!K$2)/'2026-2027 means'!X$2</f>
        <v>1.4193620299491441</v>
      </c>
      <c r="AE180" s="7">
        <f>(O180-'2026-2027 means'!L$2)/'2026-2027 means'!Y$2</f>
        <v>-0.56566001122390897</v>
      </c>
      <c r="AF180" s="7">
        <f>IF(((P180 - '2026-2027 means'!M$2) / '2026-2027 means'!Z$2 * -1) &lt; -2, -2, (P180 - '2026-2027 means'!M$2) / '2026-2027 means'!Z$2 * -1)</f>
        <v>6.2460698990694306E-2</v>
      </c>
      <c r="AG180">
        <f t="shared" si="46"/>
        <v>1</v>
      </c>
      <c r="AH180">
        <f t="shared" si="47"/>
        <v>5</v>
      </c>
      <c r="AI180" s="8">
        <f t="shared" si="48"/>
        <v>0.2</v>
      </c>
      <c r="AJ180" s="8" t="e" vm="1">
        <f t="shared" ca="1" si="49"/>
        <v>#NAME?</v>
      </c>
      <c r="AK180" s="8" t="str">
        <f t="shared" si="50"/>
        <v>FG%, 3PM, PTS, TREB, AST, BLK</v>
      </c>
      <c r="AL180" t="str">
        <f t="shared" si="51"/>
        <v/>
      </c>
      <c r="AM180" t="str">
        <f t="shared" si="52"/>
        <v>, STL</v>
      </c>
      <c r="AN180" t="str">
        <f t="shared" si="53"/>
        <v>, FT%, TO</v>
      </c>
      <c r="AO180" t="str">
        <f t="shared" si="54"/>
        <v>FG%, 3PM, PTS, TREB, AST, BLK</v>
      </c>
      <c r="AP180">
        <f>VLOOKUP(B180,'2025-2026 actuals'!B:Q,16,FALSE)</f>
        <v>171</v>
      </c>
      <c r="AQ180" s="7">
        <f t="shared" si="59"/>
        <v>-2.7573799231472274</v>
      </c>
      <c r="AR180">
        <f t="shared" si="42"/>
        <v>185</v>
      </c>
    </row>
    <row r="181" spans="1:44" ht="18">
      <c r="A181" s="3">
        <f t="shared" si="55"/>
        <v>168</v>
      </c>
      <c r="B181" s="41" t="s">
        <v>103</v>
      </c>
      <c r="C181" s="1">
        <f t="shared" si="56"/>
        <v>168</v>
      </c>
      <c r="D181" s="1">
        <f t="shared" si="58"/>
        <v>75</v>
      </c>
      <c r="E181" s="1">
        <f>VLOOKUP(B181,'2026-2027 adp'!A:C,3,FALSE)</f>
        <v>113.3</v>
      </c>
      <c r="F181" s="1">
        <f t="shared" si="43"/>
        <v>-54.7</v>
      </c>
      <c r="G181" s="1"/>
      <c r="H181" s="22" t="s">
        <v>787</v>
      </c>
      <c r="I181" s="22" t="s">
        <v>788</v>
      </c>
      <c r="J181" s="42">
        <v>1.1000000000000001</v>
      </c>
      <c r="K181" s="42">
        <v>11</v>
      </c>
      <c r="L181" s="42">
        <v>6.3</v>
      </c>
      <c r="M181" s="42">
        <v>2.2999999999999998</v>
      </c>
      <c r="N181" s="42">
        <v>0.5</v>
      </c>
      <c r="O181" s="42">
        <v>0.5</v>
      </c>
      <c r="P181" s="42">
        <v>1</v>
      </c>
      <c r="Q181" s="43">
        <v>-1.5</v>
      </c>
      <c r="R181" s="42">
        <v>4.5</v>
      </c>
      <c r="S181" s="42">
        <v>9.1</v>
      </c>
      <c r="T181">
        <f t="shared" si="44"/>
        <v>0.49450549450549453</v>
      </c>
      <c r="U181" s="42">
        <v>1</v>
      </c>
      <c r="V181" s="42">
        <v>1.2</v>
      </c>
      <c r="W181">
        <f t="shared" si="45"/>
        <v>0.83333333333333337</v>
      </c>
      <c r="X181" s="7">
        <f>IF(((T181 - '2026-2027 means'!E$2) / '2026-2027 means'!R$2) * (S181 / '2026-2027 means'!B$2) / 2 &lt; -2, -2, ((T181 - '2026-2027 means'!E$2) / '2026-2027 means'!R$2) * (S181 / '2026-2027 means'!B$2) / 2)</f>
        <v>0.19824535161922258</v>
      </c>
      <c r="Y181" s="11">
        <f>IF(((W181 - '2026-2027 means'!F$2) / '2026-2027 means'!S$2) * (V181 / '2026-2027 means'!D$2) &lt; -2, -2, ((W181 - '2026-2027 means'!F$2) / '2026-2027 means'!S$2) * (V181 / '2026-2027 means'!D$2))</f>
        <v>0.16028022024107463</v>
      </c>
      <c r="Z181" s="7">
        <f>(J181-'2026-2027 means'!G$2)/'2026-2027 means'!T$2</f>
        <v>-0.59674507316564607</v>
      </c>
      <c r="AA181" s="7">
        <f>(K181-'2026-2027 means'!H$2)/'2026-2027 means'!U$2</f>
        <v>-0.92695651146518776</v>
      </c>
      <c r="AB181" s="7">
        <f>(L181-'2026-2027 means'!I$2)/'2026-2027 means'!V$2</f>
        <v>0.25547398423898748</v>
      </c>
      <c r="AC181" s="7">
        <f>(M181-'2026-2027 means'!J$2)/'2026-2027 means'!W$2</f>
        <v>-0.69664835431148175</v>
      </c>
      <c r="AD181" s="7">
        <f>(N181-'2026-2027 means'!K$2)/'2026-2027 means'!X$2</f>
        <v>-1.5157384640814993</v>
      </c>
      <c r="AE181" s="7">
        <f>(O181-'2026-2027 means'!L$2)/'2026-2027 means'!Y$2</f>
        <v>-0.36262847148104194</v>
      </c>
      <c r="AF181" s="7">
        <f>IF(((P181 - '2026-2027 means'!M$2) / '2026-2027 means'!Z$2 * -1) &lt; -2, -2, (P181 - '2026-2027 means'!M$2) / '2026-2027 means'!Z$2 * -1)</f>
        <v>1.1541650900454252</v>
      </c>
      <c r="AG181">
        <f t="shared" si="46"/>
        <v>0</v>
      </c>
      <c r="AH181">
        <f t="shared" si="47"/>
        <v>5</v>
      </c>
      <c r="AI181" s="8">
        <f t="shared" si="48"/>
        <v>0</v>
      </c>
      <c r="AJ181" s="8" t="e" vm="1">
        <f t="shared" ca="1" si="49"/>
        <v>#NAME?</v>
      </c>
      <c r="AK181" s="8" t="str">
        <f t="shared" si="50"/>
        <v>, 3PM, PTS, AST, STL, BLK</v>
      </c>
      <c r="AL181" t="str">
        <f t="shared" si="51"/>
        <v/>
      </c>
      <c r="AM181" t="str">
        <f t="shared" si="52"/>
        <v>, TO</v>
      </c>
      <c r="AN181" t="str">
        <f t="shared" si="53"/>
        <v>FG%, FT%, TREB</v>
      </c>
      <c r="AO181" t="str">
        <f t="shared" si="54"/>
        <v>, 3PM, PTS, AST, STL, BLK</v>
      </c>
      <c r="AP181">
        <f>VLOOKUP(B181,'2025-2026 actuals'!B:Q,16,FALSE)</f>
        <v>75</v>
      </c>
      <c r="AQ181" s="7">
        <f t="shared" si="59"/>
        <v>-2.3305522283601467</v>
      </c>
      <c r="AR181">
        <f t="shared" si="42"/>
        <v>168</v>
      </c>
    </row>
    <row r="182" spans="1:44" ht="18">
      <c r="A182" s="3">
        <f t="shared" si="55"/>
        <v>186</v>
      </c>
      <c r="B182" s="41" t="s">
        <v>92</v>
      </c>
      <c r="C182" s="1">
        <f t="shared" si="56"/>
        <v>186</v>
      </c>
      <c r="D182" s="1">
        <f t="shared" si="58"/>
        <v>146</v>
      </c>
      <c r="E182" s="1">
        <f>VLOOKUP(B182,'2026-2027 adp'!A:C,3,FALSE)</f>
        <v>123</v>
      </c>
      <c r="F182" s="1">
        <f t="shared" si="43"/>
        <v>-63</v>
      </c>
      <c r="G182" s="1"/>
      <c r="H182" s="22" t="s">
        <v>789</v>
      </c>
      <c r="I182" s="22" t="s">
        <v>790</v>
      </c>
      <c r="J182" s="42">
        <v>0</v>
      </c>
      <c r="K182" s="42">
        <v>9.8000000000000007</v>
      </c>
      <c r="L182" s="42">
        <v>6.4</v>
      </c>
      <c r="M182" s="42">
        <v>1.2</v>
      </c>
      <c r="N182" s="42">
        <v>0.5</v>
      </c>
      <c r="O182" s="42">
        <v>1.2</v>
      </c>
      <c r="P182" s="42">
        <v>1.1000000000000001</v>
      </c>
      <c r="Q182" s="43">
        <v>-1.55</v>
      </c>
      <c r="R182" s="42">
        <v>3.9</v>
      </c>
      <c r="S182" s="42">
        <v>6</v>
      </c>
      <c r="T182">
        <f t="shared" si="44"/>
        <v>0.65</v>
      </c>
      <c r="U182" s="42">
        <v>2</v>
      </c>
      <c r="V182" s="42">
        <v>3</v>
      </c>
      <c r="W182">
        <f t="shared" si="45"/>
        <v>0.66666666666666663</v>
      </c>
      <c r="X182" s="7">
        <f>IF(((T182 - '2026-2027 means'!E$2) / '2026-2027 means'!R$2) * (S182 / '2026-2027 means'!B$2) / 2 &lt; -2, -2, ((T182 - '2026-2027 means'!E$2) / '2026-2027 means'!R$2) * (S182 / '2026-2027 means'!B$2) / 2)</f>
        <v>1.8483623609629922</v>
      </c>
      <c r="Y182" s="11">
        <f>IF(((W182 - '2026-2027 means'!F$2) / '2026-2027 means'!S$2) * (V182 / '2026-2027 means'!D$2) &lt; -2, -2, ((W182 - '2026-2027 means'!F$2) / '2026-2027 means'!S$2) * (V182 / '2026-2027 means'!D$2))</f>
        <v>-1.3375425266929206</v>
      </c>
      <c r="Z182" s="7">
        <f>(J182-'2026-2027 means'!G$2)/'2026-2027 means'!T$2</f>
        <v>-1.7541164387527013</v>
      </c>
      <c r="AA182" s="7">
        <f>(K182-'2026-2027 means'!H$2)/'2026-2027 means'!U$2</f>
        <v>-1.1541046477705859</v>
      </c>
      <c r="AB182" s="7">
        <f>(L182-'2026-2027 means'!I$2)/'2026-2027 means'!V$2</f>
        <v>0.29708684552913073</v>
      </c>
      <c r="AC182" s="7">
        <f>(M182-'2026-2027 means'!J$2)/'2026-2027 means'!W$2</f>
        <v>-1.2646017139658647</v>
      </c>
      <c r="AD182" s="7">
        <f>(N182-'2026-2027 means'!K$2)/'2026-2027 means'!X$2</f>
        <v>-1.5157384640814993</v>
      </c>
      <c r="AE182" s="7">
        <f>(O182-'2026-2027 means'!L$2)/'2026-2027 means'!Y$2</f>
        <v>1.0585923067190279</v>
      </c>
      <c r="AF182" s="7">
        <f>IF(((P182 - '2026-2027 means'!M$2) / '2026-2027 means'!Z$2 * -1) &lt; -2, -2, (P182 - '2026-2027 means'!M$2) / '2026-2027 means'!Z$2 * -1)</f>
        <v>1.0177020411635838</v>
      </c>
      <c r="AG182">
        <f t="shared" si="46"/>
        <v>2</v>
      </c>
      <c r="AH182">
        <f t="shared" si="47"/>
        <v>5</v>
      </c>
      <c r="AI182" s="8">
        <f t="shared" si="48"/>
        <v>0.4</v>
      </c>
      <c r="AJ182" s="8" t="e" vm="1">
        <f t="shared" ca="1" si="49"/>
        <v>#NAME?</v>
      </c>
      <c r="AK182" s="8" t="str">
        <f t="shared" si="50"/>
        <v>, FT%, 3PM, PTS, AST, STL</v>
      </c>
      <c r="AL182" t="str">
        <f t="shared" si="51"/>
        <v/>
      </c>
      <c r="AM182" t="str">
        <f t="shared" si="52"/>
        <v>FG%, BLK, TO</v>
      </c>
      <c r="AN182" t="str">
        <f t="shared" si="53"/>
        <v>, TREB</v>
      </c>
      <c r="AO182" t="str">
        <f t="shared" si="54"/>
        <v>, FT%, 3PM, PTS, AST, STL</v>
      </c>
      <c r="AP182">
        <f>VLOOKUP(B182,'2025-2026 actuals'!B:Q,16,FALSE)</f>
        <v>146</v>
      </c>
      <c r="AQ182" s="7">
        <f t="shared" si="59"/>
        <v>-2.8043602368888374</v>
      </c>
      <c r="AR182">
        <f t="shared" si="42"/>
        <v>186</v>
      </c>
    </row>
    <row r="183" spans="1:44" ht="18">
      <c r="A183" s="3">
        <f t="shared" si="55"/>
        <v>192</v>
      </c>
      <c r="B183" s="41" t="s">
        <v>966</v>
      </c>
      <c r="C183" s="1">
        <f t="shared" si="56"/>
        <v>192</v>
      </c>
      <c r="D183" s="1"/>
      <c r="E183" s="1">
        <f>VLOOKUP(B183,'2026-2027 adp'!A:C,3,FALSE)</f>
        <v>140</v>
      </c>
      <c r="F183" s="1">
        <f t="shared" si="43"/>
        <v>-52</v>
      </c>
      <c r="G183" s="1"/>
      <c r="H183" s="22" t="s">
        <v>791</v>
      </c>
      <c r="I183" s="22" t="s">
        <v>792</v>
      </c>
      <c r="J183" s="42">
        <v>0.1</v>
      </c>
      <c r="K183" s="42">
        <v>9</v>
      </c>
      <c r="L183" s="42">
        <v>6</v>
      </c>
      <c r="M183" s="42">
        <v>0.6</v>
      </c>
      <c r="N183" s="42">
        <v>0.3</v>
      </c>
      <c r="O183" s="42">
        <v>1.5</v>
      </c>
      <c r="P183" s="42">
        <v>1.2</v>
      </c>
      <c r="Q183" s="43">
        <v>-1.58</v>
      </c>
      <c r="R183" s="42">
        <v>3.3</v>
      </c>
      <c r="S183" s="42">
        <v>5.0999999999999996</v>
      </c>
      <c r="T183">
        <f t="shared" si="44"/>
        <v>0.6470588235294118</v>
      </c>
      <c r="U183" s="42">
        <v>2.4</v>
      </c>
      <c r="V183" s="42">
        <v>3.2</v>
      </c>
      <c r="W183">
        <f t="shared" si="45"/>
        <v>0.74999999999999989</v>
      </c>
      <c r="X183" s="7">
        <f>IF(((T183 - '2026-2027 means'!E$2) / '2026-2027 means'!R$2) * (S183 / '2026-2027 means'!B$2) / 2 &lt; -2, -2, ((T183 - '2026-2027 means'!E$2) / '2026-2027 means'!R$2) * (S183 / '2026-2027 means'!B$2) / 2)</f>
        <v>1.5434920609262328</v>
      </c>
      <c r="Y183" s="11">
        <f>IF(((W183 - '2026-2027 means'!F$2) / '2026-2027 means'!S$2) * (V183 / '2026-2027 means'!D$2) &lt; -2, -2, ((W183 - '2026-2027 means'!F$2) / '2026-2027 means'!S$2) * (V183 / '2026-2027 means'!D$2))</f>
        <v>-0.4996490539147927</v>
      </c>
      <c r="Z183" s="7">
        <f>(J183-'2026-2027 means'!G$2)/'2026-2027 means'!T$2</f>
        <v>-1.6489008600629689</v>
      </c>
      <c r="AA183" s="7">
        <f>(K183-'2026-2027 means'!H$2)/'2026-2027 means'!U$2</f>
        <v>-1.3055367386408516</v>
      </c>
      <c r="AB183" s="7">
        <f>(L183-'2026-2027 means'!I$2)/'2026-2027 means'!V$2</f>
        <v>0.13063540036855845</v>
      </c>
      <c r="AC183" s="7">
        <f>(M183-'2026-2027 means'!J$2)/'2026-2027 means'!W$2</f>
        <v>-1.574394455595528</v>
      </c>
      <c r="AD183" s="7">
        <f>(N183-'2026-2027 means'!K$2)/'2026-2027 means'!X$2</f>
        <v>-2.1027585628876277</v>
      </c>
      <c r="AE183" s="7">
        <f>(O183-'2026-2027 means'!L$2)/'2026-2027 means'!Y$2</f>
        <v>1.6676869259476295</v>
      </c>
      <c r="AF183" s="7">
        <f>IF(((P183 - '2026-2027 means'!M$2) / '2026-2027 means'!Z$2 * -1) &lt; -2, -2, (P183 - '2026-2027 means'!M$2) / '2026-2027 means'!Z$2 * -1)</f>
        <v>0.88123899228174263</v>
      </c>
      <c r="AG183">
        <f t="shared" si="46"/>
        <v>2</v>
      </c>
      <c r="AH183">
        <f t="shared" si="47"/>
        <v>5</v>
      </c>
      <c r="AI183" s="8">
        <f t="shared" si="48"/>
        <v>0.4</v>
      </c>
      <c r="AJ183" s="8" t="e" vm="1">
        <f t="shared" ca="1" si="49"/>
        <v>#NAME?</v>
      </c>
      <c r="AK183" s="8" t="str">
        <f t="shared" si="50"/>
        <v>, FT%, 3PM, PTS, AST, STL</v>
      </c>
      <c r="AL183" t="str">
        <f t="shared" si="51"/>
        <v/>
      </c>
      <c r="AM183" t="str">
        <f t="shared" si="52"/>
        <v>FG%, BLK</v>
      </c>
      <c r="AN183" t="str">
        <f t="shared" si="53"/>
        <v>, TREB, TO</v>
      </c>
      <c r="AO183" t="str">
        <f t="shared" si="54"/>
        <v>, FT%, 3PM, PTS, AST, STL</v>
      </c>
      <c r="AP183" t="e">
        <f>VLOOKUP(B183,'2025-2026 actuals'!B:Q,16,FALSE)</f>
        <v>#N/A</v>
      </c>
      <c r="AQ183" s="7">
        <f t="shared" si="59"/>
        <v>-2.9081862915776053</v>
      </c>
      <c r="AR183">
        <f t="shared" si="42"/>
        <v>192</v>
      </c>
    </row>
    <row r="184" spans="1:44" ht="18">
      <c r="A184" s="3">
        <f t="shared" si="55"/>
        <v>149</v>
      </c>
      <c r="B184" s="41" t="s">
        <v>205</v>
      </c>
      <c r="C184" s="1">
        <f t="shared" si="56"/>
        <v>149</v>
      </c>
      <c r="D184" s="1" t="e">
        <f t="shared" ref="D184:D192" si="60">AP184</f>
        <v>#N/A</v>
      </c>
      <c r="E184" s="1">
        <f>VLOOKUP(B184,'2026-2027 adp'!A:C,3,FALSE)</f>
        <v>116.8</v>
      </c>
      <c r="F184" s="1">
        <f t="shared" si="43"/>
        <v>-32.200000000000003</v>
      </c>
      <c r="G184" s="1"/>
      <c r="H184" s="22" t="s">
        <v>793</v>
      </c>
      <c r="I184" s="22" t="s">
        <v>794</v>
      </c>
      <c r="J184" s="42">
        <v>1.8</v>
      </c>
      <c r="K184" s="42">
        <v>14.5</v>
      </c>
      <c r="L184" s="42">
        <v>5</v>
      </c>
      <c r="M184" s="42">
        <v>1.1000000000000001</v>
      </c>
      <c r="N184" s="42">
        <v>0.7</v>
      </c>
      <c r="O184" s="42">
        <v>0.4</v>
      </c>
      <c r="P184" s="42">
        <v>0.7</v>
      </c>
      <c r="Q184" s="43">
        <v>-1.6</v>
      </c>
      <c r="R184" s="42">
        <v>5.8</v>
      </c>
      <c r="S184" s="42">
        <v>12</v>
      </c>
      <c r="T184">
        <f t="shared" si="44"/>
        <v>0.48333333333333334</v>
      </c>
      <c r="U184" s="42">
        <v>1.1000000000000001</v>
      </c>
      <c r="V184" s="42">
        <v>1.5</v>
      </c>
      <c r="W184">
        <f t="shared" si="45"/>
        <v>0.73333333333333339</v>
      </c>
      <c r="X184" s="7">
        <f>IF(((T184 - '2026-2027 means'!E$2) / '2026-2027 means'!R$2) * (S184 / '2026-2027 means'!B$2) / 2 &lt; -2, -2, ((T184 - '2026-2027 means'!E$2) / '2026-2027 means'!R$2) * (S184 / '2026-2027 means'!B$2) / 2)</f>
        <v>1.4598602951215171E-2</v>
      </c>
      <c r="Y184" s="11">
        <f>IF(((W184 - '2026-2027 means'!F$2) / '2026-2027 means'!S$2) * (V184 / '2026-2027 means'!D$2) &lt; -2, -2, ((W184 - '2026-2027 means'!F$2) / '2026-2027 means'!S$2) * (V184 / '2026-2027 means'!D$2))</f>
        <v>-0.32112264788733852</v>
      </c>
      <c r="Z184" s="7">
        <f>(J184-'2026-2027 means'!G$2)/'2026-2027 means'!T$2</f>
        <v>0.13976397766247983</v>
      </c>
      <c r="AA184" s="7">
        <f>(K184-'2026-2027 means'!H$2)/'2026-2027 means'!U$2</f>
        <v>-0.26444111390777592</v>
      </c>
      <c r="AB184" s="7">
        <f>(L184-'2026-2027 means'!I$2)/'2026-2027 means'!V$2</f>
        <v>-0.28549321253287191</v>
      </c>
      <c r="AC184" s="7">
        <f>(M184-'2026-2027 means'!J$2)/'2026-2027 means'!W$2</f>
        <v>-1.3162338375708085</v>
      </c>
      <c r="AD184" s="7">
        <f>(N184-'2026-2027 means'!K$2)/'2026-2027 means'!X$2</f>
        <v>-0.92871836527537077</v>
      </c>
      <c r="AE184" s="7">
        <f>(O184-'2026-2027 means'!L$2)/'2026-2027 means'!Y$2</f>
        <v>-0.56566001122390897</v>
      </c>
      <c r="AF184" s="7">
        <f>IF(((P184 - '2026-2027 means'!M$2) / '2026-2027 means'!Z$2 * -1) &lt; -2, -2, (P184 - '2026-2027 means'!M$2) / '2026-2027 means'!Z$2 * -1)</f>
        <v>1.5635542366909494</v>
      </c>
      <c r="AG184">
        <f t="shared" si="46"/>
        <v>0</v>
      </c>
      <c r="AH184">
        <f t="shared" si="47"/>
        <v>6</v>
      </c>
      <c r="AI184" s="8">
        <f t="shared" si="48"/>
        <v>0</v>
      </c>
      <c r="AJ184" s="8" t="e" vm="1">
        <f t="shared" ca="1" si="49"/>
        <v>#NAME?</v>
      </c>
      <c r="AK184" s="8" t="str">
        <f t="shared" si="50"/>
        <v>, FT%, PTS, TREB, AST, STL, BLK</v>
      </c>
      <c r="AL184" t="str">
        <f t="shared" si="51"/>
        <v/>
      </c>
      <c r="AM184" t="str">
        <f t="shared" si="52"/>
        <v>, TO</v>
      </c>
      <c r="AN184" t="str">
        <f t="shared" si="53"/>
        <v>FG%, 3PM</v>
      </c>
      <c r="AO184" t="str">
        <f t="shared" si="54"/>
        <v>, FT%, PTS, TREB, AST, STL, BLK</v>
      </c>
      <c r="AP184" t="e">
        <f>VLOOKUP(B184,'2025-2026 actuals'!B:Q,16,FALSE)</f>
        <v>#N/A</v>
      </c>
      <c r="AQ184" s="7">
        <f t="shared" ref="AQ184:AQ193" si="61">SUM(X184:AF184)</f>
        <v>-1.9637523710934301</v>
      </c>
      <c r="AR184">
        <f t="shared" si="42"/>
        <v>149</v>
      </c>
    </row>
    <row r="185" spans="1:44" ht="18">
      <c r="A185" s="3">
        <f t="shared" si="55"/>
        <v>198</v>
      </c>
      <c r="B185" s="41" t="s">
        <v>967</v>
      </c>
      <c r="C185" s="1">
        <f t="shared" si="56"/>
        <v>198</v>
      </c>
      <c r="D185" s="1" t="e">
        <f t="shared" si="60"/>
        <v>#N/A</v>
      </c>
      <c r="E185" s="1">
        <f>VLOOKUP(B185,'2026-2027 adp'!A:C,3,FALSE)</f>
        <v>140</v>
      </c>
      <c r="F185" s="1">
        <f t="shared" si="43"/>
        <v>-58</v>
      </c>
      <c r="G185" s="1"/>
      <c r="H185" s="22" t="s">
        <v>795</v>
      </c>
      <c r="I185" s="22" t="s">
        <v>796</v>
      </c>
      <c r="J185" s="42">
        <v>1.3</v>
      </c>
      <c r="K185" s="42">
        <v>12.1</v>
      </c>
      <c r="L185" s="42">
        <v>3</v>
      </c>
      <c r="M185" s="42">
        <v>5</v>
      </c>
      <c r="N185" s="42">
        <v>1.1000000000000001</v>
      </c>
      <c r="O185" s="42">
        <v>0.3</v>
      </c>
      <c r="P185" s="42">
        <v>2.1</v>
      </c>
      <c r="Q185" s="43">
        <v>-1.62</v>
      </c>
      <c r="R185" s="42">
        <v>4.2</v>
      </c>
      <c r="S185" s="42">
        <v>10.3</v>
      </c>
      <c r="T185">
        <f t="shared" si="44"/>
        <v>0.40776699029126212</v>
      </c>
      <c r="U185" s="42">
        <v>2.4</v>
      </c>
      <c r="V185" s="42">
        <v>2.9</v>
      </c>
      <c r="W185">
        <f t="shared" si="45"/>
        <v>0.82758620689655171</v>
      </c>
      <c r="X185" s="7">
        <f>IF(((T185 - '2026-2027 means'!E$2) / '2026-2027 means'!R$2) * (S185 / '2026-2027 means'!B$2) / 2 &lt; -2, -2, ((T185 - '2026-2027 means'!E$2) / '2026-2027 means'!R$2) * (S185 / '2026-2027 means'!B$2) / 2)</f>
        <v>-1.4204302804345552</v>
      </c>
      <c r="Y185" s="11">
        <f>IF(((W185 - '2026-2027 means'!F$2) / '2026-2027 means'!S$2) * (V185 / '2026-2027 means'!D$2) &lt; -2, -2, ((W185 - '2026-2027 means'!F$2) / '2026-2027 means'!S$2) * (V185 / '2026-2027 means'!D$2))</f>
        <v>0.32940242967274302</v>
      </c>
      <c r="Z185" s="7">
        <f>(J185-'2026-2027 means'!G$2)/'2026-2027 means'!T$2</f>
        <v>-0.38631391578618157</v>
      </c>
      <c r="AA185" s="7">
        <f>(K185-'2026-2027 means'!H$2)/'2026-2027 means'!U$2</f>
        <v>-0.71873738651857266</v>
      </c>
      <c r="AB185" s="7">
        <f>(L185-'2026-2027 means'!I$2)/'2026-2027 means'!V$2</f>
        <v>-1.1177504383357326</v>
      </c>
      <c r="AC185" s="7">
        <f>(M185-'2026-2027 means'!J$2)/'2026-2027 means'!W$2</f>
        <v>0.69741898302200378</v>
      </c>
      <c r="AD185" s="7">
        <f>(N185-'2026-2027 means'!K$2)/'2026-2027 means'!X$2</f>
        <v>0.24532183233688692</v>
      </c>
      <c r="AE185" s="7">
        <f>(O185-'2026-2027 means'!L$2)/'2026-2027 means'!Y$2</f>
        <v>-0.76869155096677622</v>
      </c>
      <c r="AF185" s="7">
        <f>IF(((P185 - '2026-2027 means'!M$2) / '2026-2027 means'!Z$2 * -1) &lt; -2, -2, (P185 - '2026-2027 means'!M$2) / '2026-2027 means'!Z$2 * -1)</f>
        <v>-0.34692844765482989</v>
      </c>
      <c r="AG185">
        <f t="shared" si="46"/>
        <v>0</v>
      </c>
      <c r="AH185">
        <f t="shared" si="47"/>
        <v>5</v>
      </c>
      <c r="AI185" s="8">
        <f t="shared" si="48"/>
        <v>0</v>
      </c>
      <c r="AJ185" s="8" t="e" vm="1">
        <f t="shared" ca="1" si="49"/>
        <v>#NAME?</v>
      </c>
      <c r="AK185" s="8" t="str">
        <f t="shared" si="50"/>
        <v>FG%, 3PM, PTS, TREB, BLK, TO</v>
      </c>
      <c r="AL185" t="str">
        <f t="shared" si="51"/>
        <v/>
      </c>
      <c r="AM185" t="str">
        <f t="shared" si="52"/>
        <v/>
      </c>
      <c r="AN185" t="str">
        <f t="shared" si="53"/>
        <v>, FT%, AST, STL</v>
      </c>
      <c r="AO185" t="str">
        <f t="shared" si="54"/>
        <v>FG%, 3PM, PTS, TREB, BLK, TO</v>
      </c>
      <c r="AP185" t="e">
        <f>VLOOKUP(B185,'2025-2026 actuals'!B:Q,16,FALSE)</f>
        <v>#N/A</v>
      </c>
      <c r="AQ185" s="7">
        <f t="shared" si="61"/>
        <v>-3.4867087746650141</v>
      </c>
      <c r="AR185">
        <f t="shared" ref="AR185:AR193" si="62">RANK(AQ185,AQ:AQ)</f>
        <v>198</v>
      </c>
    </row>
    <row r="186" spans="1:44" ht="18">
      <c r="A186" s="3">
        <f t="shared" si="55"/>
        <v>196</v>
      </c>
      <c r="B186" s="41" t="s">
        <v>115</v>
      </c>
      <c r="C186" s="1">
        <f t="shared" si="56"/>
        <v>196</v>
      </c>
      <c r="D186" s="1" t="e">
        <f t="shared" si="60"/>
        <v>#N/A</v>
      </c>
      <c r="E186" s="1">
        <f>VLOOKUP(B186,'2026-2027 adp'!A:C,3,FALSE)</f>
        <v>109.9</v>
      </c>
      <c r="F186" s="1">
        <f t="shared" si="43"/>
        <v>-86.1</v>
      </c>
      <c r="G186" s="1"/>
      <c r="H186" s="22" t="s">
        <v>797</v>
      </c>
      <c r="I186" s="22" t="s">
        <v>798</v>
      </c>
      <c r="J186" s="42">
        <v>2.6</v>
      </c>
      <c r="K186" s="42">
        <v>15.1</v>
      </c>
      <c r="L186" s="42">
        <v>2.2999999999999998</v>
      </c>
      <c r="M186" s="42">
        <v>3.3</v>
      </c>
      <c r="N186" s="42">
        <v>0.6</v>
      </c>
      <c r="O186" s="42">
        <v>0.1</v>
      </c>
      <c r="P186" s="42">
        <v>1.5</v>
      </c>
      <c r="Q186" s="43">
        <v>-1.65</v>
      </c>
      <c r="R186" s="42">
        <v>5.4</v>
      </c>
      <c r="S186" s="42">
        <v>12.6</v>
      </c>
      <c r="T186">
        <f t="shared" si="44"/>
        <v>0.4285714285714286</v>
      </c>
      <c r="U186" s="42">
        <v>1.7</v>
      </c>
      <c r="V186" s="42">
        <v>1.9</v>
      </c>
      <c r="W186">
        <f t="shared" si="45"/>
        <v>0.89473684210526316</v>
      </c>
      <c r="X186" s="7">
        <f>IF(((T186 - '2026-2027 means'!E$2) / '2026-2027 means'!R$2) * (S186 / '2026-2027 means'!B$2) / 2 &lt; -2, -2, ((T186 - '2026-2027 means'!E$2) / '2026-2027 means'!R$2) * (S186 / '2026-2027 means'!B$2) / 2)</f>
        <v>-1.2550049779475188</v>
      </c>
      <c r="Y186" s="11">
        <f>IF(((W186 - '2026-2027 means'!F$2) / '2026-2027 means'!S$2) * (V186 / '2026-2027 means'!D$2) &lt; -2, -2, ((W186 - '2026-2027 means'!F$2) / '2026-2027 means'!S$2) * (V186 / '2026-2027 means'!D$2))</f>
        <v>0.65936706675067613</v>
      </c>
      <c r="Z186" s="7">
        <f>(J186-'2026-2027 means'!G$2)/'2026-2027 means'!T$2</f>
        <v>0.98148860718033804</v>
      </c>
      <c r="AA186" s="7">
        <f>(K186-'2026-2027 means'!H$2)/'2026-2027 means'!U$2</f>
        <v>-0.15086704575507684</v>
      </c>
      <c r="AB186" s="7">
        <f>(L186-'2026-2027 means'!I$2)/'2026-2027 means'!V$2</f>
        <v>-1.4090404673667341</v>
      </c>
      <c r="AC186" s="7">
        <f>(M186-'2026-2027 means'!J$2)/'2026-2027 means'!W$2</f>
        <v>-0.18032711826204276</v>
      </c>
      <c r="AD186" s="7">
        <f>(N186-'2026-2027 means'!K$2)/'2026-2027 means'!X$2</f>
        <v>-1.222228414678435</v>
      </c>
      <c r="AE186" s="7">
        <f>(O186-'2026-2027 means'!L$2)/'2026-2027 means'!Y$2</f>
        <v>-1.1747546304525105</v>
      </c>
      <c r="AF186" s="7">
        <f>IF(((P186 - '2026-2027 means'!M$2) / '2026-2027 means'!Z$2 * -1) &lt; -2, -2, (P186 - '2026-2027 means'!M$2) / '2026-2027 means'!Z$2 * -1)</f>
        <v>0.47184984563621846</v>
      </c>
      <c r="AG186">
        <f t="shared" si="46"/>
        <v>0</v>
      </c>
      <c r="AH186">
        <f t="shared" si="47"/>
        <v>4</v>
      </c>
      <c r="AI186" s="8">
        <f t="shared" si="48"/>
        <v>0</v>
      </c>
      <c r="AJ186" s="8" t="e" vm="1">
        <f t="shared" ca="1" si="49"/>
        <v>#NAME?</v>
      </c>
      <c r="AK186" s="8" t="str">
        <f t="shared" si="50"/>
        <v>FG%, PTS, TREB, AST, STL, BLK</v>
      </c>
      <c r="AL186" t="str">
        <f t="shared" si="51"/>
        <v/>
      </c>
      <c r="AM186" t="str">
        <f t="shared" si="52"/>
        <v/>
      </c>
      <c r="AN186" t="str">
        <f t="shared" si="53"/>
        <v>, FT%, 3PM, TO</v>
      </c>
      <c r="AO186" t="str">
        <f t="shared" si="54"/>
        <v>FG%, PTS, TREB, AST, STL, BLK</v>
      </c>
      <c r="AP186" t="e">
        <f>VLOOKUP(B186,'2025-2026 actuals'!B:Q,16,FALSE)</f>
        <v>#N/A</v>
      </c>
      <c r="AQ186" s="7">
        <f t="shared" si="61"/>
        <v>-3.2795171348950856</v>
      </c>
      <c r="AR186">
        <f t="shared" si="62"/>
        <v>196</v>
      </c>
    </row>
    <row r="187" spans="1:44" ht="18">
      <c r="A187" s="3">
        <f t="shared" si="55"/>
        <v>172</v>
      </c>
      <c r="B187" s="41" t="s">
        <v>218</v>
      </c>
      <c r="C187" s="1">
        <f t="shared" si="56"/>
        <v>172</v>
      </c>
      <c r="D187" s="1">
        <f t="shared" si="60"/>
        <v>151</v>
      </c>
      <c r="E187" s="1">
        <f>VLOOKUP(B187,'2026-2027 adp'!A:C,3,FALSE)</f>
        <v>140</v>
      </c>
      <c r="F187" s="1">
        <f t="shared" si="43"/>
        <v>-32</v>
      </c>
      <c r="G187" s="1"/>
      <c r="H187" s="22" t="s">
        <v>799</v>
      </c>
      <c r="I187" s="22" t="s">
        <v>800</v>
      </c>
      <c r="J187" s="42">
        <v>2.4</v>
      </c>
      <c r="K187" s="42">
        <v>8.9</v>
      </c>
      <c r="L187" s="42">
        <v>4.4000000000000004</v>
      </c>
      <c r="M187" s="42">
        <v>2.2999999999999998</v>
      </c>
      <c r="N187" s="42">
        <v>0.9</v>
      </c>
      <c r="O187" s="42">
        <v>0.4</v>
      </c>
      <c r="P187" s="42">
        <v>1</v>
      </c>
      <c r="Q187" s="43">
        <v>-1.67</v>
      </c>
      <c r="R187" s="42">
        <v>3.1</v>
      </c>
      <c r="S187" s="42">
        <v>7.3</v>
      </c>
      <c r="T187">
        <f t="shared" si="44"/>
        <v>0.42465753424657537</v>
      </c>
      <c r="U187" s="42">
        <v>0.3</v>
      </c>
      <c r="V187" s="42">
        <v>0.4</v>
      </c>
      <c r="W187">
        <f t="shared" si="45"/>
        <v>0.74999999999999989</v>
      </c>
      <c r="X187" s="7">
        <f>IF(((T187 - '2026-2027 means'!E$2) / '2026-2027 means'!R$2) * (S187 / '2026-2027 means'!B$2) / 2 &lt; -2, -2, ((T187 - '2026-2027 means'!E$2) / '2026-2027 means'!R$2) * (S187 / '2026-2027 means'!B$2) / 2)</f>
        <v>-0.77970786035177353</v>
      </c>
      <c r="Y187" s="11">
        <f>IF(((W187 - '2026-2027 means'!F$2) / '2026-2027 means'!S$2) * (V187 / '2026-2027 means'!D$2) &lt; -2, -2, ((W187 - '2026-2027 means'!F$2) / '2026-2027 means'!S$2) * (V187 / '2026-2027 means'!D$2))</f>
        <v>-6.2456131739349087E-2</v>
      </c>
      <c r="Z187" s="7">
        <f>(J187-'2026-2027 means'!G$2)/'2026-2027 means'!T$2</f>
        <v>0.77105744980087332</v>
      </c>
      <c r="AA187" s="7">
        <f>(K187-'2026-2027 means'!H$2)/'2026-2027 means'!U$2</f>
        <v>-1.3244657499996346</v>
      </c>
      <c r="AB187" s="7">
        <f>(L187-'2026-2027 means'!I$2)/'2026-2027 means'!V$2</f>
        <v>-0.53517038027372998</v>
      </c>
      <c r="AC187" s="7">
        <f>(M187-'2026-2027 means'!J$2)/'2026-2027 means'!W$2</f>
        <v>-0.69664835431148175</v>
      </c>
      <c r="AD187" s="7">
        <f>(N187-'2026-2027 means'!K$2)/'2026-2027 means'!X$2</f>
        <v>-0.34169826646924195</v>
      </c>
      <c r="AE187" s="7">
        <f>(O187-'2026-2027 means'!L$2)/'2026-2027 means'!Y$2</f>
        <v>-0.56566001122390897</v>
      </c>
      <c r="AF187" s="7">
        <f>IF(((P187 - '2026-2027 means'!M$2) / '2026-2027 means'!Z$2 * -1) &lt; -2, -2, (P187 - '2026-2027 means'!M$2) / '2026-2027 means'!Z$2 * -1)</f>
        <v>1.1541650900454252</v>
      </c>
      <c r="AG187">
        <f t="shared" si="46"/>
        <v>0</v>
      </c>
      <c r="AH187">
        <f t="shared" si="47"/>
        <v>6</v>
      </c>
      <c r="AI187" s="8">
        <f t="shared" si="48"/>
        <v>0</v>
      </c>
      <c r="AJ187" s="8" t="e" vm="1">
        <f t="shared" ca="1" si="49"/>
        <v>#NAME?</v>
      </c>
      <c r="AK187" s="8" t="str">
        <f t="shared" si="50"/>
        <v>FG%, FT%, PTS, TREB, AST, STL, BLK</v>
      </c>
      <c r="AL187" t="str">
        <f t="shared" si="51"/>
        <v/>
      </c>
      <c r="AM187" t="str">
        <f t="shared" si="52"/>
        <v>, TO</v>
      </c>
      <c r="AN187" t="str">
        <f t="shared" si="53"/>
        <v>, 3PM</v>
      </c>
      <c r="AO187" t="str">
        <f t="shared" si="54"/>
        <v>FG%, FT%, PTS, TREB, AST, STL, BLK</v>
      </c>
      <c r="AP187">
        <f>VLOOKUP(B187,'2025-2026 actuals'!B:Q,16,FALSE)</f>
        <v>151</v>
      </c>
      <c r="AQ187" s="7">
        <f t="shared" si="61"/>
        <v>-2.3805842145228215</v>
      </c>
      <c r="AR187">
        <f t="shared" si="62"/>
        <v>172</v>
      </c>
    </row>
    <row r="188" spans="1:44" ht="18">
      <c r="A188" s="3">
        <f t="shared" si="55"/>
        <v>178</v>
      </c>
      <c r="B188" s="41" t="s">
        <v>194</v>
      </c>
      <c r="C188" s="1">
        <f t="shared" si="56"/>
        <v>178</v>
      </c>
      <c r="D188" s="1" t="e">
        <f t="shared" si="60"/>
        <v>#N/A</v>
      </c>
      <c r="E188" s="1">
        <f>VLOOKUP(B188,'2026-2027 adp'!A:C,3,FALSE)</f>
        <v>140</v>
      </c>
      <c r="F188" s="1">
        <f t="shared" si="43"/>
        <v>-38</v>
      </c>
      <c r="G188" s="1"/>
      <c r="H188" s="22" t="s">
        <v>801</v>
      </c>
      <c r="I188" s="22" t="s">
        <v>802</v>
      </c>
      <c r="J188" s="42">
        <v>3</v>
      </c>
      <c r="K188" s="42">
        <v>12.9</v>
      </c>
      <c r="L188" s="42">
        <v>2.7</v>
      </c>
      <c r="M188" s="42">
        <v>2.5</v>
      </c>
      <c r="N188" s="42">
        <v>0.6</v>
      </c>
      <c r="O188" s="42">
        <v>0.2</v>
      </c>
      <c r="P188" s="42">
        <v>1</v>
      </c>
      <c r="Q188" s="43">
        <v>-1.71</v>
      </c>
      <c r="R188" s="42">
        <v>4.5</v>
      </c>
      <c r="S188" s="42">
        <v>10</v>
      </c>
      <c r="T188">
        <f t="shared" si="44"/>
        <v>0.45</v>
      </c>
      <c r="U188" s="42">
        <v>1</v>
      </c>
      <c r="V188" s="42">
        <v>1.2</v>
      </c>
      <c r="W188">
        <f t="shared" si="45"/>
        <v>0.83333333333333337</v>
      </c>
      <c r="X188" s="7">
        <f>IF(((T188 - '2026-2027 means'!E$2) / '2026-2027 means'!R$2) * (S188 / '2026-2027 means'!B$2) / 2 &lt; -2, -2, ((T188 - '2026-2027 means'!E$2) / '2026-2027 means'!R$2) * (S188 / '2026-2027 means'!B$2) / 2)</f>
        <v>-0.60152218403644875</v>
      </c>
      <c r="Y188" s="11">
        <f>IF(((W188 - '2026-2027 means'!F$2) / '2026-2027 means'!S$2) * (V188 / '2026-2027 means'!D$2) &lt; -2, -2, ((W188 - '2026-2027 means'!F$2) / '2026-2027 means'!S$2) * (V188 / '2026-2027 means'!D$2))</f>
        <v>0.16028022024107463</v>
      </c>
      <c r="Z188" s="7">
        <f>(J188-'2026-2027 means'!G$2)/'2026-2027 means'!T$2</f>
        <v>1.4023509219392671</v>
      </c>
      <c r="AA188" s="7">
        <f>(K188-'2026-2027 means'!H$2)/'2026-2027 means'!U$2</f>
        <v>-0.56730529564830701</v>
      </c>
      <c r="AB188" s="7">
        <f>(L188-'2026-2027 means'!I$2)/'2026-2027 means'!V$2</f>
        <v>-1.2425890222061617</v>
      </c>
      <c r="AC188" s="7">
        <f>(M188-'2026-2027 means'!J$2)/'2026-2027 means'!W$2</f>
        <v>-0.59338410710159395</v>
      </c>
      <c r="AD188" s="7">
        <f>(N188-'2026-2027 means'!K$2)/'2026-2027 means'!X$2</f>
        <v>-1.222228414678435</v>
      </c>
      <c r="AE188" s="7">
        <f>(O188-'2026-2027 means'!L$2)/'2026-2027 means'!Y$2</f>
        <v>-0.97172309070964324</v>
      </c>
      <c r="AF188" s="7">
        <f>IF(((P188 - '2026-2027 means'!M$2) / '2026-2027 means'!Z$2 * -1) &lt; -2, -2, (P188 - '2026-2027 means'!M$2) / '2026-2027 means'!Z$2 * -1)</f>
        <v>1.1541650900454252</v>
      </c>
      <c r="AG188">
        <f t="shared" si="46"/>
        <v>1</v>
      </c>
      <c r="AH188">
        <f t="shared" si="47"/>
        <v>6</v>
      </c>
      <c r="AI188" s="8">
        <f t="shared" si="48"/>
        <v>0.16666666666666666</v>
      </c>
      <c r="AJ188" s="8" t="e" vm="1">
        <f t="shared" ca="1" si="49"/>
        <v>#NAME?</v>
      </c>
      <c r="AK188" s="8" t="str">
        <f t="shared" si="50"/>
        <v>FG%, PTS, TREB, AST, STL, BLK</v>
      </c>
      <c r="AL188" t="str">
        <f t="shared" si="51"/>
        <v/>
      </c>
      <c r="AM188" t="str">
        <f t="shared" si="52"/>
        <v>, 3PM, TO</v>
      </c>
      <c r="AN188" t="str">
        <f t="shared" si="53"/>
        <v>, FT%</v>
      </c>
      <c r="AO188" t="str">
        <f t="shared" si="54"/>
        <v>FG%, PTS, TREB, AST, STL, BLK</v>
      </c>
      <c r="AP188" t="e">
        <f>VLOOKUP(B188,'2025-2026 actuals'!B:Q,16,FALSE)</f>
        <v>#N/A</v>
      </c>
      <c r="AQ188" s="7">
        <f t="shared" si="61"/>
        <v>-2.4819558821548227</v>
      </c>
      <c r="AR188">
        <f t="shared" si="62"/>
        <v>178</v>
      </c>
    </row>
    <row r="189" spans="1:44" ht="18">
      <c r="A189" s="3">
        <f t="shared" si="55"/>
        <v>187</v>
      </c>
      <c r="B189" s="41" t="s">
        <v>833</v>
      </c>
      <c r="C189" s="1">
        <f t="shared" si="56"/>
        <v>187</v>
      </c>
      <c r="D189" s="1">
        <f t="shared" si="60"/>
        <v>143</v>
      </c>
      <c r="E189" s="1">
        <f>VLOOKUP(B189,'2026-2027 adp'!A:C,3,FALSE)</f>
        <v>140</v>
      </c>
      <c r="F189" s="1">
        <f t="shared" si="43"/>
        <v>-47</v>
      </c>
      <c r="G189" s="1"/>
      <c r="H189" s="22" t="s">
        <v>803</v>
      </c>
      <c r="I189" s="22" t="s">
        <v>804</v>
      </c>
      <c r="J189" s="42">
        <v>0</v>
      </c>
      <c r="K189" s="42">
        <v>6.8</v>
      </c>
      <c r="L189" s="42">
        <v>4.9000000000000004</v>
      </c>
      <c r="M189" s="42">
        <v>0.7</v>
      </c>
      <c r="N189" s="42">
        <v>0.4</v>
      </c>
      <c r="O189" s="42">
        <v>1.3</v>
      </c>
      <c r="P189" s="42">
        <v>0.8</v>
      </c>
      <c r="Q189" s="43">
        <v>-1.72</v>
      </c>
      <c r="R189" s="42">
        <v>2.9</v>
      </c>
      <c r="S189" s="42">
        <v>3.8</v>
      </c>
      <c r="T189">
        <f t="shared" si="44"/>
        <v>0.76315789473684215</v>
      </c>
      <c r="U189" s="42">
        <v>1.1000000000000001</v>
      </c>
      <c r="V189" s="42">
        <v>1.5</v>
      </c>
      <c r="W189">
        <f t="shared" si="45"/>
        <v>0.73333333333333339</v>
      </c>
      <c r="X189" s="7">
        <f>IF(((T189 - '2026-2027 means'!E$2) / '2026-2027 means'!R$2) * (S189 / '2026-2027 means'!B$2) / 2 &lt; -2, -2, ((T189 - '2026-2027 means'!E$2) / '2026-2027 means'!R$2) * (S189 / '2026-2027 means'!B$2) / 2)</f>
        <v>1.9622866108561372</v>
      </c>
      <c r="Y189" s="11">
        <f>IF(((W189 - '2026-2027 means'!F$2) / '2026-2027 means'!S$2) * (V189 / '2026-2027 means'!D$2) &lt; -2, -2, ((W189 - '2026-2027 means'!F$2) / '2026-2027 means'!S$2) * (V189 / '2026-2027 means'!D$2))</f>
        <v>-0.32112264788733852</v>
      </c>
      <c r="Z189" s="7">
        <f>(J189-'2026-2027 means'!G$2)/'2026-2027 means'!T$2</f>
        <v>-1.7541164387527013</v>
      </c>
      <c r="AA189" s="7">
        <f>(K189-'2026-2027 means'!H$2)/'2026-2027 means'!U$2</f>
        <v>-1.7219749885340818</v>
      </c>
      <c r="AB189" s="7">
        <f>(L189-'2026-2027 means'!I$2)/'2026-2027 means'!V$2</f>
        <v>-0.32710607382301482</v>
      </c>
      <c r="AC189" s="7">
        <f>(M189-'2026-2027 means'!J$2)/'2026-2027 means'!W$2</f>
        <v>-1.5227623319905843</v>
      </c>
      <c r="AD189" s="7">
        <f>(N189-'2026-2027 means'!K$2)/'2026-2027 means'!X$2</f>
        <v>-1.8092485134845637</v>
      </c>
      <c r="AE189" s="7">
        <f>(O189-'2026-2027 means'!L$2)/'2026-2027 means'!Y$2</f>
        <v>1.2616238464618952</v>
      </c>
      <c r="AF189" s="7">
        <f>IF(((P189 - '2026-2027 means'!M$2) / '2026-2027 means'!Z$2 * -1) &lt; -2, -2, (P189 - '2026-2027 means'!M$2) / '2026-2027 means'!Z$2 * -1)</f>
        <v>1.4270911878091079</v>
      </c>
      <c r="AG189">
        <f t="shared" si="46"/>
        <v>2</v>
      </c>
      <c r="AH189">
        <f t="shared" si="47"/>
        <v>6</v>
      </c>
      <c r="AI189" s="8">
        <f t="shared" si="48"/>
        <v>0.33333333333333331</v>
      </c>
      <c r="AJ189" s="8" t="e" vm="1">
        <f t="shared" ca="1" si="49"/>
        <v>#NAME?</v>
      </c>
      <c r="AK189" s="8" t="str">
        <f t="shared" si="50"/>
        <v>, FT%, 3PM, PTS, TREB, AST, STL</v>
      </c>
      <c r="AL189" t="str">
        <f t="shared" si="51"/>
        <v/>
      </c>
      <c r="AM189" t="str">
        <f t="shared" si="52"/>
        <v>FG%, BLK, TO</v>
      </c>
      <c r="AN189" t="str">
        <f t="shared" si="53"/>
        <v/>
      </c>
      <c r="AO189" t="str">
        <f t="shared" si="54"/>
        <v>, FT%, 3PM, PTS, TREB, AST, STL</v>
      </c>
      <c r="AP189">
        <f>VLOOKUP(B189,'2025-2026 actuals'!B:Q,16,FALSE)</f>
        <v>143</v>
      </c>
      <c r="AQ189" s="7">
        <f t="shared" si="61"/>
        <v>-2.8053293493451443</v>
      </c>
      <c r="AR189">
        <f t="shared" si="62"/>
        <v>187</v>
      </c>
    </row>
    <row r="190" spans="1:44" ht="18">
      <c r="A190" s="3">
        <f t="shared" si="55"/>
        <v>159</v>
      </c>
      <c r="B190" s="41" t="s">
        <v>234</v>
      </c>
      <c r="C190" s="1">
        <f t="shared" si="56"/>
        <v>159</v>
      </c>
      <c r="D190" s="1">
        <f t="shared" si="60"/>
        <v>164</v>
      </c>
      <c r="E190" s="1">
        <f>VLOOKUP(B190,'2026-2027 adp'!A:C,3,FALSE)</f>
        <v>140</v>
      </c>
      <c r="F190" s="1">
        <f t="shared" si="43"/>
        <v>-19</v>
      </c>
      <c r="G190" s="1"/>
      <c r="H190" s="22" t="s">
        <v>805</v>
      </c>
      <c r="I190" s="22" t="s">
        <v>806</v>
      </c>
      <c r="J190" s="42">
        <v>0</v>
      </c>
      <c r="K190" s="42">
        <v>6.4</v>
      </c>
      <c r="L190" s="42">
        <v>5.8</v>
      </c>
      <c r="M190" s="42">
        <v>1.8</v>
      </c>
      <c r="N190" s="42">
        <v>0.5</v>
      </c>
      <c r="O190" s="42">
        <v>1</v>
      </c>
      <c r="P190" s="42">
        <v>0.4</v>
      </c>
      <c r="Q190" s="43">
        <v>-1.75</v>
      </c>
      <c r="R190" s="42">
        <v>2.6</v>
      </c>
      <c r="S190" s="42">
        <v>4</v>
      </c>
      <c r="T190">
        <f t="shared" si="44"/>
        <v>0.65</v>
      </c>
      <c r="U190" s="42">
        <v>1.2</v>
      </c>
      <c r="V190" s="42">
        <v>1.5</v>
      </c>
      <c r="W190">
        <f t="shared" si="45"/>
        <v>0.79999999999999993</v>
      </c>
      <c r="X190" s="7">
        <f>IF(((T190 - '2026-2027 means'!E$2) / '2026-2027 means'!R$2) * (S190 / '2026-2027 means'!B$2) / 2 &lt; -2, -2, ((T190 - '2026-2027 means'!E$2) / '2026-2027 means'!R$2) * (S190 / '2026-2027 means'!B$2) / 2)</f>
        <v>1.2322415739753283</v>
      </c>
      <c r="Y190" s="11">
        <f>IF(((W190 - '2026-2027 means'!F$2) / '2026-2027 means'!S$2) * (V190 / '2026-2027 means'!D$2) &lt; -2, -2, ((W190 - '2026-2027 means'!F$2) / '2026-2027 means'!S$2) * (V190 / '2026-2027 means'!D$2))</f>
        <v>2.652596757178213E-2</v>
      </c>
      <c r="Z190" s="7">
        <f>(J190-'2026-2027 means'!G$2)/'2026-2027 means'!T$2</f>
        <v>-1.7541164387527013</v>
      </c>
      <c r="AA190" s="7">
        <f>(K190-'2026-2027 means'!H$2)/'2026-2027 means'!U$2</f>
        <v>-1.7976910339692145</v>
      </c>
      <c r="AB190" s="7">
        <f>(L190-'2026-2027 means'!I$2)/'2026-2027 means'!V$2</f>
        <v>4.7409677788272299E-2</v>
      </c>
      <c r="AC190" s="7">
        <f>(M190-'2026-2027 means'!J$2)/'2026-2027 means'!W$2</f>
        <v>-0.95480897233620121</v>
      </c>
      <c r="AD190" s="7">
        <f>(N190-'2026-2027 means'!K$2)/'2026-2027 means'!X$2</f>
        <v>-1.5157384640814993</v>
      </c>
      <c r="AE190" s="7">
        <f>(O190-'2026-2027 means'!L$2)/'2026-2027 means'!Y$2</f>
        <v>0.65252922723329376</v>
      </c>
      <c r="AF190" s="7">
        <f>IF(((P190 - '2026-2027 means'!M$2) / '2026-2027 means'!Z$2 * -1) &lt; -2, -2, (P190 - '2026-2027 means'!M$2) / '2026-2027 means'!Z$2 * -1)</f>
        <v>1.9729433833364733</v>
      </c>
      <c r="AG190">
        <f t="shared" si="46"/>
        <v>1</v>
      </c>
      <c r="AH190">
        <f t="shared" si="47"/>
        <v>4</v>
      </c>
      <c r="AI190" s="8">
        <f t="shared" si="48"/>
        <v>0.25</v>
      </c>
      <c r="AJ190" s="8" t="e" vm="1">
        <f t="shared" ca="1" si="49"/>
        <v>#NAME?</v>
      </c>
      <c r="AK190" s="8" t="str">
        <f t="shared" si="50"/>
        <v>, 3PM, PTS, AST, STL</v>
      </c>
      <c r="AL190" t="str">
        <f t="shared" si="51"/>
        <v/>
      </c>
      <c r="AM190" t="str">
        <f t="shared" si="52"/>
        <v>FG%, TO</v>
      </c>
      <c r="AN190" t="str">
        <f t="shared" si="53"/>
        <v>, FT%, TREB, BLK</v>
      </c>
      <c r="AO190" t="str">
        <f t="shared" si="54"/>
        <v>, 3PM, PTS, AST, STL</v>
      </c>
      <c r="AP190">
        <f>VLOOKUP(B190,'2025-2026 actuals'!B:Q,16,FALSE)</f>
        <v>164</v>
      </c>
      <c r="AQ190" s="7">
        <f t="shared" si="61"/>
        <v>-2.0907050792344659</v>
      </c>
      <c r="AR190">
        <f t="shared" si="62"/>
        <v>159</v>
      </c>
    </row>
    <row r="191" spans="1:44" ht="18">
      <c r="A191" s="3">
        <f t="shared" si="55"/>
        <v>193</v>
      </c>
      <c r="B191" s="41" t="s">
        <v>298</v>
      </c>
      <c r="C191" s="1">
        <f t="shared" si="56"/>
        <v>193</v>
      </c>
      <c r="D191" s="1" t="e">
        <f t="shared" si="60"/>
        <v>#N/A</v>
      </c>
      <c r="E191" s="1">
        <f>VLOOKUP(B191,'2026-2027 adp'!A:C,3,FALSE)</f>
        <v>111.5</v>
      </c>
      <c r="F191" s="1">
        <f t="shared" si="43"/>
        <v>-81.5</v>
      </c>
      <c r="G191" s="1"/>
      <c r="H191" s="22" t="s">
        <v>807</v>
      </c>
      <c r="I191" s="22" t="s">
        <v>808</v>
      </c>
      <c r="J191" s="42">
        <v>2.4</v>
      </c>
      <c r="K191" s="42">
        <v>14.6</v>
      </c>
      <c r="L191" s="42">
        <v>3.1</v>
      </c>
      <c r="M191" s="42">
        <v>2.4</v>
      </c>
      <c r="N191" s="42">
        <v>0.8</v>
      </c>
      <c r="O191" s="42">
        <v>0.1</v>
      </c>
      <c r="P191" s="42">
        <v>1.5</v>
      </c>
      <c r="Q191" s="43">
        <v>-1.75</v>
      </c>
      <c r="R191" s="42">
        <v>5.3</v>
      </c>
      <c r="S191" s="42">
        <v>12.1</v>
      </c>
      <c r="T191">
        <f t="shared" si="44"/>
        <v>0.43801652892561982</v>
      </c>
      <c r="U191" s="42">
        <v>1.6</v>
      </c>
      <c r="V191" s="42">
        <v>1.8</v>
      </c>
      <c r="W191">
        <f t="shared" si="45"/>
        <v>0.88888888888888895</v>
      </c>
      <c r="X191" s="7">
        <f>IF(((T191 - '2026-2027 means'!E$2) / '2026-2027 means'!R$2) * (S191 / '2026-2027 means'!B$2) / 2 &lt; -2, -2, ((T191 - '2026-2027 means'!E$2) / '2026-2027 means'!R$2) * (S191 / '2026-2027 means'!B$2) / 2)</f>
        <v>-0.99479598630977439</v>
      </c>
      <c r="Y191" s="11">
        <f>IF(((W191 - '2026-2027 means'!F$2) / '2026-2027 means'!S$2) * (V191 / '2026-2027 means'!D$2) &lt; -2, -2, ((W191 - '2026-2027 means'!F$2) / '2026-2027 means'!S$2) * (V191 / '2026-2027 means'!D$2))</f>
        <v>0.58806894582073344</v>
      </c>
      <c r="Z191" s="7">
        <f>(J191-'2026-2027 means'!G$2)/'2026-2027 means'!T$2</f>
        <v>0.77105744980087332</v>
      </c>
      <c r="AA191" s="7">
        <f>(K191-'2026-2027 means'!H$2)/'2026-2027 means'!U$2</f>
        <v>-0.24551210254899281</v>
      </c>
      <c r="AB191" s="7">
        <f>(L191-'2026-2027 means'!I$2)/'2026-2027 means'!V$2</f>
        <v>-1.0761375770455897</v>
      </c>
      <c r="AC191" s="7">
        <f>(M191-'2026-2027 means'!J$2)/'2026-2027 means'!W$2</f>
        <v>-0.64501623070653791</v>
      </c>
      <c r="AD191" s="7">
        <f>(N191-'2026-2027 means'!K$2)/'2026-2027 means'!X$2</f>
        <v>-0.6352083158723062</v>
      </c>
      <c r="AE191" s="7">
        <f>(O191-'2026-2027 means'!L$2)/'2026-2027 means'!Y$2</f>
        <v>-1.1747546304525105</v>
      </c>
      <c r="AF191" s="7">
        <f>IF(((P191 - '2026-2027 means'!M$2) / '2026-2027 means'!Z$2 * -1) &lt; -2, -2, (P191 - '2026-2027 means'!M$2) / '2026-2027 means'!Z$2 * -1)</f>
        <v>0.47184984563621846</v>
      </c>
      <c r="AG191">
        <f t="shared" si="46"/>
        <v>0</v>
      </c>
      <c r="AH191">
        <f t="shared" si="47"/>
        <v>5</v>
      </c>
      <c r="AI191" s="8">
        <f t="shared" si="48"/>
        <v>0</v>
      </c>
      <c r="AJ191" s="8" t="e" vm="1">
        <f t="shared" ca="1" si="49"/>
        <v>#NAME?</v>
      </c>
      <c r="AK191" s="8" t="str">
        <f t="shared" si="50"/>
        <v>FG%, PTS, TREB, AST, STL, BLK</v>
      </c>
      <c r="AL191" t="str">
        <f t="shared" si="51"/>
        <v/>
      </c>
      <c r="AM191" t="str">
        <f t="shared" si="52"/>
        <v/>
      </c>
      <c r="AN191" t="str">
        <f t="shared" si="53"/>
        <v>, FT%, 3PM, TO</v>
      </c>
      <c r="AO191" t="str">
        <f t="shared" si="54"/>
        <v>FG%, PTS, TREB, AST, STL, BLK</v>
      </c>
      <c r="AP191" t="e">
        <f>VLOOKUP(B191,'2025-2026 actuals'!B:Q,16,FALSE)</f>
        <v>#N/A</v>
      </c>
      <c r="AQ191" s="7">
        <f t="shared" si="61"/>
        <v>-2.9404486016778861</v>
      </c>
      <c r="AR191">
        <f t="shared" si="62"/>
        <v>193</v>
      </c>
    </row>
    <row r="192" spans="1:44" ht="18">
      <c r="A192" s="3">
        <f t="shared" si="55"/>
        <v>160</v>
      </c>
      <c r="B192" s="41" t="s">
        <v>114</v>
      </c>
      <c r="C192" s="1">
        <f t="shared" si="56"/>
        <v>160</v>
      </c>
      <c r="D192" s="1" t="e">
        <f t="shared" si="60"/>
        <v>#N/A</v>
      </c>
      <c r="E192" s="1">
        <f>VLOOKUP(B192,'2026-2027 adp'!A:C,3,FALSE)</f>
        <v>107.8</v>
      </c>
      <c r="F192" s="1">
        <f t="shared" si="43"/>
        <v>-52.2</v>
      </c>
      <c r="G192" s="1"/>
      <c r="H192" s="22" t="s">
        <v>809</v>
      </c>
      <c r="I192" s="22" t="s">
        <v>810</v>
      </c>
      <c r="J192" s="42">
        <v>1.1000000000000001</v>
      </c>
      <c r="K192" s="42">
        <v>6.9</v>
      </c>
      <c r="L192" s="42">
        <v>3</v>
      </c>
      <c r="M192" s="42">
        <v>2.4</v>
      </c>
      <c r="N192" s="42">
        <v>1.5</v>
      </c>
      <c r="O192" s="42">
        <v>0.5</v>
      </c>
      <c r="P192" s="42">
        <v>0.8</v>
      </c>
      <c r="Q192" s="43">
        <v>-1.76</v>
      </c>
      <c r="R192" s="42">
        <v>2.5</v>
      </c>
      <c r="S192" s="42">
        <v>5.8</v>
      </c>
      <c r="T192">
        <f t="shared" si="44"/>
        <v>0.43103448275862072</v>
      </c>
      <c r="U192" s="42">
        <v>0.8</v>
      </c>
      <c r="V192" s="42">
        <v>1</v>
      </c>
      <c r="W192">
        <f t="shared" si="45"/>
        <v>0.8</v>
      </c>
      <c r="X192" s="7">
        <f>IF(((T192 - '2026-2027 means'!E$2) / '2026-2027 means'!R$2) * (S192 / '2026-2027 means'!B$2) / 2 &lt; -2, -2, ((T192 - '2026-2027 means'!E$2) / '2026-2027 means'!R$2) * (S192 / '2026-2027 means'!B$2) / 2)</f>
        <v>-0.55139980328475235</v>
      </c>
      <c r="Y192" s="11">
        <f>IF(((W192 - '2026-2027 means'!F$2) / '2026-2027 means'!S$2) * (V192 / '2026-2027 means'!D$2) &lt; -2, -2, ((W192 - '2026-2027 means'!F$2) / '2026-2027 means'!S$2) * (V192 / '2026-2027 means'!D$2))</f>
        <v>1.7683978381188473E-2</v>
      </c>
      <c r="Z192" s="7">
        <f>(J192-'2026-2027 means'!G$2)/'2026-2027 means'!T$2</f>
        <v>-0.59674507316564607</v>
      </c>
      <c r="AA192" s="7">
        <f>(K192-'2026-2027 means'!H$2)/'2026-2027 means'!U$2</f>
        <v>-1.7030459771752986</v>
      </c>
      <c r="AB192" s="7">
        <f>(L192-'2026-2027 means'!I$2)/'2026-2027 means'!V$2</f>
        <v>-1.1177504383357326</v>
      </c>
      <c r="AC192" s="7">
        <f>(M192-'2026-2027 means'!J$2)/'2026-2027 means'!W$2</f>
        <v>-0.64501623070653791</v>
      </c>
      <c r="AD192" s="7">
        <f>(N192-'2026-2027 means'!K$2)/'2026-2027 means'!X$2</f>
        <v>1.4193620299491441</v>
      </c>
      <c r="AE192" s="7">
        <f>(O192-'2026-2027 means'!L$2)/'2026-2027 means'!Y$2</f>
        <v>-0.36262847148104194</v>
      </c>
      <c r="AF192" s="7">
        <f>IF(((P192 - '2026-2027 means'!M$2) / '2026-2027 means'!Z$2 * -1) &lt; -2, -2, (P192 - '2026-2027 means'!M$2) / '2026-2027 means'!Z$2 * -1)</f>
        <v>1.4270911878091079</v>
      </c>
      <c r="AG192">
        <f t="shared" si="46"/>
        <v>1</v>
      </c>
      <c r="AH192">
        <f t="shared" si="47"/>
        <v>6</v>
      </c>
      <c r="AI192" s="8">
        <f t="shared" si="48"/>
        <v>0.16666666666666666</v>
      </c>
      <c r="AJ192" s="8" t="e" vm="1">
        <f t="shared" ca="1" si="49"/>
        <v>#NAME?</v>
      </c>
      <c r="AK192" s="8" t="str">
        <f t="shared" si="50"/>
        <v>FG%, 3PM, PTS, TREB, AST, BLK</v>
      </c>
      <c r="AL192" t="str">
        <f t="shared" si="51"/>
        <v/>
      </c>
      <c r="AM192" t="str">
        <f t="shared" si="52"/>
        <v>, STL, TO</v>
      </c>
      <c r="AN192" t="str">
        <f t="shared" si="53"/>
        <v>, FT%</v>
      </c>
      <c r="AO192" t="str">
        <f t="shared" si="54"/>
        <v>FG%, 3PM, PTS, TREB, AST, BLK</v>
      </c>
      <c r="AP192" t="e">
        <f>VLOOKUP(B192,'2025-2026 actuals'!B:Q,16,FALSE)</f>
        <v>#N/A</v>
      </c>
      <c r="AQ192" s="7">
        <f t="shared" si="61"/>
        <v>-2.1124487980095692</v>
      </c>
      <c r="AR192">
        <f t="shared" si="62"/>
        <v>160</v>
      </c>
    </row>
    <row r="193" spans="1:44" ht="18">
      <c r="A193" s="3">
        <f t="shared" si="55"/>
        <v>188</v>
      </c>
      <c r="B193" s="41" t="s">
        <v>149</v>
      </c>
      <c r="C193" s="1">
        <f t="shared" si="56"/>
        <v>188</v>
      </c>
      <c r="D193" s="1"/>
      <c r="E193" s="1">
        <f>VLOOKUP(B193,'2026-2027 adp'!A:C,3,FALSE)</f>
        <v>114.8</v>
      </c>
      <c r="F193" s="1">
        <f t="shared" ref="F193" si="63">E193-A193</f>
        <v>-73.2</v>
      </c>
      <c r="G193" s="1"/>
      <c r="H193" s="22" t="s">
        <v>811</v>
      </c>
      <c r="I193" s="22" t="s">
        <v>812</v>
      </c>
      <c r="J193" s="42">
        <v>1.1000000000000001</v>
      </c>
      <c r="K193" s="42">
        <v>9.6999999999999993</v>
      </c>
      <c r="L193" s="42">
        <v>3.1</v>
      </c>
      <c r="M193" s="42">
        <v>4.3</v>
      </c>
      <c r="N193" s="42">
        <v>1.3</v>
      </c>
      <c r="O193" s="42">
        <v>0.4</v>
      </c>
      <c r="P193" s="42">
        <v>1.8</v>
      </c>
      <c r="Q193" s="43">
        <v>-1.76</v>
      </c>
      <c r="R193" s="42">
        <v>3.6</v>
      </c>
      <c r="S193" s="42">
        <v>7.5</v>
      </c>
      <c r="T193">
        <f t="shared" si="44"/>
        <v>0.48000000000000004</v>
      </c>
      <c r="U193" s="42">
        <v>1.5</v>
      </c>
      <c r="V193" s="42">
        <v>2.1</v>
      </c>
      <c r="W193">
        <f t="shared" si="45"/>
        <v>0.7142857142857143</v>
      </c>
      <c r="X193" s="7">
        <f>IF(((T193 - '2026-2027 means'!E$2) / '2026-2027 means'!R$2) * (S193 / '2026-2027 means'!B$2) / 2 &lt; -2, -2, ((T193 - '2026-2027 means'!E$2) / '2026-2027 means'!R$2) * (S193 / '2026-2027 means'!B$2) / 2)</f>
        <v>-3.690244964267466E-2</v>
      </c>
      <c r="Y193" s="11">
        <f>IF(((W193 - '2026-2027 means'!F$2) / '2026-2027 means'!S$2) * (V193 / '2026-2027 means'!D$2) &lt; -2, -2, ((W193 - '2026-2027 means'!F$2) / '2026-2027 means'!S$2) * (V193 / '2026-2027 means'!D$2))</f>
        <v>-0.58863115322592274</v>
      </c>
      <c r="Z193" s="7">
        <f>(J193-'2026-2027 means'!G$2)/'2026-2027 means'!T$2</f>
        <v>-0.59674507316564607</v>
      </c>
      <c r="AA193" s="7">
        <f>(K193-'2026-2027 means'!H$2)/'2026-2027 means'!U$2</f>
        <v>-1.1730336591293693</v>
      </c>
      <c r="AB193" s="7">
        <f>(L193-'2026-2027 means'!I$2)/'2026-2027 means'!V$2</f>
        <v>-1.0761375770455897</v>
      </c>
      <c r="AC193" s="7">
        <f>(M193-'2026-2027 means'!J$2)/'2026-2027 means'!W$2</f>
        <v>0.3359941177873963</v>
      </c>
      <c r="AD193" s="7">
        <f>(N193-'2026-2027 means'!K$2)/'2026-2027 means'!X$2</f>
        <v>0.83234193114301547</v>
      </c>
      <c r="AE193" s="7">
        <f>(O193-'2026-2027 means'!L$2)/'2026-2027 means'!Y$2</f>
        <v>-0.56566001122390897</v>
      </c>
      <c r="AF193" s="7">
        <f>IF(((P193 - '2026-2027 means'!M$2) / '2026-2027 means'!Z$2 * -1) &lt; -2, -2, (P193 - '2026-2027 means'!M$2) / '2026-2027 means'!Z$2 * -1)</f>
        <v>6.2460698990694306E-2</v>
      </c>
      <c r="AG193">
        <f t="shared" si="46"/>
        <v>0</v>
      </c>
      <c r="AH193">
        <f t="shared" si="47"/>
        <v>5</v>
      </c>
      <c r="AI193" s="8">
        <f t="shared" si="48"/>
        <v>0</v>
      </c>
      <c r="AJ193" s="8" t="e" vm="1">
        <f t="shared" ca="1" si="49"/>
        <v>#NAME?</v>
      </c>
      <c r="AK193" s="8" t="str">
        <f t="shared" si="50"/>
        <v>FG%, FT%, 3PM, PTS, TREB, BLK</v>
      </c>
      <c r="AL193" t="str">
        <f t="shared" si="51"/>
        <v/>
      </c>
      <c r="AM193" t="str">
        <f t="shared" si="52"/>
        <v/>
      </c>
      <c r="AN193" t="str">
        <f t="shared" si="53"/>
        <v>, AST, STL, TO</v>
      </c>
      <c r="AO193" t="str">
        <f t="shared" si="54"/>
        <v>FG%, FT%, 3PM, PTS, TREB, BLK</v>
      </c>
      <c r="AP193">
        <f>VLOOKUP(B193,'2025-2026 actuals'!B:Q,16,FALSE)</f>
        <v>136</v>
      </c>
      <c r="AQ193" s="7">
        <f t="shared" si="61"/>
        <v>-2.8063131755120052</v>
      </c>
      <c r="AR193">
        <f t="shared" si="62"/>
        <v>188</v>
      </c>
    </row>
    <row r="194" spans="1:44" ht="18">
      <c r="A194" s="3">
        <f t="shared" si="55"/>
        <v>147</v>
      </c>
      <c r="B194" s="41" t="s">
        <v>251</v>
      </c>
      <c r="C194" s="1">
        <f t="shared" si="56"/>
        <v>147</v>
      </c>
      <c r="D194" s="1">
        <f t="shared" ref="D194:D201" si="64">AP194</f>
        <v>180</v>
      </c>
      <c r="E194" s="1">
        <f>VLOOKUP(B194,'2026-2027 adp'!A:C,3,FALSE)</f>
        <v>140</v>
      </c>
      <c r="F194" s="1">
        <f t="shared" ref="F194:F201" si="65">E194-A194</f>
        <v>-7</v>
      </c>
      <c r="G194" s="1"/>
      <c r="H194" s="22" t="s">
        <v>813</v>
      </c>
      <c r="I194" s="22" t="s">
        <v>814</v>
      </c>
      <c r="J194" s="42">
        <v>1</v>
      </c>
      <c r="K194" s="42">
        <v>6.6</v>
      </c>
      <c r="L194" s="42">
        <v>3.2</v>
      </c>
      <c r="M194" s="42">
        <v>3.1</v>
      </c>
      <c r="N194" s="42">
        <v>1.6</v>
      </c>
      <c r="O194" s="42">
        <v>0.3</v>
      </c>
      <c r="P194" s="42">
        <v>1.1000000000000001</v>
      </c>
      <c r="Q194" s="43">
        <v>-1.77</v>
      </c>
      <c r="R194" s="42">
        <v>2.6</v>
      </c>
      <c r="S194" s="42">
        <v>5.6</v>
      </c>
      <c r="T194">
        <f t="shared" ref="T194:T202" si="66">R194/S194</f>
        <v>0.46428571428571436</v>
      </c>
      <c r="U194" s="42">
        <v>0.5</v>
      </c>
      <c r="V194" s="42">
        <v>0.6</v>
      </c>
      <c r="W194">
        <f t="shared" ref="W194:W201" si="67">U194/V194</f>
        <v>0.83333333333333337</v>
      </c>
      <c r="X194" s="7">
        <f>IF(((T194 - '2026-2027 means'!E$2) / '2026-2027 means'!R$2) * (S194 / '2026-2027 means'!B$2) / 2 &lt; -2, -2, ((T194 - '2026-2027 means'!E$2) / '2026-2027 means'!R$2) * (S194 / '2026-2027 means'!B$2) / 2)</f>
        <v>-0.18956737830141993</v>
      </c>
      <c r="Y194" s="11">
        <f>IF(((W194 - '2026-2027 means'!F$2) / '2026-2027 means'!S$2) * (V194 / '2026-2027 means'!D$2) &lt; -2, -2, ((W194 - '2026-2027 means'!F$2) / '2026-2027 means'!S$2) * (V194 / '2026-2027 means'!D$2))</f>
        <v>8.0140110120537317E-2</v>
      </c>
      <c r="Z194" s="7">
        <f>(J194-'2026-2027 means'!G$2)/'2026-2027 means'!T$2</f>
        <v>-0.70196065185537848</v>
      </c>
      <c r="AA194" s="7">
        <f>(K194-'2026-2027 means'!H$2)/'2026-2027 means'!U$2</f>
        <v>-1.7598330112516483</v>
      </c>
      <c r="AB194" s="7">
        <f>(L194-'2026-2027 means'!I$2)/'2026-2027 means'!V$2</f>
        <v>-1.0345247157554465</v>
      </c>
      <c r="AC194" s="7">
        <f>(M194-'2026-2027 means'!J$2)/'2026-2027 means'!W$2</f>
        <v>-0.28359136547193042</v>
      </c>
      <c r="AD194" s="7">
        <f>(N194-'2026-2027 means'!K$2)/'2026-2027 means'!X$2</f>
        <v>1.7128720793522085</v>
      </c>
      <c r="AE194" s="7">
        <f>(O194-'2026-2027 means'!L$2)/'2026-2027 means'!Y$2</f>
        <v>-0.76869155096677622</v>
      </c>
      <c r="AF194" s="7">
        <f>IF(((P194 - '2026-2027 means'!M$2) / '2026-2027 means'!Z$2 * -1) &lt; -2, -2, (P194 - '2026-2027 means'!M$2) / '2026-2027 means'!Z$2 * -1)</f>
        <v>1.0177020411635838</v>
      </c>
      <c r="AG194">
        <f t="shared" ref="AG194:AG201" si="68">COUNTIFS(X194:AE194,"&gt;="&amp;1)</f>
        <v>1</v>
      </c>
      <c r="AH194">
        <f t="shared" ref="AH194:AH201" si="69">COUNTIFS(X194:AE194,"&lt;="&amp;-0.25)</f>
        <v>5</v>
      </c>
      <c r="AI194" s="8">
        <f t="shared" ref="AI194:AI201" si="70">AG194/AH194</f>
        <v>0.2</v>
      </c>
      <c r="AJ194" s="8" t="e" vm="1">
        <f t="shared" ref="AJ194:AJ201" ca="1" si="71">_xlfn.CONCAT(AL194,AM194,AN194)</f>
        <v>#NAME?</v>
      </c>
      <c r="AK194" s="8" t="str">
        <f t="shared" ref="AK194:AK201" si="72">AO194</f>
        <v>FG%, 3PM, PTS, TREB, AST, BLK</v>
      </c>
      <c r="AL194" t="str">
        <f t="shared" ref="AL194:AL201" si="73">IF(X194&gt;2, "FG%", "") &amp; IF(Y194&gt;2, ", FT%", "") &amp; IF(Z194&gt;2, ", 3PM", "") &amp; IF(AA194&gt;2, ", PTS", "") &amp; IF(AB194&gt;2, ", TREB", "") &amp; IF(AC194&gt;2, ", AST", "") &amp; IF(AD194&gt;2, ", STL", "") &amp; IF(AE194&gt;2, ", BLK", "") &amp; IF(AF194&gt;2, ", TO", "")</f>
        <v/>
      </c>
      <c r="AM194" t="str">
        <f t="shared" ref="AM194:AM201" si="74">IF(AND(X194&gt;=1, X194&lt;2), "FG%", "") &amp; IF(AND(Y194&gt;=1, Y194&lt;2), IF(X194="", "FT%", ", FT%"), "") &amp; IF(AND(Z194&gt;=1, Z194&lt;2), IF(OR(X194="", Y194=""), "3PM", ", 3PM"), "") &amp; IF(AND(AA194&gt;=1, AA194&lt;2), IF(OR(X194="", Y194="", Z194=""), "PTS", ", PTS"), "") &amp; IF(AND(AB194&gt;=1, AB194&lt;2), IF(OR(X194="", Y194="", Z194="", AA194=""), "TREB", ", TREB"), "") &amp; IF(AND(AC194&gt;=1, AC194&lt;2), IF(OR(X194="", Y194="", Z194="", AA194="", AB194=""), "AST", ", AST"), "") &amp; IF(AND(AD194&gt;=1, AD194&lt;2), IF(OR(X194="", Y194="", Z194="", AA194="", AB194="", AC194=""), "STL", ", STL"), "") &amp; IF(AND(AE194&gt;=1, AE194&lt;2), IF(OR(X194="", Y194="", Z194="", AA194="", AB194="", AC194="", AD194=""), "BLK", ", BLK"), "") &amp; IF(AND(AF194&gt;=1, AF194&lt;2), IF(OR(X194="", Y194="", Z194="", AA194="", AB194="", AC194="", AD194="", AE194=""), "TO", ", TO"), "")</f>
        <v>, STL, TO</v>
      </c>
      <c r="AN194" t="str">
        <f t="shared" ref="AN194:AN201" si="75">IF(AND(X194&gt;=0, X194&lt;1), "FG%", "") &amp; IF(AND(Y194&gt;=0, Y194&lt;1), IF(X194="", "FT%", ", FT%"), "") &amp; IF(AND(Z194&gt;=0, Z194&lt;1), IF(AND(X194="", Y194=""), "3PM", ", 3PM"), "") &amp; IF(AND(AA194&gt;=0, AA194&lt;1), IF(AND(X194="", Y194="", Z194=""), "PTS", ", PTS"), "") &amp; IF(AND(AB194&gt;=0, AB194&lt;1), IF(AND(X194="", Y194="", Z194="", AA194=""), "TREB", ", TREB"), "") &amp; IF(AND(AC194&gt;=0, AC194&lt;1), IF(AND(X194="", Y194="", Z194="", AA194="", AB194=""), "AST", ", AST"), "") &amp; IF(AND(AD194&gt;=0, AD194&lt;1), IF(AND(X194="", Y194="", Z194="", AA194="", AB194="", AC194=""), "STL", ", STL"), "") &amp; IF(AND(AE194&gt;=0, AE194&lt;1), IF(AND(X194="", Y194="", Z194="", AA194="", AB194="", AC194="", AD194=""), "BLK", ", BLK"), "") &amp; IF(AND(AF194&gt;=0, AF194&lt;1), IF(AND(X194="", Y194="", Z194="", AA194="", AB194="", AC194="", AD194="", AE194=""), "TO", ", TO"), "")</f>
        <v>, FT%</v>
      </c>
      <c r="AO194" t="str">
        <f t="shared" ref="AO194:AO201" si="76">IF(X194&lt;0, "FG%", "") &amp; IF(Y194&lt;0, IF(X194="", "FT%", ", FT%"), "") &amp; IF(Z194&lt;0, IF(AND(X194="", Y194=""), "3PM", ", 3PM"), "") &amp; IF(AA194&lt;0, IF(AND(X194="", Y194="", Z194=""), "PTS", ", PTS"), "") &amp; IF(AB194&lt;0, IF(AND(X194="", Y194="", Z194="", AA194=""), "TREB", ", TREB"), "") &amp; IF(AC194&lt;0, IF(AND(X194="", Y194="", Z194="", AA194="", AB194=""), "AST", ", AST"), "") &amp; IF(AD194&lt;0, IF(AND(X194="", Y194="", Z194="", AA194="", AB194="", AC194=""), "STL", ", STL"), "") &amp; IF(AE194&lt;0, IF(AND(X194="", Y194="", Z194="", AA194="", AB194="", AC194="", AD194=""), "BLK", ", BLK"), "") &amp; IF(AF194&lt;0, IF(AND(X194="", Y194="", Z194="", AA194="", AB194="", AC194="", AD194="", AE194=""), "TO", ", TO"), "")</f>
        <v>FG%, 3PM, PTS, TREB, AST, BLK</v>
      </c>
      <c r="AP194">
        <f>VLOOKUP(B194,'2025-2026 actuals'!B:Q,16,FALSE)</f>
        <v>180</v>
      </c>
      <c r="AQ194" s="7">
        <f t="shared" ref="AQ194:AQ201" si="77">SUM(X194:AF194)</f>
        <v>-1.9274544429662701</v>
      </c>
      <c r="AR194">
        <f t="shared" ref="AR194:AR201" si="78">RANK(AQ194,AQ:AQ)</f>
        <v>147</v>
      </c>
    </row>
    <row r="195" spans="1:44" ht="18">
      <c r="A195" s="3">
        <f t="shared" ref="A195:A201" si="79">C195</f>
        <v>179</v>
      </c>
      <c r="B195" s="41" t="s">
        <v>121</v>
      </c>
      <c r="C195" s="1">
        <f t="shared" ref="C195:C201" si="80">AR195</f>
        <v>179</v>
      </c>
      <c r="D195" s="1">
        <f t="shared" si="64"/>
        <v>93</v>
      </c>
      <c r="E195" s="1">
        <f>VLOOKUP(B195,'2026-2027 adp'!A:C,3,FALSE)</f>
        <v>109.4</v>
      </c>
      <c r="F195" s="1">
        <f t="shared" si="65"/>
        <v>-69.599999999999994</v>
      </c>
      <c r="G195" s="1"/>
      <c r="H195" s="22" t="s">
        <v>815</v>
      </c>
      <c r="I195" s="22" t="s">
        <v>816</v>
      </c>
      <c r="J195" s="42">
        <v>0</v>
      </c>
      <c r="K195" s="42">
        <v>9.6999999999999993</v>
      </c>
      <c r="L195" s="42">
        <v>6.6</v>
      </c>
      <c r="M195" s="42">
        <v>1.2</v>
      </c>
      <c r="N195" s="42">
        <v>0.6</v>
      </c>
      <c r="O195" s="42">
        <v>0.8</v>
      </c>
      <c r="P195" s="42">
        <v>1</v>
      </c>
      <c r="Q195" s="43">
        <v>-1.78</v>
      </c>
      <c r="R195" s="42">
        <v>3.9</v>
      </c>
      <c r="S195" s="42">
        <v>6.4</v>
      </c>
      <c r="T195">
        <f t="shared" si="66"/>
        <v>0.609375</v>
      </c>
      <c r="U195" s="42">
        <v>1.8</v>
      </c>
      <c r="V195" s="42">
        <v>2.4</v>
      </c>
      <c r="W195">
        <f t="shared" si="67"/>
        <v>0.75</v>
      </c>
      <c r="X195" s="7">
        <f>IF(((T195 - '2026-2027 means'!E$2) / '2026-2027 means'!R$2) * (S195 / '2026-2027 means'!B$2) / 2 &lt; -2, -2, ((T195 - '2026-2027 means'!E$2) / '2026-2027 means'!R$2) * (S195 / '2026-2027 means'!B$2) / 2)</f>
        <v>1.4929101228938051</v>
      </c>
      <c r="Y195" s="11">
        <f>IF(((W195 - '2026-2027 means'!F$2) / '2026-2027 means'!S$2) * (V195 / '2026-2027 means'!D$2) &lt; -2, -2, ((W195 - '2026-2027 means'!F$2) / '2026-2027 means'!S$2) * (V195 / '2026-2027 means'!D$2))</f>
        <v>-0.37473679043609354</v>
      </c>
      <c r="Z195" s="7">
        <f>(J195-'2026-2027 means'!G$2)/'2026-2027 means'!T$2</f>
        <v>-1.7541164387527013</v>
      </c>
      <c r="AA195" s="7">
        <f>(K195-'2026-2027 means'!H$2)/'2026-2027 means'!U$2</f>
        <v>-1.1730336591293693</v>
      </c>
      <c r="AB195" s="7">
        <f>(L195-'2026-2027 means'!I$2)/'2026-2027 means'!V$2</f>
        <v>0.38031256810941655</v>
      </c>
      <c r="AC195" s="7">
        <f>(M195-'2026-2027 means'!J$2)/'2026-2027 means'!W$2</f>
        <v>-1.2646017139658647</v>
      </c>
      <c r="AD195" s="7">
        <f>(N195-'2026-2027 means'!K$2)/'2026-2027 means'!X$2</f>
        <v>-1.222228414678435</v>
      </c>
      <c r="AE195" s="7">
        <f>(O195-'2026-2027 means'!L$2)/'2026-2027 means'!Y$2</f>
        <v>0.24646614774755957</v>
      </c>
      <c r="AF195" s="7">
        <f>IF(((P195 - '2026-2027 means'!M$2) / '2026-2027 means'!Z$2 * -1) &lt; -2, -2, (P195 - '2026-2027 means'!M$2) / '2026-2027 means'!Z$2 * -1)</f>
        <v>1.1541650900454252</v>
      </c>
      <c r="AG195">
        <f t="shared" si="68"/>
        <v>1</v>
      </c>
      <c r="AH195">
        <f t="shared" si="69"/>
        <v>5</v>
      </c>
      <c r="AI195" s="8">
        <f t="shared" si="70"/>
        <v>0.2</v>
      </c>
      <c r="AJ195" s="8" t="e" vm="1">
        <f t="shared" ca="1" si="71"/>
        <v>#NAME?</v>
      </c>
      <c r="AK195" s="8" t="str">
        <f t="shared" si="72"/>
        <v>, FT%, 3PM, PTS, AST, STL</v>
      </c>
      <c r="AL195" t="str">
        <f t="shared" si="73"/>
        <v/>
      </c>
      <c r="AM195" t="str">
        <f t="shared" si="74"/>
        <v>FG%, TO</v>
      </c>
      <c r="AN195" t="str">
        <f t="shared" si="75"/>
        <v>, TREB, BLK</v>
      </c>
      <c r="AO195" t="str">
        <f t="shared" si="76"/>
        <v>, FT%, 3PM, PTS, AST, STL</v>
      </c>
      <c r="AP195">
        <f>VLOOKUP(B195,'2025-2026 actuals'!B:Q,16,FALSE)</f>
        <v>93</v>
      </c>
      <c r="AQ195" s="7">
        <f t="shared" si="77"/>
        <v>-2.5148630881662575</v>
      </c>
      <c r="AR195">
        <f t="shared" si="78"/>
        <v>179</v>
      </c>
    </row>
    <row r="196" spans="1:44" ht="18">
      <c r="A196" s="3">
        <f t="shared" si="79"/>
        <v>190</v>
      </c>
      <c r="B196" s="41" t="s">
        <v>182</v>
      </c>
      <c r="C196" s="1">
        <f t="shared" si="80"/>
        <v>190</v>
      </c>
      <c r="D196" s="1" t="e">
        <f t="shared" si="64"/>
        <v>#N/A</v>
      </c>
      <c r="E196" s="1">
        <f>VLOOKUP(B196,'2026-2027 adp'!A:C,3,FALSE)</f>
        <v>140</v>
      </c>
      <c r="F196" s="1">
        <f t="shared" si="65"/>
        <v>-50</v>
      </c>
      <c r="G196" s="1"/>
      <c r="H196" s="22" t="s">
        <v>817</v>
      </c>
      <c r="I196" s="22" t="s">
        <v>818</v>
      </c>
      <c r="J196" s="42">
        <v>2.6</v>
      </c>
      <c r="K196" s="42">
        <v>10.7</v>
      </c>
      <c r="L196" s="42">
        <v>5</v>
      </c>
      <c r="M196" s="42">
        <v>3.2</v>
      </c>
      <c r="N196" s="42">
        <v>0.5</v>
      </c>
      <c r="O196" s="42">
        <v>0.2</v>
      </c>
      <c r="P196" s="42">
        <v>1.1000000000000001</v>
      </c>
      <c r="Q196" s="43">
        <v>-1.83</v>
      </c>
      <c r="R196" s="42">
        <v>3.7</v>
      </c>
      <c r="S196" s="42">
        <v>8.5</v>
      </c>
      <c r="T196">
        <f t="shared" si="66"/>
        <v>0.43529411764705883</v>
      </c>
      <c r="U196" s="42">
        <v>0.6</v>
      </c>
      <c r="V196" s="42">
        <v>0.8</v>
      </c>
      <c r="W196">
        <f t="shared" si="67"/>
        <v>0.74999999999999989</v>
      </c>
      <c r="X196" s="7">
        <f>IF(((T196 - '2026-2027 means'!E$2) / '2026-2027 means'!R$2) * (S196 / '2026-2027 means'!B$2) / 2 &lt; -2, -2, ((T196 - '2026-2027 means'!E$2) / '2026-2027 means'!R$2) * (S196 / '2026-2027 means'!B$2) / 2)</f>
        <v>-0.74142673886690458</v>
      </c>
      <c r="Y196" s="11">
        <f>IF(((W196 - '2026-2027 means'!F$2) / '2026-2027 means'!S$2) * (V196 / '2026-2027 means'!D$2) &lt; -2, -2, ((W196 - '2026-2027 means'!F$2) / '2026-2027 means'!S$2) * (V196 / '2026-2027 means'!D$2))</f>
        <v>-0.12491226347869817</v>
      </c>
      <c r="Z196" s="7">
        <f>(J196-'2026-2027 means'!G$2)/'2026-2027 means'!T$2</f>
        <v>0.98148860718033804</v>
      </c>
      <c r="AA196" s="7">
        <f>(K196-'2026-2027 means'!H$2)/'2026-2027 means'!U$2</f>
        <v>-0.98374354554153742</v>
      </c>
      <c r="AB196" s="7">
        <f>(L196-'2026-2027 means'!I$2)/'2026-2027 means'!V$2</f>
        <v>-0.28549321253287191</v>
      </c>
      <c r="AC196" s="7">
        <f>(M196-'2026-2027 means'!J$2)/'2026-2027 means'!W$2</f>
        <v>-0.23195924186698647</v>
      </c>
      <c r="AD196" s="7">
        <f>(N196-'2026-2027 means'!K$2)/'2026-2027 means'!X$2</f>
        <v>-1.5157384640814993</v>
      </c>
      <c r="AE196" s="7">
        <f>(O196-'2026-2027 means'!L$2)/'2026-2027 means'!Y$2</f>
        <v>-0.97172309070964324</v>
      </c>
      <c r="AF196" s="7">
        <f>IF(((P196 - '2026-2027 means'!M$2) / '2026-2027 means'!Z$2 * -1) &lt; -2, -2, (P196 - '2026-2027 means'!M$2) / '2026-2027 means'!Z$2 * -1)</f>
        <v>1.0177020411635838</v>
      </c>
      <c r="AG196">
        <f t="shared" si="68"/>
        <v>0</v>
      </c>
      <c r="AH196">
        <f t="shared" si="69"/>
        <v>5</v>
      </c>
      <c r="AI196" s="8">
        <f t="shared" si="70"/>
        <v>0</v>
      </c>
      <c r="AJ196" s="8" t="e" vm="1">
        <f t="shared" ca="1" si="71"/>
        <v>#NAME?</v>
      </c>
      <c r="AK196" s="8" t="str">
        <f t="shared" si="72"/>
        <v>FG%, FT%, PTS, TREB, AST, STL, BLK</v>
      </c>
      <c r="AL196" t="str">
        <f t="shared" si="73"/>
        <v/>
      </c>
      <c r="AM196" t="str">
        <f t="shared" si="74"/>
        <v>, TO</v>
      </c>
      <c r="AN196" t="str">
        <f t="shared" si="75"/>
        <v>, 3PM</v>
      </c>
      <c r="AO196" t="str">
        <f t="shared" si="76"/>
        <v>FG%, FT%, PTS, TREB, AST, STL, BLK</v>
      </c>
      <c r="AP196" t="e">
        <f>VLOOKUP(B196,'2025-2026 actuals'!B:Q,16,FALSE)</f>
        <v>#N/A</v>
      </c>
      <c r="AQ196" s="7">
        <f t="shared" si="77"/>
        <v>-2.8558059087342196</v>
      </c>
      <c r="AR196">
        <f t="shared" si="78"/>
        <v>190</v>
      </c>
    </row>
    <row r="197" spans="1:44" ht="18">
      <c r="A197" s="3">
        <f t="shared" si="79"/>
        <v>167</v>
      </c>
      <c r="B197" s="41" t="s">
        <v>327</v>
      </c>
      <c r="C197" s="1">
        <f t="shared" si="80"/>
        <v>167</v>
      </c>
      <c r="D197" s="1">
        <f t="shared" si="64"/>
        <v>175</v>
      </c>
      <c r="E197" s="1">
        <f>VLOOKUP(B197,'2026-2027 adp'!A:C,3,FALSE)</f>
        <v>140</v>
      </c>
      <c r="F197" s="1">
        <f t="shared" si="65"/>
        <v>-27</v>
      </c>
      <c r="G197" s="1"/>
      <c r="H197" s="22" t="s">
        <v>819</v>
      </c>
      <c r="I197" s="22" t="s">
        <v>820</v>
      </c>
      <c r="J197" s="42">
        <v>2.7</v>
      </c>
      <c r="K197" s="42">
        <v>10.8</v>
      </c>
      <c r="L197" s="42">
        <v>2.7</v>
      </c>
      <c r="M197" s="42">
        <v>2.2000000000000002</v>
      </c>
      <c r="N197" s="42">
        <v>0.8</v>
      </c>
      <c r="O197" s="42">
        <v>0.2</v>
      </c>
      <c r="P197" s="42">
        <v>0.7</v>
      </c>
      <c r="Q197" s="43">
        <v>-1.84</v>
      </c>
      <c r="R197" s="42">
        <v>3.7</v>
      </c>
      <c r="S197" s="42">
        <v>8.4</v>
      </c>
      <c r="T197">
        <f t="shared" si="66"/>
        <v>0.44047619047619047</v>
      </c>
      <c r="U197" s="42">
        <v>0.8</v>
      </c>
      <c r="V197" s="42">
        <v>0.9</v>
      </c>
      <c r="W197">
        <f t="shared" si="67"/>
        <v>0.88888888888888895</v>
      </c>
      <c r="X197" s="7">
        <f>IF(((T197 - '2026-2027 means'!E$2) / '2026-2027 means'!R$2) * (S197 / '2026-2027 means'!B$2) / 2 &lt; -2, -2, ((T197 - '2026-2027 means'!E$2) / '2026-2027 means'!R$2) * (S197 / '2026-2027 means'!B$2) / 2)</f>
        <v>-0.65256367934960813</v>
      </c>
      <c r="Y197" s="11">
        <f>IF(((W197 - '2026-2027 means'!F$2) / '2026-2027 means'!S$2) * (V197 / '2026-2027 means'!D$2) &lt; -2, -2, ((W197 - '2026-2027 means'!F$2) / '2026-2027 means'!S$2) * (V197 / '2026-2027 means'!D$2))</f>
        <v>0.29403447291036672</v>
      </c>
      <c r="Z197" s="7">
        <f>(J197-'2026-2027 means'!G$2)/'2026-2027 means'!T$2</f>
        <v>1.0867041858700703</v>
      </c>
      <c r="AA197" s="7">
        <f>(K197-'2026-2027 means'!H$2)/'2026-2027 means'!U$2</f>
        <v>-0.96481453418275398</v>
      </c>
      <c r="AB197" s="7">
        <f>(L197-'2026-2027 means'!I$2)/'2026-2027 means'!V$2</f>
        <v>-1.2425890222061617</v>
      </c>
      <c r="AC197" s="7">
        <f>(M197-'2026-2027 means'!J$2)/'2026-2027 means'!W$2</f>
        <v>-0.74828047791642549</v>
      </c>
      <c r="AD197" s="7">
        <f>(N197-'2026-2027 means'!K$2)/'2026-2027 means'!X$2</f>
        <v>-0.6352083158723062</v>
      </c>
      <c r="AE197" s="7">
        <f>(O197-'2026-2027 means'!L$2)/'2026-2027 means'!Y$2</f>
        <v>-0.97172309070964324</v>
      </c>
      <c r="AF197" s="7">
        <f>IF(((P197 - '2026-2027 means'!M$2) / '2026-2027 means'!Z$2 * -1) &lt; -2, -2, (P197 - '2026-2027 means'!M$2) / '2026-2027 means'!Z$2 * -1)</f>
        <v>1.5635542366909494</v>
      </c>
      <c r="AG197">
        <f t="shared" si="68"/>
        <v>1</v>
      </c>
      <c r="AH197">
        <f t="shared" si="69"/>
        <v>6</v>
      </c>
      <c r="AI197" s="8">
        <f t="shared" si="70"/>
        <v>0.16666666666666666</v>
      </c>
      <c r="AJ197" s="8" t="e" vm="1">
        <f t="shared" ca="1" si="71"/>
        <v>#NAME?</v>
      </c>
      <c r="AK197" s="8" t="str">
        <f t="shared" si="72"/>
        <v>FG%, PTS, TREB, AST, STL, BLK</v>
      </c>
      <c r="AL197" t="str">
        <f t="shared" si="73"/>
        <v/>
      </c>
      <c r="AM197" t="str">
        <f t="shared" si="74"/>
        <v>, 3PM, TO</v>
      </c>
      <c r="AN197" t="str">
        <f t="shared" si="75"/>
        <v>, FT%</v>
      </c>
      <c r="AO197" t="str">
        <f t="shared" si="76"/>
        <v>FG%, PTS, TREB, AST, STL, BLK</v>
      </c>
      <c r="AP197">
        <f>VLOOKUP(B197,'2025-2026 actuals'!B:Q,16,FALSE)</f>
        <v>175</v>
      </c>
      <c r="AQ197" s="7">
        <f t="shared" si="77"/>
        <v>-2.2708862247655119</v>
      </c>
      <c r="AR197">
        <f t="shared" si="78"/>
        <v>167</v>
      </c>
    </row>
    <row r="198" spans="1:44" ht="18">
      <c r="A198" s="3">
        <f t="shared" si="79"/>
        <v>199</v>
      </c>
      <c r="B198" s="41" t="s">
        <v>968</v>
      </c>
      <c r="C198" s="1">
        <f t="shared" si="80"/>
        <v>199</v>
      </c>
      <c r="D198" s="1" t="e">
        <f t="shared" si="64"/>
        <v>#N/A</v>
      </c>
      <c r="E198" s="1">
        <f>VLOOKUP(B198,'2026-2027 adp'!A:C,3,FALSE)</f>
        <v>117.1</v>
      </c>
      <c r="F198" s="1">
        <f t="shared" si="65"/>
        <v>-81.900000000000006</v>
      </c>
      <c r="G198" s="1"/>
      <c r="H198" s="22" t="s">
        <v>822</v>
      </c>
      <c r="I198" s="22" t="s">
        <v>823</v>
      </c>
      <c r="J198" s="42">
        <v>1.9</v>
      </c>
      <c r="K198" s="42">
        <v>13.5</v>
      </c>
      <c r="L198" s="42">
        <v>2.5</v>
      </c>
      <c r="M198" s="42">
        <v>3.5</v>
      </c>
      <c r="N198" s="42">
        <v>0.9</v>
      </c>
      <c r="O198" s="42">
        <v>0.1</v>
      </c>
      <c r="P198" s="42">
        <v>2.2999999999999998</v>
      </c>
      <c r="Q198" s="43">
        <v>-1.85</v>
      </c>
      <c r="R198" s="42">
        <v>4</v>
      </c>
      <c r="S198" s="42">
        <v>9.5</v>
      </c>
      <c r="T198">
        <f t="shared" si="66"/>
        <v>0.42105263157894735</v>
      </c>
      <c r="U198" s="42">
        <v>3.7</v>
      </c>
      <c r="V198" s="42">
        <v>4.3</v>
      </c>
      <c r="W198">
        <f t="shared" si="67"/>
        <v>0.86046511627906985</v>
      </c>
      <c r="X198" s="7">
        <f>IF(((T198 - '2026-2027 means'!E$2) / '2026-2027 means'!R$2) * (S198 / '2026-2027 means'!B$2) / 2 &lt; -2, -2, ((T198 - '2026-2027 means'!E$2) / '2026-2027 means'!R$2) * (S198 / '2026-2027 means'!B$2) / 2)</f>
        <v>-1.0777384161936576</v>
      </c>
      <c r="Y198" s="11">
        <f>IF(((W198 - '2026-2027 means'!F$2) / '2026-2027 means'!S$2) * (V198 / '2026-2027 means'!D$2) &lt; -2, -2, ((W198 - '2026-2027 means'!F$2) / '2026-2027 means'!S$2) * (V198 / '2026-2027 means'!D$2))</f>
        <v>0.97992750723282629</v>
      </c>
      <c r="Z198" s="7">
        <f>(J198-'2026-2027 means'!G$2)/'2026-2027 means'!T$2</f>
        <v>0.24497955635221194</v>
      </c>
      <c r="AA198" s="7">
        <f>(K198-'2026-2027 means'!H$2)/'2026-2027 means'!U$2</f>
        <v>-0.45373122749560785</v>
      </c>
      <c r="AB198" s="7">
        <f>(L198-'2026-2027 means'!I$2)/'2026-2027 means'!V$2</f>
        <v>-1.3258147447864479</v>
      </c>
      <c r="AC198" s="7">
        <f>(M198-'2026-2027 means'!J$2)/'2026-2027 means'!W$2</f>
        <v>-7.7062871052154841E-2</v>
      </c>
      <c r="AD198" s="7">
        <f>(N198-'2026-2027 means'!K$2)/'2026-2027 means'!X$2</f>
        <v>-0.34169826646924195</v>
      </c>
      <c r="AE198" s="7">
        <f>(O198-'2026-2027 means'!L$2)/'2026-2027 means'!Y$2</f>
        <v>-1.1747546304525105</v>
      </c>
      <c r="AF198" s="7">
        <f>IF(((P198 - '2026-2027 means'!M$2) / '2026-2027 means'!Z$2 * -1) &lt; -2, -2, (P198 - '2026-2027 means'!M$2) / '2026-2027 means'!Z$2 * -1)</f>
        <v>-0.61985454541851226</v>
      </c>
      <c r="AG198">
        <f t="shared" si="68"/>
        <v>0</v>
      </c>
      <c r="AH198">
        <f t="shared" si="69"/>
        <v>5</v>
      </c>
      <c r="AI198" s="8">
        <f t="shared" si="70"/>
        <v>0</v>
      </c>
      <c r="AJ198" s="8" t="e" vm="1">
        <f t="shared" ca="1" si="71"/>
        <v>#NAME?</v>
      </c>
      <c r="AK198" s="8" t="str">
        <f t="shared" si="72"/>
        <v>FG%, PTS, TREB, AST, STL, BLK, TO</v>
      </c>
      <c r="AL198" t="str">
        <f t="shared" si="73"/>
        <v/>
      </c>
      <c r="AM198" t="str">
        <f t="shared" si="74"/>
        <v/>
      </c>
      <c r="AN198" t="str">
        <f t="shared" si="75"/>
        <v>, FT%, 3PM</v>
      </c>
      <c r="AO198" t="str">
        <f t="shared" si="76"/>
        <v>FG%, PTS, TREB, AST, STL, BLK, TO</v>
      </c>
      <c r="AP198" t="e">
        <f>VLOOKUP(B198,'2025-2026 actuals'!B:Q,16,FALSE)</f>
        <v>#N/A</v>
      </c>
      <c r="AQ198" s="7">
        <f t="shared" si="77"/>
        <v>-3.8457476382830951</v>
      </c>
      <c r="AR198">
        <f t="shared" si="78"/>
        <v>199</v>
      </c>
    </row>
    <row r="199" spans="1:44" ht="18">
      <c r="A199" s="3">
        <f t="shared" si="79"/>
        <v>197</v>
      </c>
      <c r="B199" s="41" t="s">
        <v>969</v>
      </c>
      <c r="C199" s="1">
        <f t="shared" si="80"/>
        <v>197</v>
      </c>
      <c r="D199" s="1" t="e">
        <f t="shared" si="64"/>
        <v>#N/A</v>
      </c>
      <c r="E199" s="1">
        <f>VLOOKUP(B199,'2026-2027 adp'!A:C,3,FALSE)</f>
        <v>108.5</v>
      </c>
      <c r="F199" s="1">
        <f t="shared" si="65"/>
        <v>-88.5</v>
      </c>
      <c r="G199" s="1"/>
      <c r="H199" s="22" t="s">
        <v>824</v>
      </c>
      <c r="I199" s="22" t="s">
        <v>825</v>
      </c>
      <c r="J199" s="42">
        <v>1.6</v>
      </c>
      <c r="K199" s="42">
        <v>14.5</v>
      </c>
      <c r="L199" s="42">
        <v>1.9</v>
      </c>
      <c r="M199" s="42">
        <v>5</v>
      </c>
      <c r="N199" s="42">
        <v>0.6</v>
      </c>
      <c r="O199" s="42">
        <v>0.2</v>
      </c>
      <c r="P199" s="42">
        <v>1.4</v>
      </c>
      <c r="Q199" s="43">
        <v>-1.86</v>
      </c>
      <c r="R199" s="42">
        <v>5</v>
      </c>
      <c r="S199" s="42">
        <v>10.9</v>
      </c>
      <c r="T199">
        <f t="shared" si="66"/>
        <v>0.4587155963302752</v>
      </c>
      <c r="U199" s="42">
        <v>3</v>
      </c>
      <c r="V199" s="42">
        <v>3.8</v>
      </c>
      <c r="W199">
        <f t="shared" si="67"/>
        <v>0.78947368421052633</v>
      </c>
      <c r="X199" s="7">
        <f>IF(((T199 - '2026-2027 means'!E$2) / '2026-2027 means'!R$2) * (S199 / '2026-2027 means'!B$2) / 2 &lt; -2, -2, ((T199 - '2026-2027 means'!E$2) / '2026-2027 means'!R$2) * (S199 / '2026-2027 means'!B$2) / 2)</f>
        <v>-0.4807581899484285</v>
      </c>
      <c r="Y199" s="11">
        <f>IF(((W199 - '2026-2027 means'!F$2) / '2026-2027 means'!S$2) * (V199 / '2026-2027 means'!D$2) &lt; -2, -2, ((W199 - '2026-2027 means'!F$2) / '2026-2027 means'!S$2) * (V199 / '2026-2027 means'!D$2))</f>
        <v>-7.1860328335132742E-2</v>
      </c>
      <c r="Z199" s="7">
        <f>(J199-'2026-2027 means'!G$2)/'2026-2027 means'!T$2</f>
        <v>-7.066717971698469E-2</v>
      </c>
      <c r="AA199" s="7">
        <f>(K199-'2026-2027 means'!H$2)/'2026-2027 means'!U$2</f>
        <v>-0.26444111390777592</v>
      </c>
      <c r="AB199" s="7">
        <f>(L199-'2026-2027 means'!I$2)/'2026-2027 means'!V$2</f>
        <v>-1.5754919125273061</v>
      </c>
      <c r="AC199" s="7">
        <f>(M199-'2026-2027 means'!J$2)/'2026-2027 means'!W$2</f>
        <v>0.69741898302200378</v>
      </c>
      <c r="AD199" s="7">
        <f>(N199-'2026-2027 means'!K$2)/'2026-2027 means'!X$2</f>
        <v>-1.222228414678435</v>
      </c>
      <c r="AE199" s="7">
        <f>(O199-'2026-2027 means'!L$2)/'2026-2027 means'!Y$2</f>
        <v>-0.97172309070964324</v>
      </c>
      <c r="AF199" s="7">
        <f>IF(((P199 - '2026-2027 means'!M$2) / '2026-2027 means'!Z$2 * -1) &lt; -2, -2, (P199 - '2026-2027 means'!M$2) / '2026-2027 means'!Z$2 * -1)</f>
        <v>0.60831289451805992</v>
      </c>
      <c r="AG199">
        <f t="shared" si="68"/>
        <v>0</v>
      </c>
      <c r="AH199">
        <f t="shared" si="69"/>
        <v>5</v>
      </c>
      <c r="AI199" s="8">
        <f t="shared" si="70"/>
        <v>0</v>
      </c>
      <c r="AJ199" s="8" t="e" vm="1">
        <f t="shared" ca="1" si="71"/>
        <v>#NAME?</v>
      </c>
      <c r="AK199" s="8" t="str">
        <f t="shared" si="72"/>
        <v>FG%, FT%, 3PM, PTS, TREB, STL, BLK</v>
      </c>
      <c r="AL199" t="str">
        <f t="shared" si="73"/>
        <v/>
      </c>
      <c r="AM199" t="str">
        <f t="shared" si="74"/>
        <v/>
      </c>
      <c r="AN199" t="str">
        <f t="shared" si="75"/>
        <v>, AST, TO</v>
      </c>
      <c r="AO199" t="str">
        <f t="shared" si="76"/>
        <v>FG%, FT%, 3PM, PTS, TREB, STL, BLK</v>
      </c>
      <c r="AP199" t="e">
        <f>VLOOKUP(B199,'2025-2026 actuals'!B:Q,16,FALSE)</f>
        <v>#N/A</v>
      </c>
      <c r="AQ199" s="7">
        <f t="shared" si="77"/>
        <v>-3.3514383522836426</v>
      </c>
      <c r="AR199">
        <f t="shared" si="78"/>
        <v>197</v>
      </c>
    </row>
    <row r="200" spans="1:44" ht="18">
      <c r="A200" s="3">
        <f t="shared" si="79"/>
        <v>170</v>
      </c>
      <c r="B200" s="41" t="s">
        <v>305</v>
      </c>
      <c r="C200" s="1">
        <f t="shared" si="80"/>
        <v>170</v>
      </c>
      <c r="D200" s="1">
        <f t="shared" si="64"/>
        <v>169</v>
      </c>
      <c r="E200" s="1">
        <f>VLOOKUP(B200,'2026-2027 adp'!A:C,3,FALSE)</f>
        <v>140</v>
      </c>
      <c r="F200" s="1">
        <f t="shared" si="65"/>
        <v>-30</v>
      </c>
      <c r="G200" s="1"/>
      <c r="H200" s="22" t="s">
        <v>826</v>
      </c>
      <c r="I200" s="22" t="s">
        <v>827</v>
      </c>
      <c r="J200" s="42">
        <v>1.1000000000000001</v>
      </c>
      <c r="K200" s="42">
        <v>10.4</v>
      </c>
      <c r="L200" s="42">
        <v>3.5</v>
      </c>
      <c r="M200" s="42">
        <v>1</v>
      </c>
      <c r="N200" s="42">
        <v>1</v>
      </c>
      <c r="O200" s="42">
        <v>0.7</v>
      </c>
      <c r="P200" s="42">
        <v>0.9</v>
      </c>
      <c r="Q200" s="43">
        <v>-1.89</v>
      </c>
      <c r="R200" s="42">
        <v>4</v>
      </c>
      <c r="S200" s="42">
        <v>7.8</v>
      </c>
      <c r="T200">
        <f t="shared" si="66"/>
        <v>0.51282051282051289</v>
      </c>
      <c r="U200" s="42">
        <v>1.3</v>
      </c>
      <c r="V200" s="42">
        <v>1.7</v>
      </c>
      <c r="W200">
        <f t="shared" si="67"/>
        <v>0.76470588235294124</v>
      </c>
      <c r="X200" s="7">
        <f>IF(((T200 - '2026-2027 means'!E$2) / '2026-2027 means'!R$2) * (S200 / '2026-2027 means'!B$2) / 2 &lt; -2, -2, ((T200 - '2026-2027 means'!E$2) / '2026-2027 means'!R$2) * (S200 / '2026-2027 means'!B$2) / 2)</f>
        <v>0.43293359560038924</v>
      </c>
      <c r="Y200" s="11">
        <f>IF(((W200 - '2026-2027 means'!F$2) / '2026-2027 means'!S$2) * (V200 / '2026-2027 means'!D$2) &lt; -2, -2, ((W200 - '2026-2027 means'!F$2) / '2026-2027 means'!S$2) * (V200 / '2026-2027 means'!D$2))</f>
        <v>-0.17852640602745226</v>
      </c>
      <c r="Z200" s="7">
        <f>(J200-'2026-2027 means'!G$2)/'2026-2027 means'!T$2</f>
        <v>-0.59674507316564607</v>
      </c>
      <c r="AA200" s="7">
        <f>(K200-'2026-2027 means'!H$2)/'2026-2027 means'!U$2</f>
        <v>-1.0405305796178868</v>
      </c>
      <c r="AB200" s="7">
        <f>(L200-'2026-2027 means'!I$2)/'2026-2027 means'!V$2</f>
        <v>-0.90968613188501746</v>
      </c>
      <c r="AC200" s="7">
        <f>(M200-'2026-2027 means'!J$2)/'2026-2027 means'!W$2</f>
        <v>-1.3678659611757524</v>
      </c>
      <c r="AD200" s="7">
        <f>(N200-'2026-2027 means'!K$2)/'2026-2027 means'!X$2</f>
        <v>-4.818821706617768E-2</v>
      </c>
      <c r="AE200" s="7">
        <f>(O200-'2026-2027 means'!L$2)/'2026-2027 means'!Y$2</f>
        <v>4.3434608004692253E-2</v>
      </c>
      <c r="AF200" s="7">
        <f>IF(((P200 - '2026-2027 means'!M$2) / '2026-2027 means'!Z$2 * -1) &lt; -2, -2, (P200 - '2026-2027 means'!M$2) / '2026-2027 means'!Z$2 * -1)</f>
        <v>1.2906281389272667</v>
      </c>
      <c r="AG200">
        <f t="shared" si="68"/>
        <v>0</v>
      </c>
      <c r="AH200">
        <f t="shared" si="69"/>
        <v>4</v>
      </c>
      <c r="AI200" s="8">
        <f t="shared" si="70"/>
        <v>0</v>
      </c>
      <c r="AJ200" s="8" t="e" vm="1">
        <f t="shared" ca="1" si="71"/>
        <v>#NAME?</v>
      </c>
      <c r="AK200" s="8" t="str">
        <f t="shared" si="72"/>
        <v>, FT%, 3PM, PTS, TREB, AST, STL</v>
      </c>
      <c r="AL200" t="str">
        <f t="shared" si="73"/>
        <v/>
      </c>
      <c r="AM200" t="str">
        <f t="shared" si="74"/>
        <v>, TO</v>
      </c>
      <c r="AN200" t="str">
        <f t="shared" si="75"/>
        <v>FG%, BLK</v>
      </c>
      <c r="AO200" t="str">
        <f t="shared" si="76"/>
        <v>, FT%, 3PM, PTS, TREB, AST, STL</v>
      </c>
      <c r="AP200">
        <f>VLOOKUP(B200,'2025-2026 actuals'!B:Q,16,FALSE)</f>
        <v>169</v>
      </c>
      <c r="AQ200" s="7">
        <f t="shared" si="77"/>
        <v>-2.374546026405584</v>
      </c>
      <c r="AR200">
        <f t="shared" si="78"/>
        <v>170</v>
      </c>
    </row>
    <row r="201" spans="1:44" ht="18">
      <c r="A201" s="3">
        <f t="shared" si="79"/>
        <v>200</v>
      </c>
      <c r="B201" s="41" t="s">
        <v>243</v>
      </c>
      <c r="C201" s="1">
        <f t="shared" si="80"/>
        <v>200</v>
      </c>
      <c r="D201" s="1">
        <f t="shared" si="64"/>
        <v>185</v>
      </c>
      <c r="E201" s="1">
        <f>VLOOKUP(B201,'2026-2027 adp'!A:C,3,FALSE)</f>
        <v>140</v>
      </c>
      <c r="F201" s="1">
        <f t="shared" si="65"/>
        <v>-60</v>
      </c>
      <c r="G201" s="1"/>
      <c r="H201" s="22" t="s">
        <v>828</v>
      </c>
      <c r="I201" s="22" t="s">
        <v>829</v>
      </c>
      <c r="J201" s="42">
        <v>1.7</v>
      </c>
      <c r="K201" s="42">
        <v>13.3</v>
      </c>
      <c r="L201" s="42">
        <v>2.9</v>
      </c>
      <c r="M201" s="42">
        <v>4.7</v>
      </c>
      <c r="N201" s="42">
        <v>1</v>
      </c>
      <c r="O201" s="42">
        <v>0.2</v>
      </c>
      <c r="P201" s="42">
        <v>2.6</v>
      </c>
      <c r="Q201" s="43">
        <v>-2</v>
      </c>
      <c r="R201" s="42">
        <v>4.5</v>
      </c>
      <c r="S201" s="42">
        <v>10.8</v>
      </c>
      <c r="T201">
        <f t="shared" si="66"/>
        <v>0.41666666666666663</v>
      </c>
      <c r="U201" s="42">
        <v>2.5</v>
      </c>
      <c r="V201" s="42">
        <v>3.2</v>
      </c>
      <c r="W201">
        <f t="shared" si="67"/>
        <v>0.78125</v>
      </c>
      <c r="X201" s="7">
        <f>IF(((T201 - '2026-2027 means'!E$2) / '2026-2027 means'!R$2) * (S201 / '2026-2027 means'!B$2) / 2 &lt; -2, -2, ((T201 - '2026-2027 means'!E$2) / '2026-2027 means'!R$2) * (S201 / '2026-2027 means'!B$2) / 2)</f>
        <v>-1.3124266601748242</v>
      </c>
      <c r="Y201" s="11">
        <f>IF(((W201 - '2026-2027 means'!F$2) / '2026-2027 means'!S$2) * (V201 / '2026-2027 means'!D$2) &lt; -2, -2, ((W201 - '2026-2027 means'!F$2) / '2026-2027 means'!S$2) * (V201 / '2026-2027 means'!D$2))</f>
        <v>-0.15200043845567016</v>
      </c>
      <c r="Z201" s="7">
        <f>(J201-'2026-2027 means'!G$2)/'2026-2027 means'!T$2</f>
        <v>3.4548398972747453E-2</v>
      </c>
      <c r="AA201" s="7">
        <f>(K201-'2026-2027 means'!H$2)/'2026-2027 means'!U$2</f>
        <v>-0.49158925021317412</v>
      </c>
      <c r="AB201" s="7">
        <f>(L201-'2026-2027 means'!I$2)/'2026-2027 means'!V$2</f>
        <v>-1.1593632996258758</v>
      </c>
      <c r="AC201" s="7">
        <f>(M201-'2026-2027 means'!J$2)/'2026-2027 means'!W$2</f>
        <v>0.54252261220717213</v>
      </c>
      <c r="AD201" s="7">
        <f>(N201-'2026-2027 means'!K$2)/'2026-2027 means'!X$2</f>
        <v>-4.818821706617768E-2</v>
      </c>
      <c r="AE201" s="7">
        <f>(O201-'2026-2027 means'!L$2)/'2026-2027 means'!Y$2</f>
        <v>-0.97172309070964324</v>
      </c>
      <c r="AF201" s="7">
        <f>IF(((P201 - '2026-2027 means'!M$2) / '2026-2027 means'!Z$2 * -1) &lt; -2, -2, (P201 - '2026-2027 means'!M$2) / '2026-2027 means'!Z$2 * -1)</f>
        <v>-1.0292436920640367</v>
      </c>
      <c r="AG201">
        <f t="shared" si="68"/>
        <v>0</v>
      </c>
      <c r="AH201">
        <f t="shared" si="69"/>
        <v>4</v>
      </c>
      <c r="AI201" s="8">
        <f t="shared" si="70"/>
        <v>0</v>
      </c>
      <c r="AJ201" s="8" t="e" vm="1">
        <f t="shared" ca="1" si="71"/>
        <v>#NAME?</v>
      </c>
      <c r="AK201" s="8" t="str">
        <f t="shared" si="72"/>
        <v>FG%, FT%, PTS, TREB, STL, BLK, TO</v>
      </c>
      <c r="AL201" t="str">
        <f t="shared" si="73"/>
        <v/>
      </c>
      <c r="AM201" t="str">
        <f t="shared" si="74"/>
        <v/>
      </c>
      <c r="AN201" t="str">
        <f t="shared" si="75"/>
        <v>, 3PM, AST</v>
      </c>
      <c r="AO201" t="str">
        <f t="shared" si="76"/>
        <v>FG%, FT%, PTS, TREB, STL, BLK, TO</v>
      </c>
      <c r="AP201">
        <f>VLOOKUP(B201,'2025-2026 actuals'!B:Q,16,FALSE)</f>
        <v>185</v>
      </c>
      <c r="AQ201" s="7">
        <f t="shared" si="77"/>
        <v>-4.5874636371294821</v>
      </c>
      <c r="AR201">
        <f t="shared" si="78"/>
        <v>200</v>
      </c>
    </row>
    <row r="202" spans="1:44" ht="18">
      <c r="B202" s="1" t="s">
        <v>279</v>
      </c>
      <c r="C202" s="22"/>
      <c r="D202" s="22" t="s">
        <v>71</v>
      </c>
      <c r="E202" s="22"/>
      <c r="F202" s="22"/>
      <c r="G202" s="22" t="s">
        <v>942</v>
      </c>
      <c r="H202" s="22" t="s">
        <v>943</v>
      </c>
      <c r="I202" s="22">
        <v>1.9</v>
      </c>
      <c r="J202" s="22">
        <v>2.4</v>
      </c>
      <c r="K202" s="22">
        <v>12</v>
      </c>
      <c r="L202" s="22">
        <v>2.8</v>
      </c>
      <c r="M202" s="22">
        <v>4</v>
      </c>
      <c r="N202" s="22">
        <v>1.3</v>
      </c>
      <c r="O202" s="22">
        <v>0.9</v>
      </c>
      <c r="P202" s="22">
        <v>1.3</v>
      </c>
      <c r="R202" s="22">
        <v>3.7</v>
      </c>
      <c r="S202" s="22">
        <v>8.8000000000000007</v>
      </c>
      <c r="T202">
        <f t="shared" si="66"/>
        <v>0.42045454545454541</v>
      </c>
      <c r="U202" s="22">
        <v>1.2</v>
      </c>
      <c r="V202" s="22">
        <v>1.4</v>
      </c>
      <c r="W202">
        <v>0.82099999999999995</v>
      </c>
      <c r="X202" s="7">
        <f>IF(((T202 - '2026-2027 means'!E$2) / '2026-2027 means'!R$2) * (S202 / '2026-2027 means'!B$2) / 2 &lt; -2, -2, ((T202 - '2026-2027 means'!E$2) / '2026-2027 means'!R$2) * (S202 / '2026-2027 means'!B$2) / 2)</f>
        <v>-1.0080159174187959</v>
      </c>
      <c r="Y202" s="11">
        <f>IF(((W202 - '2026-2027 means'!F$2) / '2026-2027 means'!S$2) * (V202 / '2026-2027 means'!D$2) &lt; -2, -2, ((W202 - '2026-2027 means'!F$2) / '2026-2027 means'!S$2) * (V202 / '2026-2027 means'!D$2))</f>
        <v>0.12696626267864505</v>
      </c>
      <c r="Z202" s="7">
        <f>(J202-'2026-2027 means'!G$2)/'2026-2027 means'!T$2</f>
        <v>0.77105744980087332</v>
      </c>
      <c r="AA202" s="7">
        <f>(K202-'2026-2027 means'!H$2)/'2026-2027 means'!U$2</f>
        <v>-0.73766639787735577</v>
      </c>
      <c r="AB202" s="7">
        <f>(L202-'2026-2027 means'!I$2)/'2026-2027 means'!V$2</f>
        <v>-1.2009761609160188</v>
      </c>
      <c r="AC202" s="7">
        <f>(M202-'2026-2027 means'!J$2)/'2026-2027 means'!W$2</f>
        <v>0.18109774697256467</v>
      </c>
      <c r="AD202" s="7">
        <f>(N202-'2026-2027 means'!K$2)/'2026-2027 means'!X$2</f>
        <v>0.83234193114301547</v>
      </c>
      <c r="AE202" s="7">
        <f>(O202-'2026-2027 means'!L$2)/'2026-2027 means'!Y$2</f>
        <v>0.44949768749042662</v>
      </c>
      <c r="AF202" s="7">
        <f>IF(((P202 - '2026-2027 means'!M$2) / '2026-2027 means'!Z$2 * -1) &lt; -2, -2, (P202 - '2026-2027 means'!M$2) / '2026-2027 means'!Z$2 * -1)</f>
        <v>0.74477594339990116</v>
      </c>
    </row>
  </sheetData>
  <autoFilter ref="A1:AP201" xr:uid="{E7AD445E-E6D1-1A46-824C-B0269E0CC0AE}">
    <filterColumn colId="4">
      <customFilters and="1">
        <customFilter operator="lessThanOrEqual" val="145"/>
        <customFilter operator="notEqual" val="0"/>
      </customFilters>
    </filterColumn>
    <sortState xmlns:xlrd2="http://schemas.microsoft.com/office/spreadsheetml/2017/richdata2" ref="A14:AP201">
      <sortCondition ref="E1:E201"/>
    </sortState>
  </autoFilter>
  <conditionalFormatting sqref="AG2:AO2 X2:AF20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:AG20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{FFB59ECC-02AC-B948-B422-83525F9B2EEC}</x14:id>
        </ext>
      </extLst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AH3:AH201">
    <cfRule type="colorScale" priority="5">
      <colorScale>
        <cfvo type="min"/>
        <cfvo type="max"/>
        <color rgb="FFFCFCFF"/>
        <color rgb="FFF8696B"/>
      </colorScale>
    </cfRule>
  </conditionalFormatting>
  <conditionalFormatting sqref="AI3:AK20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{6665A148-E61E-884A-BA8D-A3D557F8F094}</x14:id>
        </ext>
      </extLst>
    </cfRule>
  </conditionalFormatting>
  <hyperlinks>
    <hyperlink ref="X1" r:id="rId1" display="javascript:__doPostBack('ctl00$ContentPlaceHolder1$GridView1','Sort$fgp')" xr:uid="{7FEDF898-3CB2-3844-B46C-008A6CDC2B9B}"/>
    <hyperlink ref="Y1" r:id="rId2" display="javascript:__doPostBack('ctl00$ContentPlaceHolder1$GridView1','Sort$ftp')" xr:uid="{35A68571-881A-334E-AFAD-30137C675C58}"/>
    <hyperlink ref="Z1" r:id="rId3" display="javascript:__doPostBack('ctl00$ContentPlaceHolder1$GridView1','Sort$tgm')" xr:uid="{2F38B4AF-17C0-FD4D-92EB-BE19F4A854D8}"/>
    <hyperlink ref="AA1" r:id="rId4" display="javascript:__doPostBack('ctl00$ContentPlaceHolder1$GridView1','Sort$pts')" xr:uid="{E911BAA0-6466-DD4E-A488-845275DC312F}"/>
    <hyperlink ref="AB1" r:id="rId5" display="javascript:__doPostBack('ctl00$ContentPlaceHolder1$GridView1','Sort$reb')" xr:uid="{B1299026-53BF-9442-8EF4-023112B2DC70}"/>
    <hyperlink ref="AC1" r:id="rId6" display="javascript:__doPostBack('ctl00$ContentPlaceHolder1$GridView1','Sort$ast')" xr:uid="{2E119A9E-69CD-AF4C-A4D9-2262D08EAAEE}"/>
    <hyperlink ref="AD1" r:id="rId7" display="javascript:__doPostBack('ctl00$ContentPlaceHolder1$GridView1','Sort$stl')" xr:uid="{F979C458-A2C7-7B4C-A89C-B34BFF61701D}"/>
    <hyperlink ref="AE1" r:id="rId8" display="javascript:__doPostBack('ctl00$ContentPlaceHolder1$GridView1','Sort$blk')" xr:uid="{757CFF56-71AB-FD4F-9D92-A6E4D75322EC}"/>
    <hyperlink ref="AF1" r:id="rId9" display="javascript:__doPostBack('ctl00$ContentPlaceHolder1$GridView1','Sort$tur')" xr:uid="{04135972-BFDB-8647-823D-A54936CE4235}"/>
    <hyperlink ref="B202" r:id="rId10" display="https://hashtagbasketball.com/120004/player" xr:uid="{5487BA56-40FF-8A49-8F43-B3A78055CF93}"/>
    <hyperlink ref="B1" r:id="rId11" display="javascript:__doPostBack('ctl00$ContentPlaceHolder1$GridView1','Sort$NAME')" xr:uid="{9A2A49FE-F49F-DD4B-B3D0-A97E1B89D7A5}"/>
    <hyperlink ref="Q1" r:id="rId12" display="javascript:__doPostBack('ctl00$ContentPlaceHolder1$GridView1','Sort$totalz')" xr:uid="{308EFBC6-178A-5843-8AFE-B9A1C98FB21F}"/>
    <hyperlink ref="P1" r:id="rId13" display="javascript:__doPostBack('ctl00$ContentPlaceHolder1$GridView1','Sort$tur')" xr:uid="{7FF9D106-5C1A-3D4C-A6A0-6CC3602843C6}"/>
    <hyperlink ref="O1" r:id="rId14" display="javascript:__doPostBack('ctl00$ContentPlaceHolder1$GridView1','Sort$blk')" xr:uid="{9403BAF3-6588-E94E-A3C4-BB6EE51FE67A}"/>
    <hyperlink ref="N1" r:id="rId15" display="javascript:__doPostBack('ctl00$ContentPlaceHolder1$GridView1','Sort$stl')" xr:uid="{DF8D8644-DF7E-DD4F-9435-26B77CD33256}"/>
    <hyperlink ref="M1" r:id="rId16" display="javascript:__doPostBack('ctl00$ContentPlaceHolder1$GridView1','Sort$ast')" xr:uid="{2072512E-DBA7-C94E-A71B-C443366DD365}"/>
    <hyperlink ref="L1" r:id="rId17" display="javascript:__doPostBack('ctl00$ContentPlaceHolder1$GridView1','Sort$reb')" xr:uid="{20EBDA48-1AD6-4A45-82F2-C476BE0C3DE7}"/>
    <hyperlink ref="K1" r:id="rId18" display="javascript:__doPostBack('ctl00$ContentPlaceHolder1$GridView1','Sort$pts')" xr:uid="{E7467CE4-BF00-DC42-A1FF-4B91786D711B}"/>
    <hyperlink ref="J1" r:id="rId19" display="javascript:__doPostBack('ctl00$ContentPlaceHolder1$GridView1','Sort$tgm')" xr:uid="{7F394826-8253-F94E-B39B-0874841A9BD3}"/>
    <hyperlink ref="I1" r:id="rId20" display="javascript:__doPostBack('ctl00$ContentPlaceHolder1$GridView1','Sort$ftp')" xr:uid="{242E7268-CCAF-A34D-9D47-96979C80DA81}"/>
    <hyperlink ref="H1" r:id="rId21" display="javascript:__doPostBack('ctl00$ContentPlaceHolder1$GridView1','Sort$fgp')" xr:uid="{3F9AFE4A-8DA0-1B4E-99CA-430CC0E1AC15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B59ECC-02AC-B948-B422-83525F9B2E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AG3:AG201</xm:sqref>
        </x14:conditionalFormatting>
        <x14:conditionalFormatting xmlns:xm="http://schemas.microsoft.com/office/excel/2006/main">
          <x14:cfRule type="dataBar" id="{6665A148-E61E-884A-BA8D-A3D557F8F0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AI3:AK201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E8B4-96C3-5A41-9B48-1EFCC82C1ECA}">
  <dimension ref="A1:Q201"/>
  <sheetViews>
    <sheetView topLeftCell="A18" workbookViewId="0">
      <selection activeCell="A26" sqref="A26:A201"/>
    </sheetView>
  </sheetViews>
  <sheetFormatPr baseColWidth="10" defaultRowHeight="16"/>
  <sheetData>
    <row r="1" spans="1:17">
      <c r="A1" s="4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242</v>
      </c>
    </row>
    <row r="2" spans="1:17">
      <c r="A2" s="44">
        <v>1</v>
      </c>
      <c r="B2" s="1" t="s">
        <v>19</v>
      </c>
      <c r="C2" s="44" t="s">
        <v>17</v>
      </c>
      <c r="D2" s="44" t="s">
        <v>20</v>
      </c>
      <c r="E2" s="44">
        <v>65</v>
      </c>
      <c r="F2" s="44">
        <v>34.9</v>
      </c>
      <c r="G2" s="44" t="s">
        <v>1043</v>
      </c>
      <c r="H2" s="44" t="s">
        <v>1044</v>
      </c>
      <c r="I2" s="44">
        <v>1.7</v>
      </c>
      <c r="J2" s="44">
        <v>27.7</v>
      </c>
      <c r="K2" s="44">
        <v>12.9</v>
      </c>
      <c r="L2" s="44">
        <v>10.7</v>
      </c>
      <c r="M2" s="44">
        <v>1.4</v>
      </c>
      <c r="N2" s="44">
        <v>0.8</v>
      </c>
      <c r="O2" s="44">
        <v>3.7</v>
      </c>
      <c r="P2" s="44">
        <v>16.28</v>
      </c>
      <c r="Q2">
        <f>A2</f>
        <v>1</v>
      </c>
    </row>
    <row r="3" spans="1:17">
      <c r="A3" s="44">
        <v>2</v>
      </c>
      <c r="B3" s="1" t="s">
        <v>30</v>
      </c>
      <c r="C3" s="44" t="s">
        <v>25</v>
      </c>
      <c r="D3" s="44" t="s">
        <v>31</v>
      </c>
      <c r="E3" s="44">
        <v>64</v>
      </c>
      <c r="F3" s="44">
        <v>29.2</v>
      </c>
      <c r="G3" s="44" t="s">
        <v>1045</v>
      </c>
      <c r="H3" s="44" t="s">
        <v>1046</v>
      </c>
      <c r="I3" s="44">
        <v>1.9</v>
      </c>
      <c r="J3" s="44">
        <v>25</v>
      </c>
      <c r="K3" s="44">
        <v>11.5</v>
      </c>
      <c r="L3" s="44">
        <v>3.1</v>
      </c>
      <c r="M3" s="44">
        <v>1</v>
      </c>
      <c r="N3" s="44">
        <v>3.1</v>
      </c>
      <c r="O3" s="44">
        <v>2.4</v>
      </c>
      <c r="P3" s="44">
        <v>14.22</v>
      </c>
      <c r="Q3">
        <f t="shared" ref="Q3:Q61" si="0">A3</f>
        <v>2</v>
      </c>
    </row>
    <row r="4" spans="1:17">
      <c r="A4" s="44">
        <v>3</v>
      </c>
      <c r="B4" s="1" t="s">
        <v>21</v>
      </c>
      <c r="C4" s="44" t="s">
        <v>28</v>
      </c>
      <c r="D4" s="44" t="s">
        <v>23</v>
      </c>
      <c r="E4" s="44">
        <v>68</v>
      </c>
      <c r="F4" s="44">
        <v>33.200000000000003</v>
      </c>
      <c r="G4" s="44" t="s">
        <v>1047</v>
      </c>
      <c r="H4" s="44" t="s">
        <v>1048</v>
      </c>
      <c r="I4" s="44">
        <v>1.7</v>
      </c>
      <c r="J4" s="44">
        <v>31.1</v>
      </c>
      <c r="K4" s="44">
        <v>4.3</v>
      </c>
      <c r="L4" s="44">
        <v>6.6</v>
      </c>
      <c r="M4" s="44">
        <v>1.4</v>
      </c>
      <c r="N4" s="44">
        <v>0.8</v>
      </c>
      <c r="O4" s="44">
        <v>2.2000000000000002</v>
      </c>
      <c r="P4" s="44">
        <v>13.45</v>
      </c>
      <c r="Q4">
        <f t="shared" si="0"/>
        <v>3</v>
      </c>
    </row>
    <row r="5" spans="1:17">
      <c r="A5" s="44">
        <v>4</v>
      </c>
      <c r="B5" s="1" t="s">
        <v>69</v>
      </c>
      <c r="C5" s="44" t="s">
        <v>28</v>
      </c>
      <c r="D5" s="44" t="s">
        <v>18</v>
      </c>
      <c r="E5" s="44">
        <v>70</v>
      </c>
      <c r="F5" s="44">
        <v>38</v>
      </c>
      <c r="G5" s="44" t="s">
        <v>1049</v>
      </c>
      <c r="H5" s="44" t="s">
        <v>1050</v>
      </c>
      <c r="I5" s="44">
        <v>3.1</v>
      </c>
      <c r="J5" s="44">
        <v>28.3</v>
      </c>
      <c r="K5" s="44">
        <v>4.0999999999999996</v>
      </c>
      <c r="L5" s="44">
        <v>6.6</v>
      </c>
      <c r="M5" s="44">
        <v>1.9</v>
      </c>
      <c r="N5" s="44">
        <v>0.8</v>
      </c>
      <c r="O5" s="44">
        <v>2.4</v>
      </c>
      <c r="P5" s="44">
        <v>10.98</v>
      </c>
      <c r="Q5">
        <f t="shared" si="0"/>
        <v>4</v>
      </c>
    </row>
    <row r="6" spans="1:17">
      <c r="A6" s="44">
        <v>5</v>
      </c>
      <c r="B6" s="1" t="s">
        <v>27</v>
      </c>
      <c r="C6" s="44" t="s">
        <v>22</v>
      </c>
      <c r="D6" s="44" t="s">
        <v>26</v>
      </c>
      <c r="E6" s="44">
        <v>64</v>
      </c>
      <c r="F6" s="44">
        <v>35.799999999999997</v>
      </c>
      <c r="G6" s="44" t="s">
        <v>1051</v>
      </c>
      <c r="H6" s="44" t="s">
        <v>1052</v>
      </c>
      <c r="I6" s="44">
        <v>4</v>
      </c>
      <c r="J6" s="44">
        <v>33.5</v>
      </c>
      <c r="K6" s="44">
        <v>7.7</v>
      </c>
      <c r="L6" s="44">
        <v>8.3000000000000007</v>
      </c>
      <c r="M6" s="44">
        <v>1.6</v>
      </c>
      <c r="N6" s="44">
        <v>0.5</v>
      </c>
      <c r="O6" s="44">
        <v>4</v>
      </c>
      <c r="P6" s="44">
        <v>10.82</v>
      </c>
      <c r="Q6">
        <f t="shared" si="0"/>
        <v>5</v>
      </c>
    </row>
    <row r="7" spans="1:17">
      <c r="A7" s="44">
        <v>6</v>
      </c>
      <c r="B7" s="1" t="s">
        <v>37</v>
      </c>
      <c r="C7" s="44" t="s">
        <v>33</v>
      </c>
      <c r="D7" s="44" t="s">
        <v>39</v>
      </c>
      <c r="E7" s="44">
        <v>65</v>
      </c>
      <c r="F7" s="44">
        <v>32.1</v>
      </c>
      <c r="G7" s="44" t="s">
        <v>1053</v>
      </c>
      <c r="H7" s="44" t="s">
        <v>1054</v>
      </c>
      <c r="I7" s="44">
        <v>2.7</v>
      </c>
      <c r="J7" s="44">
        <v>27.9</v>
      </c>
      <c r="K7" s="44">
        <v>6.3</v>
      </c>
      <c r="L7" s="44">
        <v>3.6</v>
      </c>
      <c r="M7" s="44">
        <v>1.8</v>
      </c>
      <c r="N7" s="44">
        <v>0.4</v>
      </c>
      <c r="O7" s="44">
        <v>2</v>
      </c>
      <c r="P7" s="44">
        <v>10.44</v>
      </c>
      <c r="Q7">
        <f t="shared" si="0"/>
        <v>6</v>
      </c>
    </row>
    <row r="8" spans="1:17">
      <c r="A8" s="44">
        <v>7</v>
      </c>
      <c r="B8" s="1" t="s">
        <v>35</v>
      </c>
      <c r="C8" s="44" t="s">
        <v>22</v>
      </c>
      <c r="D8" s="44" t="s">
        <v>36</v>
      </c>
      <c r="E8" s="44">
        <v>70</v>
      </c>
      <c r="F8" s="44">
        <v>33.5</v>
      </c>
      <c r="G8" s="44" t="s">
        <v>1055</v>
      </c>
      <c r="H8" s="44" t="s">
        <v>1056</v>
      </c>
      <c r="I8" s="44">
        <v>3.2</v>
      </c>
      <c r="J8" s="44">
        <v>27.9</v>
      </c>
      <c r="K8" s="44">
        <v>4.5</v>
      </c>
      <c r="L8" s="44">
        <v>5.7</v>
      </c>
      <c r="M8" s="44">
        <v>1.5</v>
      </c>
      <c r="N8" s="44">
        <v>0.3</v>
      </c>
      <c r="O8" s="44">
        <v>2.8</v>
      </c>
      <c r="P8" s="44">
        <v>8.5299999999999994</v>
      </c>
      <c r="Q8">
        <f t="shared" si="0"/>
        <v>7</v>
      </c>
    </row>
    <row r="9" spans="1:17">
      <c r="A9" s="44">
        <v>8</v>
      </c>
      <c r="B9" s="1" t="s">
        <v>49</v>
      </c>
      <c r="C9" s="44" t="s">
        <v>28</v>
      </c>
      <c r="D9" s="44" t="s">
        <v>50</v>
      </c>
      <c r="E9" s="44">
        <v>43</v>
      </c>
      <c r="F9" s="44">
        <v>30.9</v>
      </c>
      <c r="G9" s="44" t="s">
        <v>1057</v>
      </c>
      <c r="H9" s="44" t="s">
        <v>1058</v>
      </c>
      <c r="I9" s="44">
        <v>4.4000000000000004</v>
      </c>
      <c r="J9" s="44">
        <v>26.6</v>
      </c>
      <c r="K9" s="44">
        <v>3.6</v>
      </c>
      <c r="L9" s="44">
        <v>4.7</v>
      </c>
      <c r="M9" s="44">
        <v>1.1000000000000001</v>
      </c>
      <c r="N9" s="44">
        <v>0.4</v>
      </c>
      <c r="O9" s="44">
        <v>2.8</v>
      </c>
      <c r="P9" s="44">
        <v>8.4499999999999993</v>
      </c>
      <c r="Q9">
        <f t="shared" si="0"/>
        <v>8</v>
      </c>
    </row>
    <row r="10" spans="1:17">
      <c r="A10" s="44">
        <v>9</v>
      </c>
      <c r="B10" s="1" t="s">
        <v>32</v>
      </c>
      <c r="C10" s="44" t="s">
        <v>38</v>
      </c>
      <c r="D10" s="44" t="s">
        <v>71</v>
      </c>
      <c r="E10" s="44">
        <v>78</v>
      </c>
      <c r="F10" s="44">
        <v>36.299999999999997</v>
      </c>
      <c r="G10" s="44" t="s">
        <v>1059</v>
      </c>
      <c r="H10" s="44" t="s">
        <v>1060</v>
      </c>
      <c r="I10" s="44">
        <v>2.4</v>
      </c>
      <c r="J10" s="44">
        <v>26</v>
      </c>
      <c r="K10" s="44">
        <v>5.4</v>
      </c>
      <c r="L10" s="44">
        <v>4.8</v>
      </c>
      <c r="M10" s="44">
        <v>0.8</v>
      </c>
      <c r="N10" s="44">
        <v>0.9</v>
      </c>
      <c r="O10" s="44">
        <v>3.2</v>
      </c>
      <c r="P10" s="44">
        <v>8.39</v>
      </c>
      <c r="Q10">
        <f t="shared" si="0"/>
        <v>9</v>
      </c>
    </row>
    <row r="11" spans="1:17">
      <c r="A11" s="44">
        <v>10</v>
      </c>
      <c r="B11" s="1" t="s">
        <v>80</v>
      </c>
      <c r="C11" s="44" t="s">
        <v>22</v>
      </c>
      <c r="D11" s="44" t="s">
        <v>20</v>
      </c>
      <c r="E11" s="44">
        <v>75</v>
      </c>
      <c r="F11" s="44">
        <v>35.200000000000003</v>
      </c>
      <c r="G11" s="44" t="s">
        <v>1061</v>
      </c>
      <c r="H11" s="44" t="s">
        <v>1062</v>
      </c>
      <c r="I11" s="44">
        <v>3.3</v>
      </c>
      <c r="J11" s="44">
        <v>25.4</v>
      </c>
      <c r="K11" s="44">
        <v>4.4000000000000004</v>
      </c>
      <c r="L11" s="44">
        <v>7.1</v>
      </c>
      <c r="M11" s="44">
        <v>0.9</v>
      </c>
      <c r="N11" s="44">
        <v>0.4</v>
      </c>
      <c r="O11" s="44">
        <v>2.2999999999999998</v>
      </c>
      <c r="P11" s="44">
        <v>8.0399999999999991</v>
      </c>
      <c r="Q11">
        <f t="shared" si="0"/>
        <v>10</v>
      </c>
    </row>
    <row r="12" spans="1:17">
      <c r="A12" s="44">
        <v>11</v>
      </c>
      <c r="B12" s="1" t="s">
        <v>136</v>
      </c>
      <c r="C12" s="44" t="s">
        <v>17</v>
      </c>
      <c r="D12" s="44" t="s">
        <v>57</v>
      </c>
      <c r="E12" s="44">
        <v>5</v>
      </c>
      <c r="F12" s="44">
        <v>30.8</v>
      </c>
      <c r="G12" s="44" t="s">
        <v>1063</v>
      </c>
      <c r="H12" s="44" t="s">
        <v>1064</v>
      </c>
      <c r="I12" s="44">
        <v>1.2</v>
      </c>
      <c r="J12" s="44">
        <v>14.4</v>
      </c>
      <c r="K12" s="44">
        <v>10.8</v>
      </c>
      <c r="L12" s="44">
        <v>3</v>
      </c>
      <c r="M12" s="44">
        <v>1.4</v>
      </c>
      <c r="N12" s="44">
        <v>1.8</v>
      </c>
      <c r="O12" s="44">
        <v>3.2</v>
      </c>
      <c r="P12" s="44">
        <v>7.94</v>
      </c>
      <c r="Q12">
        <f t="shared" si="0"/>
        <v>11</v>
      </c>
    </row>
    <row r="13" spans="1:17">
      <c r="A13" s="44">
        <v>12</v>
      </c>
      <c r="B13" s="1" t="s">
        <v>64</v>
      </c>
      <c r="C13" s="44" t="s">
        <v>22</v>
      </c>
      <c r="D13" s="44" t="s">
        <v>36</v>
      </c>
      <c r="E13" s="44">
        <v>70</v>
      </c>
      <c r="F13" s="44">
        <v>34.799999999999997</v>
      </c>
      <c r="G13" s="44" t="s">
        <v>1065</v>
      </c>
      <c r="H13" s="44" t="s">
        <v>1066</v>
      </c>
      <c r="I13" s="44">
        <v>3.1</v>
      </c>
      <c r="J13" s="44">
        <v>23.6</v>
      </c>
      <c r="K13" s="44">
        <v>4.8</v>
      </c>
      <c r="L13" s="44">
        <v>8</v>
      </c>
      <c r="M13" s="44">
        <v>1.1000000000000001</v>
      </c>
      <c r="N13" s="44">
        <v>0.4</v>
      </c>
      <c r="O13" s="44">
        <v>3.5</v>
      </c>
      <c r="P13" s="44">
        <v>7.63</v>
      </c>
      <c r="Q13">
        <f t="shared" si="0"/>
        <v>12</v>
      </c>
    </row>
    <row r="14" spans="1:17">
      <c r="A14" s="45" t="s">
        <v>0</v>
      </c>
      <c r="B14" s="45" t="s">
        <v>1</v>
      </c>
      <c r="C14" s="45" t="s">
        <v>2</v>
      </c>
      <c r="D14" s="45" t="s">
        <v>3</v>
      </c>
      <c r="E14" s="45" t="s">
        <v>4</v>
      </c>
      <c r="F14" s="45" t="s">
        <v>5</v>
      </c>
      <c r="G14" s="45" t="s">
        <v>6</v>
      </c>
      <c r="H14" s="45" t="s">
        <v>7</v>
      </c>
      <c r="I14" s="45" t="s">
        <v>8</v>
      </c>
      <c r="J14" s="45" t="s">
        <v>9</v>
      </c>
      <c r="K14" s="45" t="s">
        <v>10</v>
      </c>
      <c r="L14" s="45" t="s">
        <v>11</v>
      </c>
      <c r="M14" s="45" t="s">
        <v>12</v>
      </c>
      <c r="N14" s="45" t="s">
        <v>13</v>
      </c>
      <c r="O14" s="45" t="s">
        <v>14</v>
      </c>
      <c r="P14" s="45" t="s">
        <v>15</v>
      </c>
      <c r="Q14" t="str">
        <f t="shared" si="0"/>
        <v>R#</v>
      </c>
    </row>
    <row r="15" spans="1:17">
      <c r="A15" s="44">
        <v>13</v>
      </c>
      <c r="B15" s="1" t="s">
        <v>97</v>
      </c>
      <c r="C15" s="44" t="s">
        <v>22</v>
      </c>
      <c r="D15" s="44" t="s">
        <v>98</v>
      </c>
      <c r="E15" s="44">
        <v>64</v>
      </c>
      <c r="F15" s="44">
        <v>33.9</v>
      </c>
      <c r="G15" s="44" t="s">
        <v>1067</v>
      </c>
      <c r="H15" s="44" t="s">
        <v>1068</v>
      </c>
      <c r="I15" s="44">
        <v>2</v>
      </c>
      <c r="J15" s="44">
        <v>23.9</v>
      </c>
      <c r="K15" s="44">
        <v>5.5</v>
      </c>
      <c r="L15" s="44">
        <v>9.9</v>
      </c>
      <c r="M15" s="44">
        <v>1.4</v>
      </c>
      <c r="N15" s="44">
        <v>0.8</v>
      </c>
      <c r="O15" s="44">
        <v>3.7</v>
      </c>
      <c r="P15" s="44">
        <v>7.6</v>
      </c>
      <c r="Q15">
        <f t="shared" si="0"/>
        <v>13</v>
      </c>
    </row>
    <row r="16" spans="1:17">
      <c r="A16" s="44">
        <v>14</v>
      </c>
      <c r="B16" s="1" t="s">
        <v>16</v>
      </c>
      <c r="C16" s="44" t="s">
        <v>17</v>
      </c>
      <c r="D16" s="44" t="s">
        <v>18</v>
      </c>
      <c r="E16" s="44">
        <v>38</v>
      </c>
      <c r="F16" s="44">
        <v>31.6</v>
      </c>
      <c r="G16" s="44" t="s">
        <v>1069</v>
      </c>
      <c r="H16" s="44" t="s">
        <v>1070</v>
      </c>
      <c r="I16" s="44">
        <v>1.4</v>
      </c>
      <c r="J16" s="44">
        <v>26.9</v>
      </c>
      <c r="K16" s="44">
        <v>7.7</v>
      </c>
      <c r="L16" s="44">
        <v>3.9</v>
      </c>
      <c r="M16" s="44">
        <v>0.6</v>
      </c>
      <c r="N16" s="44">
        <v>1.2</v>
      </c>
      <c r="O16" s="44">
        <v>2.9</v>
      </c>
      <c r="P16" s="44">
        <v>7.55</v>
      </c>
      <c r="Q16">
        <f t="shared" si="0"/>
        <v>14</v>
      </c>
    </row>
    <row r="17" spans="1:17">
      <c r="A17" s="44">
        <v>15</v>
      </c>
      <c r="B17" s="1" t="s">
        <v>74</v>
      </c>
      <c r="C17" s="44" t="s">
        <v>22</v>
      </c>
      <c r="D17" s="44" t="s">
        <v>73</v>
      </c>
      <c r="E17" s="44">
        <v>61</v>
      </c>
      <c r="F17" s="44">
        <v>35.1</v>
      </c>
      <c r="G17" s="44" t="s">
        <v>1071</v>
      </c>
      <c r="H17" s="44" t="s">
        <v>1072</v>
      </c>
      <c r="I17" s="44">
        <v>3.4</v>
      </c>
      <c r="J17" s="44">
        <v>28.8</v>
      </c>
      <c r="K17" s="44">
        <v>5</v>
      </c>
      <c r="L17" s="44">
        <v>3.7</v>
      </c>
      <c r="M17" s="44">
        <v>1.4</v>
      </c>
      <c r="N17" s="44">
        <v>0.8</v>
      </c>
      <c r="O17" s="44">
        <v>2.8</v>
      </c>
      <c r="P17" s="44">
        <v>7.4</v>
      </c>
      <c r="Q17">
        <f t="shared" si="0"/>
        <v>15</v>
      </c>
    </row>
    <row r="18" spans="1:17">
      <c r="A18" s="44">
        <v>16</v>
      </c>
      <c r="B18" s="1" t="s">
        <v>58</v>
      </c>
      <c r="C18" s="44" t="s">
        <v>423</v>
      </c>
      <c r="D18" s="44" t="s">
        <v>59</v>
      </c>
      <c r="E18" s="44">
        <v>80</v>
      </c>
      <c r="F18" s="44">
        <v>33.5</v>
      </c>
      <c r="G18" s="44" t="s">
        <v>1073</v>
      </c>
      <c r="H18" s="44" t="s">
        <v>1074</v>
      </c>
      <c r="I18" s="44">
        <v>0.9</v>
      </c>
      <c r="J18" s="44">
        <v>18.100000000000001</v>
      </c>
      <c r="K18" s="44">
        <v>7.5</v>
      </c>
      <c r="L18" s="44">
        <v>5.9</v>
      </c>
      <c r="M18" s="44">
        <v>1.4</v>
      </c>
      <c r="N18" s="44">
        <v>1.5</v>
      </c>
      <c r="O18" s="44">
        <v>2.6</v>
      </c>
      <c r="P18" s="44">
        <v>7.31</v>
      </c>
      <c r="Q18">
        <f t="shared" si="0"/>
        <v>16</v>
      </c>
    </row>
    <row r="19" spans="1:17">
      <c r="A19" s="44">
        <v>17</v>
      </c>
      <c r="B19" s="1" t="s">
        <v>56</v>
      </c>
      <c r="C19" s="44" t="s">
        <v>33</v>
      </c>
      <c r="D19" s="44" t="s">
        <v>57</v>
      </c>
      <c r="E19" s="44">
        <v>42</v>
      </c>
      <c r="F19" s="44">
        <v>34.299999999999997</v>
      </c>
      <c r="G19" s="44" t="s">
        <v>1075</v>
      </c>
      <c r="H19" s="44" t="s">
        <v>1076</v>
      </c>
      <c r="I19" s="44">
        <v>2.7</v>
      </c>
      <c r="J19" s="44">
        <v>26.7</v>
      </c>
      <c r="K19" s="44">
        <v>6.9</v>
      </c>
      <c r="L19" s="44">
        <v>2.1</v>
      </c>
      <c r="M19" s="44">
        <v>1</v>
      </c>
      <c r="N19" s="44">
        <v>0.5</v>
      </c>
      <c r="O19" s="44">
        <v>1.5</v>
      </c>
      <c r="P19" s="44">
        <v>7.27</v>
      </c>
      <c r="Q19">
        <f t="shared" si="0"/>
        <v>17</v>
      </c>
    </row>
    <row r="20" spans="1:17">
      <c r="A20" s="44">
        <v>18</v>
      </c>
      <c r="B20" s="1" t="s">
        <v>65</v>
      </c>
      <c r="C20" s="44" t="s">
        <v>25</v>
      </c>
      <c r="D20" s="44" t="s">
        <v>55</v>
      </c>
      <c r="E20" s="44">
        <v>36</v>
      </c>
      <c r="F20" s="44">
        <v>28.9</v>
      </c>
      <c r="G20" s="44" t="s">
        <v>1077</v>
      </c>
      <c r="H20" s="44" t="s">
        <v>1078</v>
      </c>
      <c r="I20" s="44">
        <v>0.4</v>
      </c>
      <c r="J20" s="44">
        <v>27.6</v>
      </c>
      <c r="K20" s="44">
        <v>9.8000000000000007</v>
      </c>
      <c r="L20" s="44">
        <v>5.4</v>
      </c>
      <c r="M20" s="44">
        <v>0.9</v>
      </c>
      <c r="N20" s="44">
        <v>0.7</v>
      </c>
      <c r="O20" s="44">
        <v>3.2</v>
      </c>
      <c r="P20" s="44">
        <v>7.2</v>
      </c>
      <c r="Q20">
        <f t="shared" si="0"/>
        <v>18</v>
      </c>
    </row>
    <row r="21" spans="1:17">
      <c r="A21" s="44">
        <v>19</v>
      </c>
      <c r="B21" s="1" t="s">
        <v>102</v>
      </c>
      <c r="C21" s="44" t="s">
        <v>33</v>
      </c>
      <c r="D21" s="44" t="s">
        <v>61</v>
      </c>
      <c r="E21" s="44">
        <v>72</v>
      </c>
      <c r="F21" s="44">
        <v>35.200000000000003</v>
      </c>
      <c r="G21" s="44" t="s">
        <v>1079</v>
      </c>
      <c r="H21" s="44" t="s">
        <v>1080</v>
      </c>
      <c r="I21" s="44">
        <v>1.7</v>
      </c>
      <c r="J21" s="44">
        <v>22.5</v>
      </c>
      <c r="K21" s="44">
        <v>10.3</v>
      </c>
      <c r="L21" s="44">
        <v>7.9</v>
      </c>
      <c r="M21" s="44">
        <v>1.2</v>
      </c>
      <c r="N21" s="44">
        <v>0.4</v>
      </c>
      <c r="O21" s="44">
        <v>3.4</v>
      </c>
      <c r="P21" s="44">
        <v>6.92</v>
      </c>
      <c r="Q21">
        <f t="shared" si="0"/>
        <v>19</v>
      </c>
    </row>
    <row r="22" spans="1:17">
      <c r="A22" s="44">
        <v>20</v>
      </c>
      <c r="B22" s="1" t="s">
        <v>250</v>
      </c>
      <c r="C22" s="44" t="s">
        <v>22</v>
      </c>
      <c r="D22" s="44" t="s">
        <v>55</v>
      </c>
      <c r="E22" s="44">
        <v>38</v>
      </c>
      <c r="F22" s="44">
        <v>33.200000000000003</v>
      </c>
      <c r="G22" s="44" t="s">
        <v>1081</v>
      </c>
      <c r="H22" s="44" t="s">
        <v>1082</v>
      </c>
      <c r="I22" s="44">
        <v>1.2</v>
      </c>
      <c r="J22" s="44">
        <v>17.399999999999999</v>
      </c>
      <c r="K22" s="44">
        <v>5.2</v>
      </c>
      <c r="L22" s="44">
        <v>7.4</v>
      </c>
      <c r="M22" s="44">
        <v>2.2000000000000002</v>
      </c>
      <c r="N22" s="44">
        <v>0.5</v>
      </c>
      <c r="O22" s="44">
        <v>2.9</v>
      </c>
      <c r="P22" s="44">
        <v>6.79</v>
      </c>
      <c r="Q22">
        <f t="shared" si="0"/>
        <v>20</v>
      </c>
    </row>
    <row r="23" spans="1:17">
      <c r="A23" s="44">
        <v>21</v>
      </c>
      <c r="B23" s="1" t="s">
        <v>123</v>
      </c>
      <c r="C23" s="44" t="s">
        <v>44</v>
      </c>
      <c r="D23" s="44" t="s">
        <v>26</v>
      </c>
      <c r="E23" s="44">
        <v>51</v>
      </c>
      <c r="F23" s="44">
        <v>34.5</v>
      </c>
      <c r="G23" s="44" t="s">
        <v>1083</v>
      </c>
      <c r="H23" s="44" t="s">
        <v>1084</v>
      </c>
      <c r="I23" s="44">
        <v>2.2999999999999998</v>
      </c>
      <c r="J23" s="44">
        <v>23.3</v>
      </c>
      <c r="K23" s="44">
        <v>4.7</v>
      </c>
      <c r="L23" s="44">
        <v>5.5</v>
      </c>
      <c r="M23" s="44">
        <v>1.1000000000000001</v>
      </c>
      <c r="N23" s="44">
        <v>0.4</v>
      </c>
      <c r="O23" s="44">
        <v>3</v>
      </c>
      <c r="P23" s="44">
        <v>6.7</v>
      </c>
      <c r="Q23">
        <f t="shared" si="0"/>
        <v>21</v>
      </c>
    </row>
    <row r="24" spans="1:17">
      <c r="A24" s="44">
        <v>22</v>
      </c>
      <c r="B24" s="1" t="s">
        <v>152</v>
      </c>
      <c r="C24" s="44" t="s">
        <v>38</v>
      </c>
      <c r="D24" s="44" t="s">
        <v>95</v>
      </c>
      <c r="E24" s="44">
        <v>66</v>
      </c>
      <c r="F24" s="44">
        <v>35.5</v>
      </c>
      <c r="G24" s="44" t="s">
        <v>1085</v>
      </c>
      <c r="H24" s="44" t="s">
        <v>1086</v>
      </c>
      <c r="I24" s="44">
        <v>3.2</v>
      </c>
      <c r="J24" s="44">
        <v>21.5</v>
      </c>
      <c r="K24" s="44">
        <v>5.7</v>
      </c>
      <c r="L24" s="44">
        <v>3.8</v>
      </c>
      <c r="M24" s="44">
        <v>1.5</v>
      </c>
      <c r="N24" s="44">
        <v>0.4</v>
      </c>
      <c r="O24" s="44">
        <v>1.8</v>
      </c>
      <c r="P24" s="44">
        <v>6.5</v>
      </c>
      <c r="Q24">
        <f t="shared" si="0"/>
        <v>22</v>
      </c>
    </row>
    <row r="25" spans="1:17">
      <c r="A25" s="44">
        <v>23</v>
      </c>
      <c r="B25" s="1" t="s">
        <v>72</v>
      </c>
      <c r="C25" s="44" t="s">
        <v>25</v>
      </c>
      <c r="D25" s="44" t="s">
        <v>68</v>
      </c>
      <c r="E25" s="44">
        <v>75</v>
      </c>
      <c r="F25" s="44">
        <v>31</v>
      </c>
      <c r="G25" s="44" t="s">
        <v>1087</v>
      </c>
      <c r="H25" s="44" t="s">
        <v>1088</v>
      </c>
      <c r="I25" s="44">
        <v>1.5</v>
      </c>
      <c r="J25" s="44">
        <v>20.100000000000001</v>
      </c>
      <c r="K25" s="44">
        <v>11.9</v>
      </c>
      <c r="L25" s="44">
        <v>3</v>
      </c>
      <c r="M25" s="44">
        <v>0.9</v>
      </c>
      <c r="N25" s="44">
        <v>0.5</v>
      </c>
      <c r="O25" s="44">
        <v>2.5</v>
      </c>
      <c r="P25" s="44">
        <v>6.13</v>
      </c>
      <c r="Q25">
        <f t="shared" si="0"/>
        <v>23</v>
      </c>
    </row>
    <row r="26" spans="1:17">
      <c r="A26" s="44">
        <v>24</v>
      </c>
      <c r="B26" s="1" t="s">
        <v>268</v>
      </c>
      <c r="C26" s="44" t="s">
        <v>22</v>
      </c>
      <c r="D26" s="44" t="s">
        <v>57</v>
      </c>
      <c r="E26" s="44">
        <v>54</v>
      </c>
      <c r="F26" s="44">
        <v>33.1</v>
      </c>
      <c r="G26" s="44" t="s">
        <v>1089</v>
      </c>
      <c r="H26" s="44" t="s">
        <v>1090</v>
      </c>
      <c r="I26" s="44">
        <v>2.5</v>
      </c>
      <c r="J26" s="44">
        <v>23.6</v>
      </c>
      <c r="K26" s="44">
        <v>3.7</v>
      </c>
      <c r="L26" s="44">
        <v>6.1</v>
      </c>
      <c r="M26" s="44">
        <v>1.1000000000000001</v>
      </c>
      <c r="N26" s="44">
        <v>0.3</v>
      </c>
      <c r="O26" s="44">
        <v>3.1</v>
      </c>
      <c r="P26" s="44">
        <v>6.05</v>
      </c>
      <c r="Q26">
        <f t="shared" si="0"/>
        <v>24</v>
      </c>
    </row>
    <row r="27" spans="1:17">
      <c r="A27" s="44">
        <v>25</v>
      </c>
      <c r="B27" s="1" t="s">
        <v>66</v>
      </c>
      <c r="C27" s="44" t="s">
        <v>25</v>
      </c>
      <c r="D27" s="44" t="s">
        <v>23</v>
      </c>
      <c r="E27" s="44">
        <v>69</v>
      </c>
      <c r="F27" s="44">
        <v>28.9</v>
      </c>
      <c r="G27" s="44" t="s">
        <v>1091</v>
      </c>
      <c r="H27" s="44" t="s">
        <v>1092</v>
      </c>
      <c r="I27" s="44">
        <v>1.3</v>
      </c>
      <c r="J27" s="44">
        <v>17.100000000000001</v>
      </c>
      <c r="K27" s="44">
        <v>8.9</v>
      </c>
      <c r="L27" s="44">
        <v>1.7</v>
      </c>
      <c r="M27" s="44">
        <v>0.6</v>
      </c>
      <c r="N27" s="44">
        <v>1.9</v>
      </c>
      <c r="O27" s="44">
        <v>1.6</v>
      </c>
      <c r="P27" s="44">
        <v>5.94</v>
      </c>
      <c r="Q27">
        <f t="shared" si="0"/>
        <v>25</v>
      </c>
    </row>
    <row r="28" spans="1:17">
      <c r="A28" s="44">
        <v>26</v>
      </c>
      <c r="B28" s="1" t="s">
        <v>958</v>
      </c>
      <c r="C28" s="44" t="s">
        <v>38</v>
      </c>
      <c r="D28" s="44" t="s">
        <v>50</v>
      </c>
      <c r="E28" s="44">
        <v>38</v>
      </c>
      <c r="F28" s="44">
        <v>31.1</v>
      </c>
      <c r="G28" s="44" t="s">
        <v>1093</v>
      </c>
      <c r="H28" s="44" t="s">
        <v>1094</v>
      </c>
      <c r="I28" s="44">
        <v>0.8</v>
      </c>
      <c r="J28" s="44">
        <v>20</v>
      </c>
      <c r="K28" s="44">
        <v>5.6</v>
      </c>
      <c r="L28" s="44">
        <v>4.9000000000000004</v>
      </c>
      <c r="M28" s="44">
        <v>1.4</v>
      </c>
      <c r="N28" s="44">
        <v>0.2</v>
      </c>
      <c r="O28" s="44">
        <v>1.6</v>
      </c>
      <c r="P28" s="44">
        <v>5.74</v>
      </c>
      <c r="Q28">
        <f t="shared" si="0"/>
        <v>26</v>
      </c>
    </row>
    <row r="29" spans="1:17">
      <c r="A29" s="44">
        <v>27</v>
      </c>
      <c r="B29" s="1" t="s">
        <v>24</v>
      </c>
      <c r="C29" s="44" t="s">
        <v>25</v>
      </c>
      <c r="D29" s="44" t="s">
        <v>139</v>
      </c>
      <c r="E29" s="44">
        <v>20</v>
      </c>
      <c r="F29" s="44">
        <v>31.3</v>
      </c>
      <c r="G29" s="44" t="s">
        <v>1095</v>
      </c>
      <c r="H29" s="44" t="s">
        <v>1096</v>
      </c>
      <c r="I29" s="44">
        <v>0.5</v>
      </c>
      <c r="J29" s="44">
        <v>20.399999999999999</v>
      </c>
      <c r="K29" s="44">
        <v>11.1</v>
      </c>
      <c r="L29" s="44">
        <v>2.8</v>
      </c>
      <c r="M29" s="44">
        <v>1.1000000000000001</v>
      </c>
      <c r="N29" s="44">
        <v>1.7</v>
      </c>
      <c r="O29" s="44">
        <v>2.1</v>
      </c>
      <c r="P29" s="44">
        <v>5.66</v>
      </c>
      <c r="Q29">
        <f t="shared" si="0"/>
        <v>27</v>
      </c>
    </row>
    <row r="30" spans="1:17">
      <c r="A30" s="44">
        <v>28</v>
      </c>
      <c r="B30" s="1" t="s">
        <v>131</v>
      </c>
      <c r="C30" s="44" t="s">
        <v>33</v>
      </c>
      <c r="D30" s="44" t="s">
        <v>127</v>
      </c>
      <c r="E30" s="44">
        <v>52</v>
      </c>
      <c r="F30" s="44">
        <v>32.5</v>
      </c>
      <c r="G30" s="44" t="s">
        <v>1097</v>
      </c>
      <c r="H30" s="44" t="s">
        <v>1098</v>
      </c>
      <c r="I30" s="44">
        <v>3.4</v>
      </c>
      <c r="J30" s="44">
        <v>24.2</v>
      </c>
      <c r="K30" s="44">
        <v>7.1</v>
      </c>
      <c r="L30" s="44">
        <v>3</v>
      </c>
      <c r="M30" s="44">
        <v>1.1000000000000001</v>
      </c>
      <c r="N30" s="44">
        <v>0.2</v>
      </c>
      <c r="O30" s="44">
        <v>2.2999999999999998</v>
      </c>
      <c r="P30" s="44">
        <v>5.14</v>
      </c>
      <c r="Q30">
        <f t="shared" si="0"/>
        <v>28</v>
      </c>
    </row>
    <row r="31" spans="1:17">
      <c r="A31" s="44">
        <v>29</v>
      </c>
      <c r="B31" s="1" t="s">
        <v>273</v>
      </c>
      <c r="C31" s="44" t="s">
        <v>17</v>
      </c>
      <c r="D31" s="44" t="s">
        <v>79</v>
      </c>
      <c r="E31" s="44">
        <v>11</v>
      </c>
      <c r="F31" s="44">
        <v>25.8</v>
      </c>
      <c r="G31" s="44" t="s">
        <v>1099</v>
      </c>
      <c r="H31" s="44" t="s">
        <v>1100</v>
      </c>
      <c r="I31" s="44">
        <v>0.1</v>
      </c>
      <c r="J31" s="44">
        <v>13.6</v>
      </c>
      <c r="K31" s="44">
        <v>11.1</v>
      </c>
      <c r="L31" s="44">
        <v>1.1000000000000001</v>
      </c>
      <c r="M31" s="44">
        <v>0.6</v>
      </c>
      <c r="N31" s="44">
        <v>1.9</v>
      </c>
      <c r="O31" s="44">
        <v>2.4</v>
      </c>
      <c r="P31" s="44">
        <v>5.12</v>
      </c>
      <c r="Q31">
        <f t="shared" si="0"/>
        <v>29</v>
      </c>
    </row>
    <row r="32" spans="1:17">
      <c r="A32" s="44">
        <v>30</v>
      </c>
      <c r="B32" s="1" t="s">
        <v>46</v>
      </c>
      <c r="C32" s="44" t="s">
        <v>33</v>
      </c>
      <c r="D32" s="44" t="s">
        <v>47</v>
      </c>
      <c r="E32" s="44">
        <v>16</v>
      </c>
      <c r="F32" s="44">
        <v>32.6</v>
      </c>
      <c r="G32" s="44" t="s">
        <v>1101</v>
      </c>
      <c r="H32" s="44" t="s">
        <v>1102</v>
      </c>
      <c r="I32" s="44">
        <v>2.9</v>
      </c>
      <c r="J32" s="44">
        <v>21.8</v>
      </c>
      <c r="K32" s="44">
        <v>10</v>
      </c>
      <c r="L32" s="44">
        <v>5.3</v>
      </c>
      <c r="M32" s="44">
        <v>1.4</v>
      </c>
      <c r="N32" s="44">
        <v>0.2</v>
      </c>
      <c r="O32" s="44">
        <v>2.4</v>
      </c>
      <c r="P32" s="44">
        <v>5.08</v>
      </c>
      <c r="Q32">
        <f t="shared" si="0"/>
        <v>30</v>
      </c>
    </row>
    <row r="33" spans="1:17">
      <c r="A33" s="44">
        <v>31</v>
      </c>
      <c r="B33" s="1" t="s">
        <v>297</v>
      </c>
      <c r="C33" s="44" t="s">
        <v>44</v>
      </c>
      <c r="D33" s="44" t="s">
        <v>61</v>
      </c>
      <c r="E33" s="44">
        <v>78</v>
      </c>
      <c r="F33" s="44">
        <v>33.4</v>
      </c>
      <c r="G33" s="44" t="s">
        <v>1103</v>
      </c>
      <c r="H33" s="44" t="s">
        <v>1104</v>
      </c>
      <c r="I33" s="44">
        <v>3.2</v>
      </c>
      <c r="J33" s="44">
        <v>20.8</v>
      </c>
      <c r="K33" s="44">
        <v>3.4</v>
      </c>
      <c r="L33" s="44">
        <v>3.7</v>
      </c>
      <c r="M33" s="44">
        <v>1.3</v>
      </c>
      <c r="N33" s="44">
        <v>0.5</v>
      </c>
      <c r="O33" s="44">
        <v>2.1</v>
      </c>
      <c r="P33" s="44">
        <v>5.0199999999999996</v>
      </c>
      <c r="Q33">
        <f t="shared" si="0"/>
        <v>31</v>
      </c>
    </row>
    <row r="34" spans="1:17">
      <c r="A34" s="44">
        <v>32</v>
      </c>
      <c r="B34" s="1" t="s">
        <v>43</v>
      </c>
      <c r="C34" s="44" t="s">
        <v>22</v>
      </c>
      <c r="D34" s="44" t="s">
        <v>34</v>
      </c>
      <c r="E34" s="44">
        <v>64</v>
      </c>
      <c r="F34" s="44">
        <v>33.5</v>
      </c>
      <c r="G34" s="44" t="s">
        <v>1105</v>
      </c>
      <c r="H34" s="44" t="s">
        <v>1106</v>
      </c>
      <c r="I34" s="44">
        <v>1.9</v>
      </c>
      <c r="J34" s="44">
        <v>26.1</v>
      </c>
      <c r="K34" s="44">
        <v>3.9</v>
      </c>
      <c r="L34" s="44">
        <v>6</v>
      </c>
      <c r="M34" s="44">
        <v>0.8</v>
      </c>
      <c r="N34" s="44">
        <v>0.3</v>
      </c>
      <c r="O34" s="44">
        <v>3.2</v>
      </c>
      <c r="P34" s="44">
        <v>4.88</v>
      </c>
      <c r="Q34">
        <f t="shared" si="0"/>
        <v>32</v>
      </c>
    </row>
    <row r="35" spans="1:17">
      <c r="A35" s="44">
        <v>33</v>
      </c>
      <c r="B35" s="1" t="s">
        <v>118</v>
      </c>
      <c r="C35" s="44" t="s">
        <v>75</v>
      </c>
      <c r="D35" s="44" t="s">
        <v>47</v>
      </c>
      <c r="E35" s="44">
        <v>71</v>
      </c>
      <c r="F35" s="44">
        <v>34.4</v>
      </c>
      <c r="G35" s="44" t="s">
        <v>1107</v>
      </c>
      <c r="H35" s="44" t="s">
        <v>1108</v>
      </c>
      <c r="I35" s="44">
        <v>2</v>
      </c>
      <c r="J35" s="44">
        <v>28.7</v>
      </c>
      <c r="K35" s="44">
        <v>6.9</v>
      </c>
      <c r="L35" s="44">
        <v>5.0999999999999996</v>
      </c>
      <c r="M35" s="44">
        <v>1</v>
      </c>
      <c r="N35" s="44">
        <v>0.4</v>
      </c>
      <c r="O35" s="44">
        <v>3.6</v>
      </c>
      <c r="P35" s="44">
        <v>4.66</v>
      </c>
      <c r="Q35">
        <f t="shared" si="0"/>
        <v>33</v>
      </c>
    </row>
    <row r="36" spans="1:17">
      <c r="A36" s="44">
        <v>34</v>
      </c>
      <c r="B36" s="1" t="s">
        <v>191</v>
      </c>
      <c r="C36" s="44" t="s">
        <v>44</v>
      </c>
      <c r="D36" s="44" t="s">
        <v>71</v>
      </c>
      <c r="E36" s="44">
        <v>79</v>
      </c>
      <c r="F36" s="44">
        <v>37.4</v>
      </c>
      <c r="G36" s="44" t="s">
        <v>1109</v>
      </c>
      <c r="H36" s="44" t="s">
        <v>1110</v>
      </c>
      <c r="I36" s="44">
        <v>0.3</v>
      </c>
      <c r="J36" s="44">
        <v>18.3</v>
      </c>
      <c r="K36" s="44">
        <v>7.8</v>
      </c>
      <c r="L36" s="44">
        <v>5.3</v>
      </c>
      <c r="M36" s="44">
        <v>1.5</v>
      </c>
      <c r="N36" s="44">
        <v>0.6</v>
      </c>
      <c r="O36" s="44">
        <v>2.4</v>
      </c>
      <c r="P36" s="44">
        <v>4.6100000000000003</v>
      </c>
      <c r="Q36">
        <f t="shared" si="0"/>
        <v>34</v>
      </c>
    </row>
    <row r="37" spans="1:17">
      <c r="A37" s="44">
        <v>35</v>
      </c>
      <c r="B37" s="1" t="s">
        <v>165</v>
      </c>
      <c r="C37" s="44" t="s">
        <v>38</v>
      </c>
      <c r="D37" s="44" t="s">
        <v>91</v>
      </c>
      <c r="E37" s="44">
        <v>66</v>
      </c>
      <c r="F37" s="44">
        <v>33.299999999999997</v>
      </c>
      <c r="G37" s="44" t="s">
        <v>1111</v>
      </c>
      <c r="H37" s="44" t="s">
        <v>1112</v>
      </c>
      <c r="I37" s="44">
        <v>1.9</v>
      </c>
      <c r="J37" s="44">
        <v>24.2</v>
      </c>
      <c r="K37" s="44">
        <v>6.9</v>
      </c>
      <c r="L37" s="44">
        <v>6.7</v>
      </c>
      <c r="M37" s="44">
        <v>0.8</v>
      </c>
      <c r="N37" s="44">
        <v>0.6</v>
      </c>
      <c r="O37" s="44">
        <v>3.8</v>
      </c>
      <c r="P37" s="44">
        <v>4.55</v>
      </c>
      <c r="Q37">
        <f t="shared" si="0"/>
        <v>35</v>
      </c>
    </row>
    <row r="38" spans="1:17">
      <c r="A38" s="44">
        <v>36</v>
      </c>
      <c r="B38" s="1" t="s">
        <v>84</v>
      </c>
      <c r="C38" s="44" t="s">
        <v>22</v>
      </c>
      <c r="D38" s="44" t="s">
        <v>47</v>
      </c>
      <c r="E38" s="44">
        <v>77</v>
      </c>
      <c r="F38" s="44">
        <v>34.1</v>
      </c>
      <c r="G38" s="44" t="s">
        <v>1113</v>
      </c>
      <c r="H38" s="44" t="s">
        <v>1114</v>
      </c>
      <c r="I38" s="44">
        <v>2.7</v>
      </c>
      <c r="J38" s="44">
        <v>16.5</v>
      </c>
      <c r="K38" s="44">
        <v>4.4000000000000004</v>
      </c>
      <c r="L38" s="44">
        <v>5.4</v>
      </c>
      <c r="M38" s="44">
        <v>1.1000000000000001</v>
      </c>
      <c r="N38" s="44">
        <v>1.3</v>
      </c>
      <c r="O38" s="44">
        <v>1.7</v>
      </c>
      <c r="P38" s="44">
        <v>4.47</v>
      </c>
      <c r="Q38">
        <f t="shared" si="0"/>
        <v>36</v>
      </c>
    </row>
    <row r="39" spans="1:17">
      <c r="A39" s="44">
        <v>37</v>
      </c>
      <c r="B39" s="1" t="s">
        <v>78</v>
      </c>
      <c r="C39" s="44" t="s">
        <v>75</v>
      </c>
      <c r="D39" s="44" t="s">
        <v>112</v>
      </c>
      <c r="E39" s="44">
        <v>82</v>
      </c>
      <c r="F39" s="44">
        <v>33.6</v>
      </c>
      <c r="G39" s="44" t="s">
        <v>1115</v>
      </c>
      <c r="H39" s="44" t="s">
        <v>1116</v>
      </c>
      <c r="I39" s="44">
        <v>2</v>
      </c>
      <c r="J39" s="44">
        <v>20.100000000000001</v>
      </c>
      <c r="K39" s="44">
        <v>4.0999999999999996</v>
      </c>
      <c r="L39" s="44">
        <v>4.0999999999999996</v>
      </c>
      <c r="M39" s="44">
        <v>1</v>
      </c>
      <c r="N39" s="44">
        <v>0.5</v>
      </c>
      <c r="O39" s="44">
        <v>2</v>
      </c>
      <c r="P39" s="44">
        <v>4.43</v>
      </c>
      <c r="Q39">
        <f t="shared" si="0"/>
        <v>37</v>
      </c>
    </row>
    <row r="40" spans="1:17">
      <c r="A40" s="44">
        <v>38</v>
      </c>
      <c r="B40" s="1" t="s">
        <v>357</v>
      </c>
      <c r="C40" s="44" t="s">
        <v>22</v>
      </c>
      <c r="D40" s="44" t="s">
        <v>79</v>
      </c>
      <c r="E40" s="44">
        <v>15</v>
      </c>
      <c r="F40" s="44">
        <v>22.6</v>
      </c>
      <c r="G40" s="44" t="s">
        <v>1117</v>
      </c>
      <c r="H40" s="44" t="s">
        <v>1118</v>
      </c>
      <c r="I40" s="44">
        <v>2.9</v>
      </c>
      <c r="J40" s="44">
        <v>19.7</v>
      </c>
      <c r="K40" s="44">
        <v>2.8</v>
      </c>
      <c r="L40" s="44">
        <v>5.7</v>
      </c>
      <c r="M40" s="44">
        <v>1.1000000000000001</v>
      </c>
      <c r="N40" s="44">
        <v>0.3</v>
      </c>
      <c r="O40" s="44">
        <v>1.8</v>
      </c>
      <c r="P40" s="44">
        <v>4.41</v>
      </c>
      <c r="Q40">
        <f t="shared" si="0"/>
        <v>38</v>
      </c>
    </row>
    <row r="41" spans="1:17">
      <c r="A41" s="44">
        <v>39</v>
      </c>
      <c r="B41" s="1" t="s">
        <v>52</v>
      </c>
      <c r="C41" s="44" t="s">
        <v>22</v>
      </c>
      <c r="D41" s="44" t="s">
        <v>53</v>
      </c>
      <c r="E41" s="44">
        <v>72</v>
      </c>
      <c r="F41" s="44">
        <v>28</v>
      </c>
      <c r="G41" s="44" t="s">
        <v>1119</v>
      </c>
      <c r="H41" s="44" t="s">
        <v>1120</v>
      </c>
      <c r="I41" s="44">
        <v>3.8</v>
      </c>
      <c r="J41" s="44">
        <v>20.100000000000001</v>
      </c>
      <c r="K41" s="44">
        <v>4.8</v>
      </c>
      <c r="L41" s="44">
        <v>7.1</v>
      </c>
      <c r="M41" s="44">
        <v>1.2</v>
      </c>
      <c r="N41" s="44">
        <v>0.2</v>
      </c>
      <c r="O41" s="44">
        <v>2.8</v>
      </c>
      <c r="P41" s="44">
        <v>4.3600000000000003</v>
      </c>
      <c r="Q41">
        <f t="shared" si="0"/>
        <v>39</v>
      </c>
    </row>
    <row r="42" spans="1:17">
      <c r="A42" s="44">
        <v>40</v>
      </c>
      <c r="B42" s="1" t="s">
        <v>110</v>
      </c>
      <c r="C42" s="44" t="s">
        <v>17</v>
      </c>
      <c r="D42" s="44" t="s">
        <v>98</v>
      </c>
      <c r="E42" s="44">
        <v>70</v>
      </c>
      <c r="F42" s="44">
        <v>28.2</v>
      </c>
      <c r="G42" s="44" t="s">
        <v>1121</v>
      </c>
      <c r="H42" s="44" t="s">
        <v>1122</v>
      </c>
      <c r="I42" s="44">
        <v>0</v>
      </c>
      <c r="J42" s="44">
        <v>19.5</v>
      </c>
      <c r="K42" s="44">
        <v>10.5</v>
      </c>
      <c r="L42" s="44">
        <v>2</v>
      </c>
      <c r="M42" s="44">
        <v>0.8</v>
      </c>
      <c r="N42" s="44">
        <v>0.8</v>
      </c>
      <c r="O42" s="44">
        <v>1.9</v>
      </c>
      <c r="P42" s="44">
        <v>4.33</v>
      </c>
      <c r="Q42">
        <f t="shared" si="0"/>
        <v>40</v>
      </c>
    </row>
    <row r="43" spans="1:17">
      <c r="A43" s="44">
        <v>41</v>
      </c>
      <c r="B43" s="1" t="s">
        <v>520</v>
      </c>
      <c r="C43" s="44" t="s">
        <v>44</v>
      </c>
      <c r="D43" s="44" t="s">
        <v>29</v>
      </c>
      <c r="E43" s="44">
        <v>70</v>
      </c>
      <c r="F43" s="44">
        <v>33.5</v>
      </c>
      <c r="G43" s="44" t="s">
        <v>1123</v>
      </c>
      <c r="H43" s="44" t="s">
        <v>1124</v>
      </c>
      <c r="I43" s="44">
        <v>1</v>
      </c>
      <c r="J43" s="44">
        <v>21.1</v>
      </c>
      <c r="K43" s="44">
        <v>6.7</v>
      </c>
      <c r="L43" s="44">
        <v>4.5</v>
      </c>
      <c r="M43" s="44">
        <v>1.2</v>
      </c>
      <c r="N43" s="44">
        <v>0.9</v>
      </c>
      <c r="O43" s="44">
        <v>2.2999999999999998</v>
      </c>
      <c r="P43" s="44">
        <v>4.3099999999999996</v>
      </c>
      <c r="Q43">
        <f t="shared" si="0"/>
        <v>41</v>
      </c>
    </row>
    <row r="44" spans="1:17">
      <c r="A44" s="44">
        <v>42</v>
      </c>
      <c r="B44" s="1" t="s">
        <v>87</v>
      </c>
      <c r="C44" s="44" t="s">
        <v>25</v>
      </c>
      <c r="D44" s="44" t="s">
        <v>36</v>
      </c>
      <c r="E44" s="44">
        <v>65</v>
      </c>
      <c r="F44" s="44">
        <v>31.9</v>
      </c>
      <c r="G44" s="44" t="s">
        <v>1125</v>
      </c>
      <c r="H44" s="44" t="s">
        <v>1126</v>
      </c>
      <c r="I44" s="44">
        <v>1</v>
      </c>
      <c r="J44" s="44">
        <v>18.2</v>
      </c>
      <c r="K44" s="44">
        <v>9</v>
      </c>
      <c r="L44" s="44">
        <v>3.6</v>
      </c>
      <c r="M44" s="44">
        <v>0.7</v>
      </c>
      <c r="N44" s="44">
        <v>1.7</v>
      </c>
      <c r="O44" s="44">
        <v>1.9</v>
      </c>
      <c r="P44" s="44">
        <v>4.2699999999999996</v>
      </c>
      <c r="Q44">
        <f t="shared" si="0"/>
        <v>42</v>
      </c>
    </row>
    <row r="45" spans="1:17">
      <c r="A45" s="44">
        <v>43</v>
      </c>
      <c r="B45" s="1" t="s">
        <v>45</v>
      </c>
      <c r="C45" s="44" t="s">
        <v>33</v>
      </c>
      <c r="D45" s="44" t="s">
        <v>26</v>
      </c>
      <c r="E45" s="44">
        <v>60</v>
      </c>
      <c r="F45" s="44">
        <v>33.200000000000003</v>
      </c>
      <c r="G45" s="44" t="s">
        <v>1127</v>
      </c>
      <c r="H45" s="44" t="s">
        <v>1128</v>
      </c>
      <c r="I45" s="44">
        <v>1.3</v>
      </c>
      <c r="J45" s="44">
        <v>21</v>
      </c>
      <c r="K45" s="44">
        <v>6.1</v>
      </c>
      <c r="L45" s="44">
        <v>7.2</v>
      </c>
      <c r="M45" s="44">
        <v>1.2</v>
      </c>
      <c r="N45" s="44">
        <v>0.6</v>
      </c>
      <c r="O45" s="44">
        <v>3</v>
      </c>
      <c r="P45" s="44">
        <v>4.25</v>
      </c>
      <c r="Q45">
        <f t="shared" si="0"/>
        <v>43</v>
      </c>
    </row>
    <row r="46" spans="1:17">
      <c r="A46" s="44">
        <v>44</v>
      </c>
      <c r="B46" s="1" t="s">
        <v>67</v>
      </c>
      <c r="C46" s="44" t="s">
        <v>28</v>
      </c>
      <c r="D46" s="44" t="s">
        <v>68</v>
      </c>
      <c r="E46" s="44">
        <v>74</v>
      </c>
      <c r="F46" s="44">
        <v>35</v>
      </c>
      <c r="G46" s="44" t="s">
        <v>1129</v>
      </c>
      <c r="H46" s="44" t="s">
        <v>1130</v>
      </c>
      <c r="I46" s="44">
        <v>2.6</v>
      </c>
      <c r="J46" s="44">
        <v>26</v>
      </c>
      <c r="K46" s="44">
        <v>3.3</v>
      </c>
      <c r="L46" s="44">
        <v>6.8</v>
      </c>
      <c r="M46" s="44">
        <v>0.8</v>
      </c>
      <c r="N46" s="44">
        <v>0.1</v>
      </c>
      <c r="O46" s="44">
        <v>2.4</v>
      </c>
      <c r="P46" s="44">
        <v>4.1900000000000004</v>
      </c>
      <c r="Q46">
        <f t="shared" si="0"/>
        <v>44</v>
      </c>
    </row>
    <row r="47" spans="1:17">
      <c r="A47" s="44">
        <v>45</v>
      </c>
      <c r="B47" s="1" t="s">
        <v>171</v>
      </c>
      <c r="C47" s="44" t="s">
        <v>22</v>
      </c>
      <c r="D47" s="44" t="s">
        <v>82</v>
      </c>
      <c r="E47" s="44">
        <v>54</v>
      </c>
      <c r="F47" s="44">
        <v>32.1</v>
      </c>
      <c r="G47" s="44" t="s">
        <v>1131</v>
      </c>
      <c r="H47" s="44" t="s">
        <v>1132</v>
      </c>
      <c r="I47" s="44">
        <v>1.9</v>
      </c>
      <c r="J47" s="44">
        <v>17</v>
      </c>
      <c r="K47" s="44">
        <v>8.3000000000000007</v>
      </c>
      <c r="L47" s="44">
        <v>9.1</v>
      </c>
      <c r="M47" s="44">
        <v>1</v>
      </c>
      <c r="N47" s="44">
        <v>0.5</v>
      </c>
      <c r="O47" s="44">
        <v>3.6</v>
      </c>
      <c r="P47" s="44">
        <v>4.09</v>
      </c>
      <c r="Q47">
        <f t="shared" si="0"/>
        <v>45</v>
      </c>
    </row>
    <row r="48" spans="1:17">
      <c r="A48" s="44">
        <v>46</v>
      </c>
      <c r="B48" s="1" t="s">
        <v>86</v>
      </c>
      <c r="C48" s="44" t="s">
        <v>22</v>
      </c>
      <c r="D48" s="44" t="s">
        <v>95</v>
      </c>
      <c r="E48" s="44">
        <v>14</v>
      </c>
      <c r="F48" s="44">
        <v>27.8</v>
      </c>
      <c r="G48" s="44" t="s">
        <v>1133</v>
      </c>
      <c r="H48" s="44" t="s">
        <v>1134</v>
      </c>
      <c r="I48" s="44">
        <v>1.4</v>
      </c>
      <c r="J48" s="44">
        <v>16.7</v>
      </c>
      <c r="K48" s="44">
        <v>5.4</v>
      </c>
      <c r="L48" s="44">
        <v>6.4</v>
      </c>
      <c r="M48" s="44">
        <v>1.6</v>
      </c>
      <c r="N48" s="44">
        <v>0.2</v>
      </c>
      <c r="O48" s="44">
        <v>3.4</v>
      </c>
      <c r="P48" s="44">
        <v>3.97</v>
      </c>
      <c r="Q48">
        <f t="shared" si="0"/>
        <v>46</v>
      </c>
    </row>
    <row r="49" spans="1:17">
      <c r="A49" s="44">
        <v>47</v>
      </c>
      <c r="B49" s="1" t="s">
        <v>137</v>
      </c>
      <c r="C49" s="44" t="s">
        <v>22</v>
      </c>
      <c r="D49" s="44" t="s">
        <v>77</v>
      </c>
      <c r="E49" s="44">
        <v>33</v>
      </c>
      <c r="F49" s="44">
        <v>31.3</v>
      </c>
      <c r="G49" s="44" t="s">
        <v>1135</v>
      </c>
      <c r="H49" s="44" t="s">
        <v>1136</v>
      </c>
      <c r="I49" s="44">
        <v>2.6</v>
      </c>
      <c r="J49" s="44">
        <v>20.5</v>
      </c>
      <c r="K49" s="44">
        <v>4.8</v>
      </c>
      <c r="L49" s="44">
        <v>4.0999999999999996</v>
      </c>
      <c r="M49" s="44">
        <v>0.7</v>
      </c>
      <c r="N49" s="44">
        <v>0.4</v>
      </c>
      <c r="O49" s="44">
        <v>1.9</v>
      </c>
      <c r="P49" s="44">
        <v>3.93</v>
      </c>
      <c r="Q49">
        <f t="shared" si="0"/>
        <v>47</v>
      </c>
    </row>
    <row r="50" spans="1:17">
      <c r="A50" s="44">
        <v>48</v>
      </c>
      <c r="B50" s="1" t="s">
        <v>143</v>
      </c>
      <c r="C50" s="44" t="s">
        <v>33</v>
      </c>
      <c r="D50" s="44" t="s">
        <v>68</v>
      </c>
      <c r="E50" s="44">
        <v>67</v>
      </c>
      <c r="F50" s="44">
        <v>33.200000000000003</v>
      </c>
      <c r="G50" s="44" t="s">
        <v>1137</v>
      </c>
      <c r="H50" s="44" t="s">
        <v>1138</v>
      </c>
      <c r="I50" s="44">
        <v>2.2999999999999998</v>
      </c>
      <c r="J50" s="44">
        <v>16.7</v>
      </c>
      <c r="K50" s="44">
        <v>5.2</v>
      </c>
      <c r="L50" s="44">
        <v>2.2000000000000002</v>
      </c>
      <c r="M50" s="44">
        <v>1.6</v>
      </c>
      <c r="N50" s="44">
        <v>0.7</v>
      </c>
      <c r="O50" s="44">
        <v>1.8</v>
      </c>
      <c r="P50" s="44">
        <v>3.86</v>
      </c>
      <c r="Q50">
        <f t="shared" si="0"/>
        <v>48</v>
      </c>
    </row>
    <row r="51" spans="1:17">
      <c r="A51" s="44">
        <v>49</v>
      </c>
      <c r="B51" s="1" t="s">
        <v>89</v>
      </c>
      <c r="C51" s="44" t="s">
        <v>25</v>
      </c>
      <c r="D51" s="44" t="s">
        <v>57</v>
      </c>
      <c r="E51" s="44">
        <v>48</v>
      </c>
      <c r="F51" s="44">
        <v>30.3</v>
      </c>
      <c r="G51" s="44" t="s">
        <v>1139</v>
      </c>
      <c r="H51" s="44" t="s">
        <v>1140</v>
      </c>
      <c r="I51" s="44">
        <v>1.8</v>
      </c>
      <c r="J51" s="44">
        <v>19.399999999999999</v>
      </c>
      <c r="K51" s="44">
        <v>5.7</v>
      </c>
      <c r="L51" s="44">
        <v>2</v>
      </c>
      <c r="M51" s="44">
        <v>1.1000000000000001</v>
      </c>
      <c r="N51" s="44">
        <v>1.4</v>
      </c>
      <c r="O51" s="44">
        <v>2.2000000000000002</v>
      </c>
      <c r="P51" s="44">
        <v>3.73</v>
      </c>
      <c r="Q51">
        <f t="shared" si="0"/>
        <v>49</v>
      </c>
    </row>
    <row r="52" spans="1:17">
      <c r="A52" s="44">
        <v>50</v>
      </c>
      <c r="B52" s="1" t="s">
        <v>163</v>
      </c>
      <c r="C52" s="44" t="s">
        <v>33</v>
      </c>
      <c r="D52" s="44" t="s">
        <v>53</v>
      </c>
      <c r="E52" s="44">
        <v>65</v>
      </c>
      <c r="F52" s="44">
        <v>30.3</v>
      </c>
      <c r="G52" s="44" t="s">
        <v>1141</v>
      </c>
      <c r="H52" s="44" t="s">
        <v>1142</v>
      </c>
      <c r="I52" s="44">
        <v>3.1</v>
      </c>
      <c r="J52" s="44">
        <v>20.2</v>
      </c>
      <c r="K52" s="44">
        <v>4.9000000000000004</v>
      </c>
      <c r="L52" s="44">
        <v>3.3</v>
      </c>
      <c r="M52" s="44">
        <v>1</v>
      </c>
      <c r="N52" s="44">
        <v>0.7</v>
      </c>
      <c r="O52" s="44">
        <v>2.5</v>
      </c>
      <c r="P52" s="44">
        <v>3.7</v>
      </c>
      <c r="Q52">
        <f t="shared" si="0"/>
        <v>50</v>
      </c>
    </row>
    <row r="53" spans="1:17">
      <c r="A53" s="44">
        <v>51</v>
      </c>
      <c r="B53" s="1" t="s">
        <v>1143</v>
      </c>
      <c r="C53" s="44" t="s">
        <v>231</v>
      </c>
      <c r="D53" s="44"/>
      <c r="E53" s="44">
        <v>3</v>
      </c>
      <c r="F53" s="44">
        <v>22.3</v>
      </c>
      <c r="G53" s="44" t="s">
        <v>1144</v>
      </c>
      <c r="H53" s="44" t="s">
        <v>1145</v>
      </c>
      <c r="I53" s="44">
        <v>0.7</v>
      </c>
      <c r="J53" s="44">
        <v>8.3000000000000007</v>
      </c>
      <c r="K53" s="44">
        <v>3.3</v>
      </c>
      <c r="L53" s="44">
        <v>2.7</v>
      </c>
      <c r="M53" s="44">
        <v>2.7</v>
      </c>
      <c r="N53" s="44">
        <v>0.3</v>
      </c>
      <c r="O53" s="44">
        <v>0.7</v>
      </c>
      <c r="P53" s="44">
        <v>3.69</v>
      </c>
      <c r="Q53">
        <f t="shared" si="0"/>
        <v>51</v>
      </c>
    </row>
    <row r="54" spans="1:17">
      <c r="A54" s="44">
        <v>52</v>
      </c>
      <c r="B54" s="1" t="s">
        <v>841</v>
      </c>
      <c r="C54" s="44" t="s">
        <v>22</v>
      </c>
      <c r="D54" s="44" t="s">
        <v>55</v>
      </c>
      <c r="E54" s="44">
        <v>74</v>
      </c>
      <c r="F54" s="44">
        <v>32.1</v>
      </c>
      <c r="G54" s="44" t="s">
        <v>1146</v>
      </c>
      <c r="H54" s="44" t="s">
        <v>1147</v>
      </c>
      <c r="I54" s="44">
        <v>2.5</v>
      </c>
      <c r="J54" s="44">
        <v>17.3</v>
      </c>
      <c r="K54" s="44">
        <v>4.5999999999999996</v>
      </c>
      <c r="L54" s="44">
        <v>5.6</v>
      </c>
      <c r="M54" s="44">
        <v>1.5</v>
      </c>
      <c r="N54" s="44">
        <v>0.4</v>
      </c>
      <c r="O54" s="44">
        <v>2.7</v>
      </c>
      <c r="P54" s="44">
        <v>3.64</v>
      </c>
      <c r="Q54">
        <f t="shared" si="0"/>
        <v>52</v>
      </c>
    </row>
    <row r="55" spans="1:17">
      <c r="A55" s="44">
        <v>53</v>
      </c>
      <c r="B55" s="1" t="s">
        <v>164</v>
      </c>
      <c r="C55" s="44" t="s">
        <v>25</v>
      </c>
      <c r="D55" s="44" t="s">
        <v>61</v>
      </c>
      <c r="E55" s="44">
        <v>74</v>
      </c>
      <c r="F55" s="44">
        <v>31</v>
      </c>
      <c r="G55" s="44" t="s">
        <v>1148</v>
      </c>
      <c r="H55" s="44" t="s">
        <v>1149</v>
      </c>
      <c r="I55" s="44">
        <v>2</v>
      </c>
      <c r="J55" s="44">
        <v>15.2</v>
      </c>
      <c r="K55" s="44">
        <v>7.6</v>
      </c>
      <c r="L55" s="44">
        <v>3.1</v>
      </c>
      <c r="M55" s="44">
        <v>1.1000000000000001</v>
      </c>
      <c r="N55" s="44">
        <v>1.1000000000000001</v>
      </c>
      <c r="O55" s="44">
        <v>1.7</v>
      </c>
      <c r="P55" s="44">
        <v>3.48</v>
      </c>
      <c r="Q55">
        <f t="shared" si="0"/>
        <v>53</v>
      </c>
    </row>
    <row r="56" spans="1:17">
      <c r="A56" s="44">
        <v>54</v>
      </c>
      <c r="B56" s="1" t="s">
        <v>167</v>
      </c>
      <c r="C56" s="44" t="s">
        <v>22</v>
      </c>
      <c r="D56" s="44" t="s">
        <v>112</v>
      </c>
      <c r="E56" s="44">
        <v>57</v>
      </c>
      <c r="F56" s="44">
        <v>27.6</v>
      </c>
      <c r="G56" s="44" t="s">
        <v>1150</v>
      </c>
      <c r="H56" s="44" t="s">
        <v>1151</v>
      </c>
      <c r="I56" s="44">
        <v>2.1</v>
      </c>
      <c r="J56" s="44">
        <v>13.8</v>
      </c>
      <c r="K56" s="44">
        <v>3.9</v>
      </c>
      <c r="L56" s="44">
        <v>5.5</v>
      </c>
      <c r="M56" s="44">
        <v>1.8</v>
      </c>
      <c r="N56" s="44">
        <v>0.7</v>
      </c>
      <c r="O56" s="44">
        <v>2.7</v>
      </c>
      <c r="P56" s="44">
        <v>3.47</v>
      </c>
      <c r="Q56">
        <f t="shared" si="0"/>
        <v>54</v>
      </c>
    </row>
    <row r="57" spans="1:17">
      <c r="A57" s="44">
        <v>55</v>
      </c>
      <c r="B57" s="1" t="s">
        <v>96</v>
      </c>
      <c r="C57" s="44" t="s">
        <v>25</v>
      </c>
      <c r="D57" s="44" t="s">
        <v>77</v>
      </c>
      <c r="E57" s="44">
        <v>73</v>
      </c>
      <c r="F57" s="44">
        <v>32.4</v>
      </c>
      <c r="G57" s="44" t="s">
        <v>1152</v>
      </c>
      <c r="H57" s="44" t="s">
        <v>1153</v>
      </c>
      <c r="I57" s="44">
        <v>1.7</v>
      </c>
      <c r="J57" s="44">
        <v>20.100000000000001</v>
      </c>
      <c r="K57" s="44">
        <v>10</v>
      </c>
      <c r="L57" s="44">
        <v>3.2</v>
      </c>
      <c r="M57" s="44">
        <v>1.2</v>
      </c>
      <c r="N57" s="44">
        <v>0.7</v>
      </c>
      <c r="O57" s="44">
        <v>1.6</v>
      </c>
      <c r="P57" s="44">
        <v>3.39</v>
      </c>
      <c r="Q57">
        <f t="shared" si="0"/>
        <v>55</v>
      </c>
    </row>
    <row r="58" spans="1:17">
      <c r="A58" s="44">
        <v>56</v>
      </c>
      <c r="B58" s="1" t="s">
        <v>272</v>
      </c>
      <c r="C58" s="44" t="s">
        <v>17</v>
      </c>
      <c r="D58" s="44" t="s">
        <v>91</v>
      </c>
      <c r="E58" s="44">
        <v>77</v>
      </c>
      <c r="F58" s="44">
        <v>27.2</v>
      </c>
      <c r="G58" s="44" t="s">
        <v>1154</v>
      </c>
      <c r="H58" s="44" t="s">
        <v>1155</v>
      </c>
      <c r="I58" s="44">
        <v>1.1000000000000001</v>
      </c>
      <c r="J58" s="44">
        <v>12.1</v>
      </c>
      <c r="K58" s="44">
        <v>11.6</v>
      </c>
      <c r="L58" s="44">
        <v>2.1</v>
      </c>
      <c r="M58" s="44">
        <v>0.6</v>
      </c>
      <c r="N58" s="44">
        <v>1.7</v>
      </c>
      <c r="O58" s="44">
        <v>1.2</v>
      </c>
      <c r="P58" s="44">
        <v>3.38</v>
      </c>
      <c r="Q58">
        <f t="shared" si="0"/>
        <v>56</v>
      </c>
    </row>
    <row r="59" spans="1:17">
      <c r="A59" s="44">
        <v>57</v>
      </c>
      <c r="B59" s="1" t="s">
        <v>51</v>
      </c>
      <c r="C59" s="44" t="s">
        <v>38</v>
      </c>
      <c r="D59" s="44" t="s">
        <v>18</v>
      </c>
      <c r="E59" s="44">
        <v>37</v>
      </c>
      <c r="F59" s="44">
        <v>30.7</v>
      </c>
      <c r="G59" s="44" t="s">
        <v>1156</v>
      </c>
      <c r="H59" s="44" t="s">
        <v>1157</v>
      </c>
      <c r="I59" s="44">
        <v>2.7</v>
      </c>
      <c r="J59" s="44">
        <v>17.3</v>
      </c>
      <c r="K59" s="44">
        <v>5.3</v>
      </c>
      <c r="L59" s="44">
        <v>3.6</v>
      </c>
      <c r="M59" s="44">
        <v>1.6</v>
      </c>
      <c r="N59" s="44">
        <v>0.4</v>
      </c>
      <c r="O59" s="44">
        <v>1.7</v>
      </c>
      <c r="P59" s="44">
        <v>3.05</v>
      </c>
      <c r="Q59">
        <f t="shared" si="0"/>
        <v>57</v>
      </c>
    </row>
    <row r="60" spans="1:17">
      <c r="A60" s="44">
        <v>58</v>
      </c>
      <c r="B60" s="1" t="s">
        <v>269</v>
      </c>
      <c r="C60" s="44" t="s">
        <v>17</v>
      </c>
      <c r="D60" s="44" t="s">
        <v>139</v>
      </c>
      <c r="E60" s="44">
        <v>48</v>
      </c>
      <c r="F60" s="44">
        <v>27.2</v>
      </c>
      <c r="G60" s="44" t="s">
        <v>1158</v>
      </c>
      <c r="H60" s="44" t="s">
        <v>1159</v>
      </c>
      <c r="I60" s="44">
        <v>1</v>
      </c>
      <c r="J60" s="44">
        <v>16.3</v>
      </c>
      <c r="K60" s="44">
        <v>7.4</v>
      </c>
      <c r="L60" s="44">
        <v>2.7</v>
      </c>
      <c r="M60" s="44">
        <v>0.8</v>
      </c>
      <c r="N60" s="44">
        <v>2</v>
      </c>
      <c r="O60" s="44">
        <v>1.7</v>
      </c>
      <c r="P60" s="44">
        <v>2.96</v>
      </c>
      <c r="Q60">
        <f t="shared" si="0"/>
        <v>58</v>
      </c>
    </row>
    <row r="61" spans="1:17">
      <c r="A61" s="44">
        <v>59</v>
      </c>
      <c r="B61" s="1" t="s">
        <v>101</v>
      </c>
      <c r="C61" s="44" t="s">
        <v>17</v>
      </c>
      <c r="D61" s="44" t="s">
        <v>73</v>
      </c>
      <c r="E61" s="44">
        <v>76</v>
      </c>
      <c r="F61" s="44">
        <v>31.2</v>
      </c>
      <c r="G61" s="44" t="s">
        <v>1160</v>
      </c>
      <c r="H61" s="44" t="s">
        <v>1161</v>
      </c>
      <c r="I61" s="44">
        <v>0</v>
      </c>
      <c r="J61" s="44">
        <v>10.9</v>
      </c>
      <c r="K61" s="44">
        <v>11.5</v>
      </c>
      <c r="L61" s="44">
        <v>1.7</v>
      </c>
      <c r="M61" s="44">
        <v>0.8</v>
      </c>
      <c r="N61" s="44">
        <v>1.6</v>
      </c>
      <c r="O61" s="44">
        <v>1.4</v>
      </c>
      <c r="P61" s="44">
        <v>2.94</v>
      </c>
      <c r="Q61">
        <f t="shared" si="0"/>
        <v>59</v>
      </c>
    </row>
    <row r="62" spans="1:17">
      <c r="A62" s="44">
        <v>60</v>
      </c>
      <c r="B62" s="1" t="s">
        <v>1162</v>
      </c>
      <c r="C62" s="44" t="s">
        <v>231</v>
      </c>
      <c r="D62" s="44" t="s">
        <v>139</v>
      </c>
      <c r="E62" s="44">
        <v>4</v>
      </c>
      <c r="F62" s="44">
        <v>25.2</v>
      </c>
      <c r="G62" s="44" t="s">
        <v>1163</v>
      </c>
      <c r="H62" s="44" t="s">
        <v>1164</v>
      </c>
      <c r="I62" s="44">
        <v>1.3</v>
      </c>
      <c r="J62" s="44">
        <v>11</v>
      </c>
      <c r="K62" s="44">
        <v>6.3</v>
      </c>
      <c r="L62" s="44">
        <v>3</v>
      </c>
      <c r="M62" s="44">
        <v>0.8</v>
      </c>
      <c r="N62" s="44">
        <v>0.8</v>
      </c>
      <c r="O62" s="44">
        <v>1.3</v>
      </c>
      <c r="P62" s="44">
        <v>2.89</v>
      </c>
      <c r="Q62">
        <f t="shared" ref="Q62:Q121" si="1">A62</f>
        <v>60</v>
      </c>
    </row>
    <row r="63" spans="1:17">
      <c r="A63" s="44">
        <v>61</v>
      </c>
      <c r="B63" s="1" t="s">
        <v>109</v>
      </c>
      <c r="C63" s="44" t="s">
        <v>38</v>
      </c>
      <c r="D63" s="44" t="s">
        <v>59</v>
      </c>
      <c r="E63" s="44">
        <v>77</v>
      </c>
      <c r="F63" s="44">
        <v>33.799999999999997</v>
      </c>
      <c r="G63" s="44" t="s">
        <v>1165</v>
      </c>
      <c r="H63" s="44" t="s">
        <v>1166</v>
      </c>
      <c r="I63" s="44">
        <v>1.8</v>
      </c>
      <c r="J63" s="44">
        <v>21.5</v>
      </c>
      <c r="K63" s="44">
        <v>5.6</v>
      </c>
      <c r="L63" s="44">
        <v>3.7</v>
      </c>
      <c r="M63" s="44">
        <v>0.8</v>
      </c>
      <c r="N63" s="44">
        <v>0.7</v>
      </c>
      <c r="O63" s="44">
        <v>2.4</v>
      </c>
      <c r="P63" s="44">
        <v>2.87</v>
      </c>
      <c r="Q63">
        <f t="shared" si="1"/>
        <v>61</v>
      </c>
    </row>
    <row r="64" spans="1:17">
      <c r="A64" s="44">
        <v>62</v>
      </c>
      <c r="B64" s="1" t="s">
        <v>119</v>
      </c>
      <c r="C64" s="44" t="s">
        <v>25</v>
      </c>
      <c r="D64" s="44" t="s">
        <v>73</v>
      </c>
      <c r="E64" s="44">
        <v>79</v>
      </c>
      <c r="F64" s="44">
        <v>33.1</v>
      </c>
      <c r="G64" s="44" t="s">
        <v>1167</v>
      </c>
      <c r="H64" s="44" t="s">
        <v>1168</v>
      </c>
      <c r="I64" s="44">
        <v>1.4</v>
      </c>
      <c r="J64" s="44">
        <v>21.1</v>
      </c>
      <c r="K64" s="44">
        <v>6.7</v>
      </c>
      <c r="L64" s="44">
        <v>5</v>
      </c>
      <c r="M64" s="44">
        <v>1.1000000000000001</v>
      </c>
      <c r="N64" s="44">
        <v>0.2</v>
      </c>
      <c r="O64" s="44">
        <v>2.8</v>
      </c>
      <c r="P64" s="44">
        <v>2.8</v>
      </c>
      <c r="Q64">
        <f t="shared" si="1"/>
        <v>62</v>
      </c>
    </row>
    <row r="65" spans="1:17">
      <c r="A65" s="44">
        <v>63</v>
      </c>
      <c r="B65" s="1" t="s">
        <v>148</v>
      </c>
      <c r="C65" s="44" t="s">
        <v>38</v>
      </c>
      <c r="D65" s="44" t="s">
        <v>68</v>
      </c>
      <c r="E65" s="44">
        <v>82</v>
      </c>
      <c r="F65" s="44">
        <v>32.799999999999997</v>
      </c>
      <c r="G65" s="44" t="s">
        <v>1169</v>
      </c>
      <c r="H65" s="44" t="s">
        <v>1170</v>
      </c>
      <c r="I65" s="44">
        <v>1.9</v>
      </c>
      <c r="J65" s="44">
        <v>14.4</v>
      </c>
      <c r="K65" s="44">
        <v>3.8</v>
      </c>
      <c r="L65" s="44">
        <v>3.7</v>
      </c>
      <c r="M65" s="44">
        <v>1.3</v>
      </c>
      <c r="N65" s="44">
        <v>0.8</v>
      </c>
      <c r="O65" s="44">
        <v>1</v>
      </c>
      <c r="P65" s="44">
        <v>2.7</v>
      </c>
      <c r="Q65">
        <f t="shared" si="1"/>
        <v>63</v>
      </c>
    </row>
    <row r="66" spans="1:17">
      <c r="A66" s="44">
        <v>64</v>
      </c>
      <c r="B66" s="1" t="s">
        <v>694</v>
      </c>
      <c r="C66" s="44" t="s">
        <v>75</v>
      </c>
      <c r="D66" s="44" t="s">
        <v>53</v>
      </c>
      <c r="E66" s="44">
        <v>81</v>
      </c>
      <c r="F66" s="44">
        <v>31.5</v>
      </c>
      <c r="G66" s="44" t="s">
        <v>1171</v>
      </c>
      <c r="H66" s="44" t="s">
        <v>1172</v>
      </c>
      <c r="I66" s="44">
        <v>3.4</v>
      </c>
      <c r="J66" s="44">
        <v>18.5</v>
      </c>
      <c r="K66" s="44">
        <v>5.3</v>
      </c>
      <c r="L66" s="44">
        <v>3.4</v>
      </c>
      <c r="M66" s="44">
        <v>0.7</v>
      </c>
      <c r="N66" s="44">
        <v>0.2</v>
      </c>
      <c r="O66" s="44">
        <v>2</v>
      </c>
      <c r="P66" s="44">
        <v>2.69</v>
      </c>
      <c r="Q66">
        <f t="shared" si="1"/>
        <v>64</v>
      </c>
    </row>
    <row r="67" spans="1:17">
      <c r="A67" s="44">
        <v>65</v>
      </c>
      <c r="B67" s="1" t="s">
        <v>288</v>
      </c>
      <c r="C67" s="44" t="s">
        <v>33</v>
      </c>
      <c r="D67" s="44" t="s">
        <v>82</v>
      </c>
      <c r="E67" s="44">
        <v>77</v>
      </c>
      <c r="F67" s="44">
        <v>29.2</v>
      </c>
      <c r="G67" s="44" t="s">
        <v>1173</v>
      </c>
      <c r="H67" s="44" t="s">
        <v>1174</v>
      </c>
      <c r="I67" s="44">
        <v>2.2999999999999998</v>
      </c>
      <c r="J67" s="44">
        <v>16.3</v>
      </c>
      <c r="K67" s="44">
        <v>5.8</v>
      </c>
      <c r="L67" s="44">
        <v>2.1</v>
      </c>
      <c r="M67" s="44">
        <v>0.7</v>
      </c>
      <c r="N67" s="44">
        <v>1.5</v>
      </c>
      <c r="O67" s="44">
        <v>2.1</v>
      </c>
      <c r="P67" s="44">
        <v>2.5299999999999998</v>
      </c>
      <c r="Q67">
        <f t="shared" si="1"/>
        <v>65</v>
      </c>
    </row>
    <row r="68" spans="1:17">
      <c r="A68" s="44">
        <v>66</v>
      </c>
      <c r="B68" s="1" t="s">
        <v>133</v>
      </c>
      <c r="C68" s="44" t="s">
        <v>28</v>
      </c>
      <c r="D68" s="44" t="s">
        <v>39</v>
      </c>
      <c r="E68" s="44">
        <v>45</v>
      </c>
      <c r="F68" s="44">
        <v>29.9</v>
      </c>
      <c r="G68" s="44" t="s">
        <v>1175</v>
      </c>
      <c r="H68" s="44" t="s">
        <v>1176</v>
      </c>
      <c r="I68" s="44">
        <v>2.7</v>
      </c>
      <c r="J68" s="44">
        <v>18.8</v>
      </c>
      <c r="K68" s="44">
        <v>2.4</v>
      </c>
      <c r="L68" s="44">
        <v>6.7</v>
      </c>
      <c r="M68" s="44">
        <v>1</v>
      </c>
      <c r="N68" s="44">
        <v>0.2</v>
      </c>
      <c r="O68" s="44">
        <v>2.9</v>
      </c>
      <c r="P68" s="44">
        <v>2.5099999999999998</v>
      </c>
      <c r="Q68">
        <f t="shared" si="1"/>
        <v>66</v>
      </c>
    </row>
    <row r="69" spans="1:17">
      <c r="A69" s="44">
        <v>67</v>
      </c>
      <c r="B69" s="1" t="s">
        <v>227</v>
      </c>
      <c r="C69" s="44" t="s">
        <v>33</v>
      </c>
      <c r="D69" s="44" t="s">
        <v>73</v>
      </c>
      <c r="E69" s="44">
        <v>73</v>
      </c>
      <c r="F69" s="44">
        <v>31.6</v>
      </c>
      <c r="G69" s="44" t="s">
        <v>1177</v>
      </c>
      <c r="H69" s="44" t="s">
        <v>1178</v>
      </c>
      <c r="I69" s="44">
        <v>1.4</v>
      </c>
      <c r="J69" s="44">
        <v>14.8</v>
      </c>
      <c r="K69" s="44">
        <v>4.2</v>
      </c>
      <c r="L69" s="44">
        <v>2.7</v>
      </c>
      <c r="M69" s="44">
        <v>1.1000000000000001</v>
      </c>
      <c r="N69" s="44">
        <v>1</v>
      </c>
      <c r="O69" s="44">
        <v>1.8</v>
      </c>
      <c r="P69" s="44">
        <v>2.5</v>
      </c>
      <c r="Q69">
        <f t="shared" si="1"/>
        <v>67</v>
      </c>
    </row>
    <row r="70" spans="1:17">
      <c r="A70" s="44">
        <v>68</v>
      </c>
      <c r="B70" s="1" t="s">
        <v>237</v>
      </c>
      <c r="C70" s="44" t="s">
        <v>44</v>
      </c>
      <c r="D70" s="44" t="s">
        <v>61</v>
      </c>
      <c r="E70" s="44">
        <v>76</v>
      </c>
      <c r="F70" s="44">
        <v>33.200000000000003</v>
      </c>
      <c r="G70" s="44" t="s">
        <v>1179</v>
      </c>
      <c r="H70" s="44" t="s">
        <v>1180</v>
      </c>
      <c r="I70" s="44">
        <v>0.3</v>
      </c>
      <c r="J70" s="44">
        <v>11.9</v>
      </c>
      <c r="K70" s="44">
        <v>6.8</v>
      </c>
      <c r="L70" s="44">
        <v>5.9</v>
      </c>
      <c r="M70" s="44">
        <v>2</v>
      </c>
      <c r="N70" s="44">
        <v>0.4</v>
      </c>
      <c r="O70" s="44">
        <v>1.8</v>
      </c>
      <c r="P70" s="44">
        <v>2.42</v>
      </c>
      <c r="Q70">
        <f t="shared" si="1"/>
        <v>68</v>
      </c>
    </row>
    <row r="71" spans="1:17">
      <c r="A71" s="44">
        <v>69</v>
      </c>
      <c r="B71" s="1" t="s">
        <v>85</v>
      </c>
      <c r="C71" s="44" t="s">
        <v>28</v>
      </c>
      <c r="D71" s="44" t="s">
        <v>79</v>
      </c>
      <c r="E71" s="44">
        <v>20</v>
      </c>
      <c r="F71" s="44">
        <v>28.4</v>
      </c>
      <c r="G71" s="44" t="s">
        <v>1181</v>
      </c>
      <c r="H71" s="44" t="s">
        <v>1182</v>
      </c>
      <c r="I71" s="44">
        <v>1</v>
      </c>
      <c r="J71" s="44">
        <v>19.5</v>
      </c>
      <c r="K71" s="44">
        <v>3.3</v>
      </c>
      <c r="L71" s="44">
        <v>8.1</v>
      </c>
      <c r="M71" s="44">
        <v>1</v>
      </c>
      <c r="N71" s="44">
        <v>0.3</v>
      </c>
      <c r="O71" s="44">
        <v>3.6</v>
      </c>
      <c r="P71" s="44">
        <v>2.31</v>
      </c>
      <c r="Q71">
        <f t="shared" si="1"/>
        <v>69</v>
      </c>
    </row>
    <row r="72" spans="1:17">
      <c r="A72" s="44">
        <v>70</v>
      </c>
      <c r="B72" s="1" t="s">
        <v>159</v>
      </c>
      <c r="C72" s="44" t="s">
        <v>22</v>
      </c>
      <c r="D72" s="44" t="s">
        <v>59</v>
      </c>
      <c r="E72" s="44">
        <v>70</v>
      </c>
      <c r="F72" s="44">
        <v>31.9</v>
      </c>
      <c r="G72" s="44" t="s">
        <v>1183</v>
      </c>
      <c r="H72" s="44" t="s">
        <v>1184</v>
      </c>
      <c r="I72" s="44">
        <v>2.5</v>
      </c>
      <c r="J72" s="44">
        <v>16.399999999999999</v>
      </c>
      <c r="K72" s="44">
        <v>4</v>
      </c>
      <c r="L72" s="44">
        <v>5.9</v>
      </c>
      <c r="M72" s="44">
        <v>1.3</v>
      </c>
      <c r="N72" s="44">
        <v>0.1</v>
      </c>
      <c r="O72" s="44">
        <v>1.5</v>
      </c>
      <c r="P72" s="44">
        <v>2.23</v>
      </c>
      <c r="Q72">
        <f t="shared" si="1"/>
        <v>70</v>
      </c>
    </row>
    <row r="73" spans="1:17">
      <c r="A73" s="44">
        <v>71</v>
      </c>
      <c r="B73" s="1" t="s">
        <v>83</v>
      </c>
      <c r="C73" s="44" t="s">
        <v>22</v>
      </c>
      <c r="D73" s="44" t="s">
        <v>31</v>
      </c>
      <c r="E73" s="44">
        <v>72</v>
      </c>
      <c r="F73" s="44">
        <v>31</v>
      </c>
      <c r="G73" s="44" t="s">
        <v>1185</v>
      </c>
      <c r="H73" s="44" t="s">
        <v>1186</v>
      </c>
      <c r="I73" s="44">
        <v>1.8</v>
      </c>
      <c r="J73" s="44">
        <v>18.600000000000001</v>
      </c>
      <c r="K73" s="44">
        <v>3.8</v>
      </c>
      <c r="L73" s="44">
        <v>6.2</v>
      </c>
      <c r="M73" s="44">
        <v>1.2</v>
      </c>
      <c r="N73" s="44">
        <v>0.3</v>
      </c>
      <c r="O73" s="44">
        <v>2.2999999999999998</v>
      </c>
      <c r="P73" s="44">
        <v>2.19</v>
      </c>
      <c r="Q73">
        <f t="shared" si="1"/>
        <v>71</v>
      </c>
    </row>
    <row r="74" spans="1:17">
      <c r="A74" s="44">
        <v>72</v>
      </c>
      <c r="B74" s="1" t="s">
        <v>244</v>
      </c>
      <c r="C74" s="44" t="s">
        <v>38</v>
      </c>
      <c r="D74" s="44" t="s">
        <v>77</v>
      </c>
      <c r="E74" s="44">
        <v>68</v>
      </c>
      <c r="F74" s="44">
        <v>30.3</v>
      </c>
      <c r="G74" s="44" t="s">
        <v>1187</v>
      </c>
      <c r="H74" s="44" t="s">
        <v>1188</v>
      </c>
      <c r="I74" s="44">
        <v>2</v>
      </c>
      <c r="J74" s="44">
        <v>15.4</v>
      </c>
      <c r="K74" s="44">
        <v>4.8</v>
      </c>
      <c r="L74" s="44">
        <v>2.7</v>
      </c>
      <c r="M74" s="44">
        <v>1.1000000000000001</v>
      </c>
      <c r="N74" s="44">
        <v>1</v>
      </c>
      <c r="O74" s="44">
        <v>1.5</v>
      </c>
      <c r="P74" s="44">
        <v>2.1800000000000002</v>
      </c>
      <c r="Q74">
        <f t="shared" si="1"/>
        <v>72</v>
      </c>
    </row>
    <row r="75" spans="1:17">
      <c r="A75" s="44">
        <v>73</v>
      </c>
      <c r="B75" s="1" t="s">
        <v>719</v>
      </c>
      <c r="C75" s="44" t="s">
        <v>22</v>
      </c>
      <c r="D75" s="44" t="s">
        <v>18</v>
      </c>
      <c r="E75" s="44">
        <v>75</v>
      </c>
      <c r="F75" s="44">
        <v>35</v>
      </c>
      <c r="G75" s="44" t="s">
        <v>1189</v>
      </c>
      <c r="H75" s="44" t="s">
        <v>1190</v>
      </c>
      <c r="I75" s="44">
        <v>2</v>
      </c>
      <c r="J75" s="44">
        <v>16</v>
      </c>
      <c r="K75" s="44">
        <v>5.6</v>
      </c>
      <c r="L75" s="44">
        <v>4.2</v>
      </c>
      <c r="M75" s="44">
        <v>1.4</v>
      </c>
      <c r="N75" s="44">
        <v>0.5</v>
      </c>
      <c r="O75" s="44">
        <v>1.8</v>
      </c>
      <c r="P75" s="44">
        <v>2.12</v>
      </c>
      <c r="Q75">
        <f t="shared" si="1"/>
        <v>73</v>
      </c>
    </row>
    <row r="76" spans="1:17">
      <c r="A76" s="44">
        <v>74</v>
      </c>
      <c r="B76" s="1" t="s">
        <v>212</v>
      </c>
      <c r="C76" s="44" t="s">
        <v>75</v>
      </c>
      <c r="D76" s="44" t="s">
        <v>77</v>
      </c>
      <c r="E76" s="44">
        <v>58</v>
      </c>
      <c r="F76" s="44">
        <v>29.6</v>
      </c>
      <c r="G76" s="44" t="s">
        <v>1191</v>
      </c>
      <c r="H76" s="44" t="s">
        <v>1192</v>
      </c>
      <c r="I76" s="44">
        <v>2.7</v>
      </c>
      <c r="J76" s="44">
        <v>21.7</v>
      </c>
      <c r="K76" s="44">
        <v>3.5</v>
      </c>
      <c r="L76" s="44">
        <v>2.4</v>
      </c>
      <c r="M76" s="44">
        <v>1.1000000000000001</v>
      </c>
      <c r="N76" s="44">
        <v>0.2</v>
      </c>
      <c r="O76" s="44">
        <v>1.9</v>
      </c>
      <c r="P76" s="44">
        <v>2.06</v>
      </c>
      <c r="Q76">
        <f t="shared" si="1"/>
        <v>74</v>
      </c>
    </row>
    <row r="77" spans="1:17">
      <c r="A77" s="44">
        <v>75</v>
      </c>
      <c r="B77" s="1" t="s">
        <v>103</v>
      </c>
      <c r="C77" s="44" t="s">
        <v>17</v>
      </c>
      <c r="D77" s="44" t="s">
        <v>47</v>
      </c>
      <c r="E77" s="44">
        <v>64</v>
      </c>
      <c r="F77" s="44">
        <v>28.4</v>
      </c>
      <c r="G77" s="44" t="s">
        <v>1193</v>
      </c>
      <c r="H77" s="44" t="s">
        <v>1194</v>
      </c>
      <c r="I77" s="44">
        <v>1.6</v>
      </c>
      <c r="J77" s="44">
        <v>15.1</v>
      </c>
      <c r="K77" s="44">
        <v>8.4</v>
      </c>
      <c r="L77" s="44">
        <v>3.3</v>
      </c>
      <c r="M77" s="44">
        <v>0.6</v>
      </c>
      <c r="N77" s="44">
        <v>0.6</v>
      </c>
      <c r="O77" s="44">
        <v>1.3</v>
      </c>
      <c r="P77" s="44">
        <v>2.06</v>
      </c>
      <c r="Q77">
        <f t="shared" si="1"/>
        <v>75</v>
      </c>
    </row>
    <row r="78" spans="1:17">
      <c r="A78" s="44">
        <v>76</v>
      </c>
      <c r="B78" s="1" t="s">
        <v>48</v>
      </c>
      <c r="C78" s="44" t="s">
        <v>25</v>
      </c>
      <c r="D78" s="44" t="s">
        <v>50</v>
      </c>
      <c r="E78" s="44">
        <v>32</v>
      </c>
      <c r="F78" s="44">
        <v>24</v>
      </c>
      <c r="G78" s="44" t="s">
        <v>1195</v>
      </c>
      <c r="H78" s="44" t="s">
        <v>1196</v>
      </c>
      <c r="I78" s="44">
        <v>1.7</v>
      </c>
      <c r="J78" s="44">
        <v>16.600000000000001</v>
      </c>
      <c r="K78" s="44">
        <v>5.2</v>
      </c>
      <c r="L78" s="44">
        <v>2.5</v>
      </c>
      <c r="M78" s="44">
        <v>0.6</v>
      </c>
      <c r="N78" s="44">
        <v>1.2</v>
      </c>
      <c r="O78" s="44">
        <v>1.3</v>
      </c>
      <c r="P78" s="44">
        <v>2</v>
      </c>
      <c r="Q78">
        <f t="shared" si="1"/>
        <v>76</v>
      </c>
    </row>
    <row r="79" spans="1:17">
      <c r="A79" s="44">
        <v>77</v>
      </c>
      <c r="B79" s="1" t="s">
        <v>168</v>
      </c>
      <c r="C79" s="44" t="s">
        <v>25</v>
      </c>
      <c r="D79" s="44" t="s">
        <v>112</v>
      </c>
      <c r="E79" s="44">
        <v>72</v>
      </c>
      <c r="F79" s="44">
        <v>34.700000000000003</v>
      </c>
      <c r="G79" s="44" t="s">
        <v>1197</v>
      </c>
      <c r="H79" s="44" t="s">
        <v>1198</v>
      </c>
      <c r="I79" s="44">
        <v>1.2</v>
      </c>
      <c r="J79" s="44">
        <v>22.2</v>
      </c>
      <c r="K79" s="44">
        <v>8.4</v>
      </c>
      <c r="L79" s="44">
        <v>5.2</v>
      </c>
      <c r="M79" s="44">
        <v>0.7</v>
      </c>
      <c r="N79" s="44">
        <v>0.6</v>
      </c>
      <c r="O79" s="44">
        <v>3.1</v>
      </c>
      <c r="P79" s="44">
        <v>1.99</v>
      </c>
      <c r="Q79">
        <f t="shared" si="1"/>
        <v>77</v>
      </c>
    </row>
    <row r="80" spans="1:17">
      <c r="A80" s="44">
        <v>78</v>
      </c>
      <c r="B80" s="1" t="s">
        <v>93</v>
      </c>
      <c r="C80" s="44" t="s">
        <v>33</v>
      </c>
      <c r="D80" s="44" t="s">
        <v>23</v>
      </c>
      <c r="E80" s="44">
        <v>33</v>
      </c>
      <c r="F80" s="44">
        <v>28.4</v>
      </c>
      <c r="G80" s="44" t="s">
        <v>1199</v>
      </c>
      <c r="H80" s="44" t="s">
        <v>1200</v>
      </c>
      <c r="I80" s="44">
        <v>0.7</v>
      </c>
      <c r="J80" s="44">
        <v>17.100000000000001</v>
      </c>
      <c r="K80" s="44">
        <v>4.5999999999999996</v>
      </c>
      <c r="L80" s="44">
        <v>5.5</v>
      </c>
      <c r="M80" s="44">
        <v>1.2</v>
      </c>
      <c r="N80" s="44">
        <v>0.3</v>
      </c>
      <c r="O80" s="44">
        <v>1.9</v>
      </c>
      <c r="P80" s="44">
        <v>1.98</v>
      </c>
      <c r="Q80">
        <f t="shared" si="1"/>
        <v>78</v>
      </c>
    </row>
    <row r="81" spans="1:17">
      <c r="A81" s="44">
        <v>79</v>
      </c>
      <c r="B81" s="1" t="s">
        <v>88</v>
      </c>
      <c r="C81" s="44" t="s">
        <v>17</v>
      </c>
      <c r="D81" s="44" t="s">
        <v>36</v>
      </c>
      <c r="E81" s="44">
        <v>56</v>
      </c>
      <c r="F81" s="44">
        <v>27.1</v>
      </c>
      <c r="G81" s="44" t="s">
        <v>1201</v>
      </c>
      <c r="H81" s="44" t="s">
        <v>1202</v>
      </c>
      <c r="I81" s="44">
        <v>0</v>
      </c>
      <c r="J81" s="44">
        <v>15.4</v>
      </c>
      <c r="K81" s="44">
        <v>8.5</v>
      </c>
      <c r="L81" s="44">
        <v>1.8</v>
      </c>
      <c r="M81" s="44">
        <v>1</v>
      </c>
      <c r="N81" s="44">
        <v>0.8</v>
      </c>
      <c r="O81" s="44">
        <v>1.3</v>
      </c>
      <c r="P81" s="44">
        <v>1.87</v>
      </c>
      <c r="Q81">
        <f t="shared" si="1"/>
        <v>79</v>
      </c>
    </row>
    <row r="82" spans="1:17">
      <c r="A82" s="44">
        <v>80</v>
      </c>
      <c r="B82" s="1" t="s">
        <v>81</v>
      </c>
      <c r="C82" s="44" t="s">
        <v>33</v>
      </c>
      <c r="D82" s="44" t="s">
        <v>63</v>
      </c>
      <c r="E82" s="44">
        <v>77</v>
      </c>
      <c r="F82" s="44">
        <v>31.2</v>
      </c>
      <c r="G82" s="44" t="s">
        <v>1203</v>
      </c>
      <c r="H82" s="44" t="s">
        <v>1204</v>
      </c>
      <c r="I82" s="44">
        <v>0.6</v>
      </c>
      <c r="J82" s="44">
        <v>18.399999999999999</v>
      </c>
      <c r="K82" s="44">
        <v>2.9</v>
      </c>
      <c r="L82" s="44">
        <v>4.0999999999999996</v>
      </c>
      <c r="M82" s="44">
        <v>1</v>
      </c>
      <c r="N82" s="44">
        <v>0.3</v>
      </c>
      <c r="O82" s="44">
        <v>1.2</v>
      </c>
      <c r="P82" s="44">
        <v>1.85</v>
      </c>
      <c r="Q82">
        <f t="shared" si="1"/>
        <v>80</v>
      </c>
    </row>
    <row r="83" spans="1:17">
      <c r="A83" s="44">
        <v>81</v>
      </c>
      <c r="B83" s="1" t="s">
        <v>60</v>
      </c>
      <c r="C83" s="44" t="s">
        <v>28</v>
      </c>
      <c r="D83" s="44" t="s">
        <v>139</v>
      </c>
      <c r="E83" s="44">
        <v>15</v>
      </c>
      <c r="F83" s="44">
        <v>25.6</v>
      </c>
      <c r="G83" s="44" t="s">
        <v>1205</v>
      </c>
      <c r="H83" s="44" t="s">
        <v>1206</v>
      </c>
      <c r="I83" s="44">
        <v>1.8</v>
      </c>
      <c r="J83" s="44">
        <v>17.899999999999999</v>
      </c>
      <c r="K83" s="44">
        <v>2</v>
      </c>
      <c r="L83" s="44">
        <v>8</v>
      </c>
      <c r="M83" s="44">
        <v>0.9</v>
      </c>
      <c r="N83" s="44">
        <v>0.1</v>
      </c>
      <c r="O83" s="44">
        <v>2.6</v>
      </c>
      <c r="P83" s="44">
        <v>1.82</v>
      </c>
      <c r="Q83">
        <f t="shared" si="1"/>
        <v>81</v>
      </c>
    </row>
    <row r="84" spans="1:17">
      <c r="A84" s="44">
        <v>82</v>
      </c>
      <c r="B84" s="1" t="s">
        <v>176</v>
      </c>
      <c r="C84" s="44" t="s">
        <v>22</v>
      </c>
      <c r="D84" s="44" t="s">
        <v>82</v>
      </c>
      <c r="E84" s="44">
        <v>65</v>
      </c>
      <c r="F84" s="44">
        <v>27</v>
      </c>
      <c r="G84" s="44" t="s">
        <v>1207</v>
      </c>
      <c r="H84" s="44" t="s">
        <v>1208</v>
      </c>
      <c r="I84" s="44">
        <v>0.6</v>
      </c>
      <c r="J84" s="44">
        <v>14.1</v>
      </c>
      <c r="K84" s="44">
        <v>3.1</v>
      </c>
      <c r="L84" s="44">
        <v>5.4</v>
      </c>
      <c r="M84" s="44">
        <v>1.2</v>
      </c>
      <c r="N84" s="44">
        <v>0.2</v>
      </c>
      <c r="O84" s="44">
        <v>1.4</v>
      </c>
      <c r="P84" s="44">
        <v>1.82</v>
      </c>
      <c r="Q84">
        <f t="shared" si="1"/>
        <v>82</v>
      </c>
    </row>
    <row r="85" spans="1:17">
      <c r="A85" s="44">
        <v>83</v>
      </c>
      <c r="B85" s="1" t="s">
        <v>111</v>
      </c>
      <c r="C85" s="44" t="s">
        <v>33</v>
      </c>
      <c r="D85" s="44" t="s">
        <v>112</v>
      </c>
      <c r="E85" s="44">
        <v>34</v>
      </c>
      <c r="F85" s="44">
        <v>30</v>
      </c>
      <c r="G85" s="44" t="s">
        <v>1209</v>
      </c>
      <c r="H85" s="44" t="s">
        <v>1210</v>
      </c>
      <c r="I85" s="44">
        <v>1.4</v>
      </c>
      <c r="J85" s="44">
        <v>20.6</v>
      </c>
      <c r="K85" s="44">
        <v>5.2</v>
      </c>
      <c r="L85" s="44">
        <v>3.3</v>
      </c>
      <c r="M85" s="44">
        <v>0.9</v>
      </c>
      <c r="N85" s="44">
        <v>0.3</v>
      </c>
      <c r="O85" s="44">
        <v>1.7</v>
      </c>
      <c r="P85" s="44">
        <v>1.79</v>
      </c>
      <c r="Q85">
        <f t="shared" si="1"/>
        <v>83</v>
      </c>
    </row>
    <row r="86" spans="1:17">
      <c r="A86" s="44">
        <v>84</v>
      </c>
      <c r="B86" s="1" t="s">
        <v>341</v>
      </c>
      <c r="C86" s="44" t="s">
        <v>38</v>
      </c>
      <c r="D86" s="44" t="s">
        <v>139</v>
      </c>
      <c r="E86" s="44">
        <v>48</v>
      </c>
      <c r="F86" s="44">
        <v>29</v>
      </c>
      <c r="G86" s="44" t="s">
        <v>1211</v>
      </c>
      <c r="H86" s="44" t="s">
        <v>1212</v>
      </c>
      <c r="I86" s="44">
        <v>2.1</v>
      </c>
      <c r="J86" s="44">
        <v>14.8</v>
      </c>
      <c r="K86" s="44">
        <v>5.0999999999999996</v>
      </c>
      <c r="L86" s="44">
        <v>4.5</v>
      </c>
      <c r="M86" s="44">
        <v>1</v>
      </c>
      <c r="N86" s="44">
        <v>0.9</v>
      </c>
      <c r="O86" s="44">
        <v>2.6</v>
      </c>
      <c r="P86" s="44">
        <v>1.74</v>
      </c>
      <c r="Q86">
        <f t="shared" si="1"/>
        <v>84</v>
      </c>
    </row>
    <row r="87" spans="1:17">
      <c r="A87" s="44">
        <v>85</v>
      </c>
      <c r="B87" s="1" t="s">
        <v>335</v>
      </c>
      <c r="C87" s="44" t="s">
        <v>25</v>
      </c>
      <c r="D87" s="44" t="s">
        <v>47</v>
      </c>
      <c r="E87" s="44">
        <v>76</v>
      </c>
      <c r="F87" s="44">
        <v>25.3</v>
      </c>
      <c r="G87" s="44" t="s">
        <v>959</v>
      </c>
      <c r="H87" s="44" t="s">
        <v>1213</v>
      </c>
      <c r="I87" s="44">
        <v>0</v>
      </c>
      <c r="J87" s="44">
        <v>10.199999999999999</v>
      </c>
      <c r="K87" s="44">
        <v>8.4</v>
      </c>
      <c r="L87" s="44">
        <v>1.7</v>
      </c>
      <c r="M87" s="44">
        <v>0.8</v>
      </c>
      <c r="N87" s="44">
        <v>1.3</v>
      </c>
      <c r="O87" s="44">
        <v>1</v>
      </c>
      <c r="P87" s="44">
        <v>1.73</v>
      </c>
      <c r="Q87">
        <f t="shared" si="1"/>
        <v>85</v>
      </c>
    </row>
    <row r="88" spans="1:17">
      <c r="A88" s="44">
        <v>86</v>
      </c>
      <c r="B88" s="1" t="s">
        <v>117</v>
      </c>
      <c r="C88" s="44" t="s">
        <v>22</v>
      </c>
      <c r="D88" s="44" t="s">
        <v>91</v>
      </c>
      <c r="E88" s="44">
        <v>53</v>
      </c>
      <c r="F88" s="44">
        <v>29.4</v>
      </c>
      <c r="G88" s="44" t="s">
        <v>1214</v>
      </c>
      <c r="H88" s="44" t="s">
        <v>1215</v>
      </c>
      <c r="I88" s="44">
        <v>2.6</v>
      </c>
      <c r="J88" s="44">
        <v>16.3</v>
      </c>
      <c r="K88" s="44">
        <v>4.5999999999999996</v>
      </c>
      <c r="L88" s="44">
        <v>6.1</v>
      </c>
      <c r="M88" s="44">
        <v>1</v>
      </c>
      <c r="N88" s="44">
        <v>0.1</v>
      </c>
      <c r="O88" s="44">
        <v>2.8</v>
      </c>
      <c r="P88" s="44">
        <v>1.68</v>
      </c>
      <c r="Q88">
        <f t="shared" si="1"/>
        <v>86</v>
      </c>
    </row>
    <row r="89" spans="1:17">
      <c r="A89" s="44">
        <v>87</v>
      </c>
      <c r="B89" s="1" t="s">
        <v>289</v>
      </c>
      <c r="C89" s="44" t="s">
        <v>25</v>
      </c>
      <c r="D89" s="44" t="s">
        <v>77</v>
      </c>
      <c r="E89" s="44">
        <v>77</v>
      </c>
      <c r="F89" s="44">
        <v>22.1</v>
      </c>
      <c r="G89" s="44" t="s">
        <v>1216</v>
      </c>
      <c r="H89" s="44" t="s">
        <v>1217</v>
      </c>
      <c r="I89" s="44">
        <v>1.2</v>
      </c>
      <c r="J89" s="44">
        <v>11.1</v>
      </c>
      <c r="K89" s="44">
        <v>9</v>
      </c>
      <c r="L89" s="44">
        <v>0.7</v>
      </c>
      <c r="M89" s="44">
        <v>0.8</v>
      </c>
      <c r="N89" s="44">
        <v>1.1000000000000001</v>
      </c>
      <c r="O89" s="44">
        <v>0.8</v>
      </c>
      <c r="P89" s="44">
        <v>1.67</v>
      </c>
      <c r="Q89">
        <f t="shared" si="1"/>
        <v>87</v>
      </c>
    </row>
    <row r="90" spans="1:17">
      <c r="A90" s="44">
        <v>88</v>
      </c>
      <c r="B90" s="1" t="s">
        <v>116</v>
      </c>
      <c r="C90" s="44" t="s">
        <v>44</v>
      </c>
      <c r="D90" s="44" t="s">
        <v>34</v>
      </c>
      <c r="E90" s="44">
        <v>51</v>
      </c>
      <c r="F90" s="44">
        <v>28.8</v>
      </c>
      <c r="G90" s="44" t="s">
        <v>1218</v>
      </c>
      <c r="H90" s="44" t="s">
        <v>1219</v>
      </c>
      <c r="I90" s="44">
        <v>3.1</v>
      </c>
      <c r="J90" s="44">
        <v>16.5</v>
      </c>
      <c r="K90" s="44">
        <v>3</v>
      </c>
      <c r="L90" s="44">
        <v>3.8</v>
      </c>
      <c r="M90" s="44">
        <v>1.4</v>
      </c>
      <c r="N90" s="44">
        <v>0.3</v>
      </c>
      <c r="O90" s="44">
        <v>1.6</v>
      </c>
      <c r="P90" s="44">
        <v>1.55</v>
      </c>
      <c r="Q90">
        <f t="shared" si="1"/>
        <v>88</v>
      </c>
    </row>
    <row r="91" spans="1:17">
      <c r="A91" s="44">
        <v>89</v>
      </c>
      <c r="B91" s="1" t="s">
        <v>62</v>
      </c>
      <c r="C91" s="44" t="s">
        <v>25</v>
      </c>
      <c r="D91" s="44" t="s">
        <v>63</v>
      </c>
      <c r="E91" s="44">
        <v>19</v>
      </c>
      <c r="F91" s="44">
        <v>29.7</v>
      </c>
      <c r="G91" s="44" t="s">
        <v>1220</v>
      </c>
      <c r="H91" s="44" t="s">
        <v>1221</v>
      </c>
      <c r="I91" s="44">
        <v>0.3</v>
      </c>
      <c r="J91" s="44">
        <v>15.8</v>
      </c>
      <c r="K91" s="44">
        <v>11.4</v>
      </c>
      <c r="L91" s="44">
        <v>4.0999999999999996</v>
      </c>
      <c r="M91" s="44">
        <v>0.9</v>
      </c>
      <c r="N91" s="44">
        <v>0.2</v>
      </c>
      <c r="O91" s="44">
        <v>2.7</v>
      </c>
      <c r="P91" s="44">
        <v>1.53</v>
      </c>
      <c r="Q91">
        <f t="shared" si="1"/>
        <v>89</v>
      </c>
    </row>
    <row r="92" spans="1:17">
      <c r="A92" s="44">
        <v>90</v>
      </c>
      <c r="B92" s="1" t="s">
        <v>279</v>
      </c>
      <c r="C92" s="44" t="s">
        <v>22</v>
      </c>
      <c r="D92" s="44" t="s">
        <v>71</v>
      </c>
      <c r="E92" s="44">
        <v>82</v>
      </c>
      <c r="F92" s="44">
        <v>26.2</v>
      </c>
      <c r="G92" s="44" t="s">
        <v>1222</v>
      </c>
      <c r="H92" s="44" t="s">
        <v>1223</v>
      </c>
      <c r="I92" s="44">
        <v>2.8</v>
      </c>
      <c r="J92" s="44">
        <v>13.5</v>
      </c>
      <c r="K92" s="44">
        <v>2.9</v>
      </c>
      <c r="L92" s="44">
        <v>3.4</v>
      </c>
      <c r="M92" s="44">
        <v>1.5</v>
      </c>
      <c r="N92" s="44">
        <v>0.7</v>
      </c>
      <c r="O92" s="44">
        <v>1.5</v>
      </c>
      <c r="P92" s="44">
        <v>1.5</v>
      </c>
      <c r="Q92">
        <f t="shared" si="1"/>
        <v>90</v>
      </c>
    </row>
    <row r="93" spans="1:17">
      <c r="A93" s="44">
        <v>91</v>
      </c>
      <c r="B93" s="1" t="s">
        <v>293</v>
      </c>
      <c r="C93" s="44" t="s">
        <v>28</v>
      </c>
      <c r="D93" s="44" t="s">
        <v>47</v>
      </c>
      <c r="E93" s="44">
        <v>79</v>
      </c>
      <c r="F93" s="44">
        <v>32.299999999999997</v>
      </c>
      <c r="G93" s="44" t="s">
        <v>1224</v>
      </c>
      <c r="H93" s="44" t="s">
        <v>1225</v>
      </c>
      <c r="I93" s="44">
        <v>2.7</v>
      </c>
      <c r="J93" s="44">
        <v>17</v>
      </c>
      <c r="K93" s="44">
        <v>3.9</v>
      </c>
      <c r="L93" s="44">
        <v>5.2</v>
      </c>
      <c r="M93" s="44">
        <v>0.7</v>
      </c>
      <c r="N93" s="44">
        <v>0.1</v>
      </c>
      <c r="O93" s="44">
        <v>1.4</v>
      </c>
      <c r="P93" s="44">
        <v>1.5</v>
      </c>
      <c r="Q93">
        <f t="shared" si="1"/>
        <v>91</v>
      </c>
    </row>
    <row r="94" spans="1:17">
      <c r="A94" s="44">
        <v>92</v>
      </c>
      <c r="B94" s="1" t="s">
        <v>186</v>
      </c>
      <c r="C94" s="44" t="s">
        <v>38</v>
      </c>
      <c r="D94" s="44" t="s">
        <v>68</v>
      </c>
      <c r="E94" s="44">
        <v>66</v>
      </c>
      <c r="F94" s="44">
        <v>30.2</v>
      </c>
      <c r="G94" s="44" t="s">
        <v>1226</v>
      </c>
      <c r="H94" s="44" t="s">
        <v>1227</v>
      </c>
      <c r="I94" s="44">
        <v>1.5</v>
      </c>
      <c r="J94" s="44">
        <v>12</v>
      </c>
      <c r="K94" s="44">
        <v>7.4</v>
      </c>
      <c r="L94" s="44">
        <v>4.8</v>
      </c>
      <c r="M94" s="44">
        <v>1.1000000000000001</v>
      </c>
      <c r="N94" s="44">
        <v>0.3</v>
      </c>
      <c r="O94" s="44">
        <v>1.9</v>
      </c>
      <c r="P94" s="44">
        <v>1.47</v>
      </c>
      <c r="Q94">
        <f t="shared" si="1"/>
        <v>92</v>
      </c>
    </row>
    <row r="95" spans="1:17">
      <c r="A95" s="44">
        <v>93</v>
      </c>
      <c r="B95" s="1" t="s">
        <v>121</v>
      </c>
      <c r="C95" s="44" t="s">
        <v>17</v>
      </c>
      <c r="D95" s="44" t="s">
        <v>34</v>
      </c>
      <c r="E95" s="44">
        <v>60</v>
      </c>
      <c r="F95" s="44">
        <v>23.6</v>
      </c>
      <c r="G95" s="44" t="s">
        <v>1228</v>
      </c>
      <c r="H95" s="44" t="s">
        <v>1229</v>
      </c>
      <c r="I95" s="44">
        <v>0</v>
      </c>
      <c r="J95" s="44">
        <v>11.7</v>
      </c>
      <c r="K95" s="44">
        <v>7.9</v>
      </c>
      <c r="L95" s="44">
        <v>1</v>
      </c>
      <c r="M95" s="44">
        <v>0.9</v>
      </c>
      <c r="N95" s="44">
        <v>0.9</v>
      </c>
      <c r="O95" s="44">
        <v>1.1000000000000001</v>
      </c>
      <c r="P95" s="44">
        <v>1.4</v>
      </c>
      <c r="Q95">
        <f t="shared" si="1"/>
        <v>93</v>
      </c>
    </row>
    <row r="96" spans="1:17">
      <c r="A96" s="44">
        <v>94</v>
      </c>
      <c r="B96" s="1" t="s">
        <v>128</v>
      </c>
      <c r="C96" s="44" t="s">
        <v>229</v>
      </c>
      <c r="D96" s="44" t="s">
        <v>95</v>
      </c>
      <c r="E96" s="44">
        <v>62</v>
      </c>
      <c r="F96" s="44">
        <v>29.7</v>
      </c>
      <c r="G96" s="44" t="s">
        <v>1230</v>
      </c>
      <c r="H96" s="44" t="s">
        <v>1231</v>
      </c>
      <c r="I96" s="44">
        <v>0</v>
      </c>
      <c r="J96" s="44">
        <v>21</v>
      </c>
      <c r="K96" s="44">
        <v>5.7</v>
      </c>
      <c r="L96" s="44">
        <v>3.2</v>
      </c>
      <c r="M96" s="44">
        <v>1</v>
      </c>
      <c r="N96" s="44">
        <v>0.6</v>
      </c>
      <c r="O96" s="44">
        <v>2</v>
      </c>
      <c r="P96" s="44">
        <v>1.31</v>
      </c>
      <c r="Q96">
        <f t="shared" si="1"/>
        <v>94</v>
      </c>
    </row>
    <row r="97" spans="1:17">
      <c r="A97" s="44">
        <v>95</v>
      </c>
      <c r="B97" s="1" t="s">
        <v>1232</v>
      </c>
      <c r="C97" s="44"/>
      <c r="D97" s="44" t="s">
        <v>55</v>
      </c>
      <c r="E97" s="44">
        <v>11</v>
      </c>
      <c r="F97" s="44">
        <v>24.6</v>
      </c>
      <c r="G97" s="44" t="s">
        <v>1233</v>
      </c>
      <c r="H97" s="44" t="s">
        <v>1234</v>
      </c>
      <c r="I97" s="44">
        <v>2.5</v>
      </c>
      <c r="J97" s="44">
        <v>14.3</v>
      </c>
      <c r="K97" s="44">
        <v>2.5</v>
      </c>
      <c r="L97" s="44">
        <v>1.7</v>
      </c>
      <c r="M97" s="44">
        <v>1</v>
      </c>
      <c r="N97" s="44">
        <v>0.3</v>
      </c>
      <c r="O97" s="44">
        <v>1.5</v>
      </c>
      <c r="P97" s="44">
        <v>1.26</v>
      </c>
      <c r="Q97">
        <f t="shared" si="1"/>
        <v>95</v>
      </c>
    </row>
    <row r="98" spans="1:17">
      <c r="A98" s="44">
        <v>96</v>
      </c>
      <c r="B98" s="1" t="s">
        <v>124</v>
      </c>
      <c r="C98" s="44" t="s">
        <v>44</v>
      </c>
      <c r="D98" s="44" t="s">
        <v>63</v>
      </c>
      <c r="E98" s="44">
        <v>39</v>
      </c>
      <c r="F98" s="44">
        <v>31.4</v>
      </c>
      <c r="G98" s="44" t="s">
        <v>1235</v>
      </c>
      <c r="H98" s="44" t="s">
        <v>1236</v>
      </c>
      <c r="I98" s="44">
        <v>2.5</v>
      </c>
      <c r="J98" s="44">
        <v>19.2</v>
      </c>
      <c r="K98" s="44">
        <v>2.8</v>
      </c>
      <c r="L98" s="44">
        <v>2.2999999999999998</v>
      </c>
      <c r="M98" s="44">
        <v>0.7</v>
      </c>
      <c r="N98" s="44">
        <v>0.3</v>
      </c>
      <c r="O98" s="44">
        <v>1.9</v>
      </c>
      <c r="P98" s="44">
        <v>1.18</v>
      </c>
      <c r="Q98">
        <f t="shared" si="1"/>
        <v>96</v>
      </c>
    </row>
    <row r="99" spans="1:17">
      <c r="A99" s="44">
        <v>97</v>
      </c>
      <c r="B99" s="1" t="s">
        <v>175</v>
      </c>
      <c r="C99" s="44" t="s">
        <v>25</v>
      </c>
      <c r="D99" s="44" t="s">
        <v>73</v>
      </c>
      <c r="E99" s="44">
        <v>77</v>
      </c>
      <c r="F99" s="44">
        <v>26.1</v>
      </c>
      <c r="G99" s="44" t="s">
        <v>1237</v>
      </c>
      <c r="H99" s="44" t="s">
        <v>1238</v>
      </c>
      <c r="I99" s="44">
        <v>2.1</v>
      </c>
      <c r="J99" s="44">
        <v>13.6</v>
      </c>
      <c r="K99" s="44">
        <v>6.2</v>
      </c>
      <c r="L99" s="44">
        <v>2.2000000000000002</v>
      </c>
      <c r="M99" s="44">
        <v>1</v>
      </c>
      <c r="N99" s="44">
        <v>1</v>
      </c>
      <c r="O99" s="44">
        <v>1.6</v>
      </c>
      <c r="P99" s="44">
        <v>1.18</v>
      </c>
      <c r="Q99">
        <f t="shared" si="1"/>
        <v>97</v>
      </c>
    </row>
    <row r="100" spans="1:17">
      <c r="A100" s="44">
        <v>98</v>
      </c>
      <c r="B100" s="1" t="s">
        <v>122</v>
      </c>
      <c r="C100" s="44" t="s">
        <v>229</v>
      </c>
      <c r="D100" s="44" t="s">
        <v>42</v>
      </c>
      <c r="E100" s="44">
        <v>62</v>
      </c>
      <c r="F100" s="44">
        <v>33.200000000000003</v>
      </c>
      <c r="G100" s="44" t="s">
        <v>1239</v>
      </c>
      <c r="H100" s="44" t="s">
        <v>1240</v>
      </c>
      <c r="I100" s="44">
        <v>1.7</v>
      </c>
      <c r="J100" s="44">
        <v>24</v>
      </c>
      <c r="K100" s="44">
        <v>6.6</v>
      </c>
      <c r="L100" s="44">
        <v>3.8</v>
      </c>
      <c r="M100" s="44">
        <v>1.1000000000000001</v>
      </c>
      <c r="N100" s="44">
        <v>0.4</v>
      </c>
      <c r="O100" s="44">
        <v>2.2000000000000002</v>
      </c>
      <c r="P100" s="44">
        <v>1.1399999999999999</v>
      </c>
      <c r="Q100">
        <f t="shared" si="1"/>
        <v>98</v>
      </c>
    </row>
    <row r="101" spans="1:17">
      <c r="A101" s="44">
        <v>99</v>
      </c>
      <c r="B101" s="1" t="s">
        <v>154</v>
      </c>
      <c r="C101" s="44" t="s">
        <v>17</v>
      </c>
      <c r="D101" s="44" t="s">
        <v>42</v>
      </c>
      <c r="E101" s="44">
        <v>48</v>
      </c>
      <c r="F101" s="44">
        <v>30.1</v>
      </c>
      <c r="G101" s="44" t="s">
        <v>1241</v>
      </c>
      <c r="H101" s="44" t="s">
        <v>1242</v>
      </c>
      <c r="I101" s="44">
        <v>0</v>
      </c>
      <c r="J101" s="44">
        <v>14.1</v>
      </c>
      <c r="K101" s="44">
        <v>10.6</v>
      </c>
      <c r="L101" s="44">
        <v>2.2000000000000002</v>
      </c>
      <c r="M101" s="44">
        <v>0.4</v>
      </c>
      <c r="N101" s="44">
        <v>0.8</v>
      </c>
      <c r="O101" s="44">
        <v>1.8</v>
      </c>
      <c r="P101" s="44">
        <v>1.1000000000000001</v>
      </c>
      <c r="Q101">
        <f t="shared" si="1"/>
        <v>99</v>
      </c>
    </row>
    <row r="102" spans="1:17">
      <c r="A102" s="44">
        <v>100</v>
      </c>
      <c r="B102" s="1" t="s">
        <v>156</v>
      </c>
      <c r="C102" s="44" t="s">
        <v>229</v>
      </c>
      <c r="D102" s="44" t="s">
        <v>71</v>
      </c>
      <c r="E102" s="44">
        <v>77</v>
      </c>
      <c r="F102" s="44">
        <v>35.1</v>
      </c>
      <c r="G102" s="44" t="s">
        <v>1243</v>
      </c>
      <c r="H102" s="44" t="s">
        <v>1244</v>
      </c>
      <c r="I102" s="44">
        <v>2.2999999999999998</v>
      </c>
      <c r="J102" s="44">
        <v>15.8</v>
      </c>
      <c r="K102" s="44">
        <v>6.9</v>
      </c>
      <c r="L102" s="44">
        <v>1.9</v>
      </c>
      <c r="M102" s="44">
        <v>0.7</v>
      </c>
      <c r="N102" s="44">
        <v>0.9</v>
      </c>
      <c r="O102" s="44">
        <v>1.4</v>
      </c>
      <c r="P102" s="44">
        <v>1.07</v>
      </c>
      <c r="Q102">
        <f t="shared" si="1"/>
        <v>100</v>
      </c>
    </row>
    <row r="103" spans="1:17">
      <c r="A103" s="44">
        <v>101</v>
      </c>
      <c r="B103" s="1" t="s">
        <v>241</v>
      </c>
      <c r="C103" s="44" t="s">
        <v>22</v>
      </c>
      <c r="D103" s="44" t="s">
        <v>42</v>
      </c>
      <c r="E103" s="44">
        <v>57</v>
      </c>
      <c r="F103" s="44">
        <v>31.3</v>
      </c>
      <c r="G103" s="44" t="s">
        <v>1245</v>
      </c>
      <c r="H103" s="44" t="s">
        <v>965</v>
      </c>
      <c r="I103" s="44">
        <v>1.9</v>
      </c>
      <c r="J103" s="44">
        <v>16.899999999999999</v>
      </c>
      <c r="K103" s="44">
        <v>2.8</v>
      </c>
      <c r="L103" s="44">
        <v>7.7</v>
      </c>
      <c r="M103" s="44">
        <v>0.9</v>
      </c>
      <c r="N103" s="44">
        <v>0.1</v>
      </c>
      <c r="O103" s="44">
        <v>2.4</v>
      </c>
      <c r="P103" s="44">
        <v>1.05</v>
      </c>
      <c r="Q103">
        <f t="shared" si="1"/>
        <v>101</v>
      </c>
    </row>
    <row r="104" spans="1:17">
      <c r="A104" s="44">
        <v>102</v>
      </c>
      <c r="B104" s="1" t="s">
        <v>184</v>
      </c>
      <c r="C104" s="44" t="s">
        <v>44</v>
      </c>
      <c r="D104" s="44" t="s">
        <v>73</v>
      </c>
      <c r="E104" s="44">
        <v>69</v>
      </c>
      <c r="F104" s="44">
        <v>27.3</v>
      </c>
      <c r="G104" s="44" t="s">
        <v>1246</v>
      </c>
      <c r="H104" s="44" t="s">
        <v>1247</v>
      </c>
      <c r="I104" s="44">
        <v>1.8</v>
      </c>
      <c r="J104" s="44">
        <v>14.8</v>
      </c>
      <c r="K104" s="44">
        <v>3.4</v>
      </c>
      <c r="L104" s="44">
        <v>3.6</v>
      </c>
      <c r="M104" s="44">
        <v>0.8</v>
      </c>
      <c r="N104" s="44">
        <v>0.3</v>
      </c>
      <c r="O104" s="44">
        <v>1.4</v>
      </c>
      <c r="P104" s="44">
        <v>1.04</v>
      </c>
      <c r="Q104">
        <f t="shared" si="1"/>
        <v>102</v>
      </c>
    </row>
    <row r="105" spans="1:17">
      <c r="A105" s="44">
        <v>103</v>
      </c>
      <c r="B105" s="1" t="s">
        <v>140</v>
      </c>
      <c r="C105" s="44" t="s">
        <v>33</v>
      </c>
      <c r="D105" s="44" t="s">
        <v>63</v>
      </c>
      <c r="E105" s="44">
        <v>23</v>
      </c>
      <c r="F105" s="44">
        <v>34.5</v>
      </c>
      <c r="G105" s="44" t="s">
        <v>1248</v>
      </c>
      <c r="H105" s="44" t="s">
        <v>1249</v>
      </c>
      <c r="I105" s="44">
        <v>1.4</v>
      </c>
      <c r="J105" s="44">
        <v>14</v>
      </c>
      <c r="K105" s="44">
        <v>5.8</v>
      </c>
      <c r="L105" s="44">
        <v>1.7</v>
      </c>
      <c r="M105" s="44">
        <v>1</v>
      </c>
      <c r="N105" s="44">
        <v>1.6</v>
      </c>
      <c r="O105" s="44">
        <v>1.2</v>
      </c>
      <c r="P105" s="44">
        <v>0.88</v>
      </c>
      <c r="Q105">
        <f t="shared" si="1"/>
        <v>103</v>
      </c>
    </row>
    <row r="106" spans="1:17">
      <c r="A106" s="44">
        <v>104</v>
      </c>
      <c r="B106" s="1" t="s">
        <v>857</v>
      </c>
      <c r="C106" s="44" t="s">
        <v>22</v>
      </c>
      <c r="D106" s="44" t="s">
        <v>34</v>
      </c>
      <c r="E106" s="44">
        <v>80</v>
      </c>
      <c r="F106" s="44">
        <v>28.5</v>
      </c>
      <c r="G106" s="44" t="s">
        <v>1250</v>
      </c>
      <c r="H106" s="44" t="s">
        <v>1251</v>
      </c>
      <c r="I106" s="44">
        <v>2.9</v>
      </c>
      <c r="J106" s="44">
        <v>12.7</v>
      </c>
      <c r="K106" s="44">
        <v>4.0999999999999996</v>
      </c>
      <c r="L106" s="44">
        <v>4.5999999999999996</v>
      </c>
      <c r="M106" s="44">
        <v>1.2</v>
      </c>
      <c r="N106" s="44">
        <v>0.2</v>
      </c>
      <c r="O106" s="44">
        <v>1.6</v>
      </c>
      <c r="P106" s="44">
        <v>0.86</v>
      </c>
      <c r="Q106">
        <f t="shared" si="1"/>
        <v>104</v>
      </c>
    </row>
    <row r="107" spans="1:17">
      <c r="A107" s="44">
        <v>105</v>
      </c>
      <c r="B107" s="1" t="s">
        <v>259</v>
      </c>
      <c r="C107" s="44" t="s">
        <v>17</v>
      </c>
      <c r="D107" s="44" t="s">
        <v>42</v>
      </c>
      <c r="E107" s="44">
        <v>82</v>
      </c>
      <c r="F107" s="44">
        <v>21</v>
      </c>
      <c r="G107" s="44" t="s">
        <v>1252</v>
      </c>
      <c r="H107" s="44" t="s">
        <v>1253</v>
      </c>
      <c r="I107" s="44">
        <v>1.5</v>
      </c>
      <c r="J107" s="44">
        <v>9.5</v>
      </c>
      <c r="K107" s="44">
        <v>4</v>
      </c>
      <c r="L107" s="44">
        <v>1.5</v>
      </c>
      <c r="M107" s="44">
        <v>0.5</v>
      </c>
      <c r="N107" s="44">
        <v>1.9</v>
      </c>
      <c r="O107" s="44">
        <v>0.9</v>
      </c>
      <c r="P107" s="44">
        <v>0.83</v>
      </c>
      <c r="Q107">
        <f t="shared" si="1"/>
        <v>105</v>
      </c>
    </row>
    <row r="108" spans="1:17">
      <c r="A108" s="44">
        <v>106</v>
      </c>
      <c r="B108" s="1" t="s">
        <v>153</v>
      </c>
      <c r="C108" s="44" t="s">
        <v>17</v>
      </c>
      <c r="D108" s="44" t="s">
        <v>57</v>
      </c>
      <c r="E108" s="44">
        <v>41</v>
      </c>
      <c r="F108" s="44">
        <v>26.4</v>
      </c>
      <c r="G108" s="44" t="s">
        <v>1254</v>
      </c>
      <c r="H108" s="44" t="s">
        <v>1255</v>
      </c>
      <c r="I108" s="44">
        <v>0.6</v>
      </c>
      <c r="J108" s="44">
        <v>10.9</v>
      </c>
      <c r="K108" s="44">
        <v>10.4</v>
      </c>
      <c r="L108" s="44">
        <v>4.8</v>
      </c>
      <c r="M108" s="44">
        <v>1.3</v>
      </c>
      <c r="N108" s="44">
        <v>0.5</v>
      </c>
      <c r="O108" s="44">
        <v>2.5</v>
      </c>
      <c r="P108" s="44">
        <v>0.72</v>
      </c>
      <c r="Q108">
        <f t="shared" si="1"/>
        <v>106</v>
      </c>
    </row>
    <row r="109" spans="1:17">
      <c r="A109" s="44">
        <v>107</v>
      </c>
      <c r="B109" s="1" t="s">
        <v>200</v>
      </c>
      <c r="C109" s="44" t="s">
        <v>33</v>
      </c>
      <c r="D109" s="44" t="s">
        <v>95</v>
      </c>
      <c r="E109" s="44">
        <v>72</v>
      </c>
      <c r="F109" s="44">
        <v>31.2</v>
      </c>
      <c r="G109" s="44" t="s">
        <v>1256</v>
      </c>
      <c r="H109" s="44" t="s">
        <v>1257</v>
      </c>
      <c r="I109" s="44">
        <v>2.1</v>
      </c>
      <c r="J109" s="44">
        <v>17.7</v>
      </c>
      <c r="K109" s="44">
        <v>5.6</v>
      </c>
      <c r="L109" s="44">
        <v>2.5</v>
      </c>
      <c r="M109" s="44">
        <v>0.9</v>
      </c>
      <c r="N109" s="44">
        <v>0.1</v>
      </c>
      <c r="O109" s="44">
        <v>0.9</v>
      </c>
      <c r="P109" s="44">
        <v>0.72</v>
      </c>
      <c r="Q109">
        <f t="shared" si="1"/>
        <v>107</v>
      </c>
    </row>
    <row r="110" spans="1:17">
      <c r="A110" s="44">
        <v>108</v>
      </c>
      <c r="B110" s="1" t="s">
        <v>90</v>
      </c>
      <c r="C110" s="44" t="s">
        <v>17</v>
      </c>
      <c r="D110" s="44" t="s">
        <v>26</v>
      </c>
      <c r="E110" s="44">
        <v>72</v>
      </c>
      <c r="F110" s="44">
        <v>27.2</v>
      </c>
      <c r="G110" s="44" t="s">
        <v>1258</v>
      </c>
      <c r="H110" s="44" t="s">
        <v>1259</v>
      </c>
      <c r="I110" s="44">
        <v>0</v>
      </c>
      <c r="J110" s="44">
        <v>12.5</v>
      </c>
      <c r="K110" s="44">
        <v>8</v>
      </c>
      <c r="L110" s="44">
        <v>0.8</v>
      </c>
      <c r="M110" s="44">
        <v>0.6</v>
      </c>
      <c r="N110" s="44">
        <v>1</v>
      </c>
      <c r="O110" s="44">
        <v>1.2</v>
      </c>
      <c r="P110" s="44">
        <v>0.69</v>
      </c>
      <c r="Q110">
        <f t="shared" si="1"/>
        <v>108</v>
      </c>
    </row>
    <row r="111" spans="1:17">
      <c r="A111" s="44">
        <v>109</v>
      </c>
      <c r="B111" s="1" t="s">
        <v>99</v>
      </c>
      <c r="C111" s="44" t="s">
        <v>17</v>
      </c>
      <c r="D111" s="44" t="s">
        <v>55</v>
      </c>
      <c r="E111" s="44">
        <v>71</v>
      </c>
      <c r="F111" s="44">
        <v>26.9</v>
      </c>
      <c r="G111" s="44" t="s">
        <v>1260</v>
      </c>
      <c r="H111" s="44" t="s">
        <v>1261</v>
      </c>
      <c r="I111" s="44">
        <v>2.1</v>
      </c>
      <c r="J111" s="44">
        <v>11.9</v>
      </c>
      <c r="K111" s="44">
        <v>5.3</v>
      </c>
      <c r="L111" s="44">
        <v>1.5</v>
      </c>
      <c r="M111" s="44">
        <v>0.7</v>
      </c>
      <c r="N111" s="44">
        <v>1.6</v>
      </c>
      <c r="O111" s="44">
        <v>1.2</v>
      </c>
      <c r="P111" s="44">
        <v>0.67</v>
      </c>
      <c r="Q111">
        <f t="shared" si="1"/>
        <v>109</v>
      </c>
    </row>
    <row r="112" spans="1:17">
      <c r="A112" s="44">
        <v>110</v>
      </c>
      <c r="B112" s="1" t="s">
        <v>299</v>
      </c>
      <c r="C112" s="44" t="s">
        <v>33</v>
      </c>
      <c r="D112" s="44" t="s">
        <v>20</v>
      </c>
      <c r="E112" s="44">
        <v>54</v>
      </c>
      <c r="F112" s="44">
        <v>29.7</v>
      </c>
      <c r="G112" s="44" t="s">
        <v>1262</v>
      </c>
      <c r="H112" s="44" t="s">
        <v>1263</v>
      </c>
      <c r="I112" s="44">
        <v>1.5</v>
      </c>
      <c r="J112" s="44">
        <v>14.6</v>
      </c>
      <c r="K112" s="44">
        <v>4.9000000000000004</v>
      </c>
      <c r="L112" s="44">
        <v>2.1</v>
      </c>
      <c r="M112" s="44">
        <v>1</v>
      </c>
      <c r="N112" s="44">
        <v>1.1000000000000001</v>
      </c>
      <c r="O112" s="44">
        <v>1.7</v>
      </c>
      <c r="P112" s="44">
        <v>0.61</v>
      </c>
      <c r="Q112">
        <f t="shared" si="1"/>
        <v>110</v>
      </c>
    </row>
    <row r="113" spans="1:17">
      <c r="A113" s="44">
        <v>111</v>
      </c>
      <c r="B113" s="1" t="s">
        <v>286</v>
      </c>
      <c r="C113" s="44" t="s">
        <v>22</v>
      </c>
      <c r="D113" s="44" t="s">
        <v>31</v>
      </c>
      <c r="E113" s="44">
        <v>68</v>
      </c>
      <c r="F113" s="44">
        <v>30</v>
      </c>
      <c r="G113" s="44" t="s">
        <v>1264</v>
      </c>
      <c r="H113" s="44" t="s">
        <v>1265</v>
      </c>
      <c r="I113" s="44">
        <v>1.2</v>
      </c>
      <c r="J113" s="44">
        <v>16.600000000000001</v>
      </c>
      <c r="K113" s="44">
        <v>5.3</v>
      </c>
      <c r="L113" s="44">
        <v>7.4</v>
      </c>
      <c r="M113" s="44">
        <v>1.1000000000000001</v>
      </c>
      <c r="N113" s="44">
        <v>0.3</v>
      </c>
      <c r="O113" s="44">
        <v>3.2</v>
      </c>
      <c r="P113" s="44">
        <v>0.59</v>
      </c>
      <c r="Q113">
        <f t="shared" si="1"/>
        <v>111</v>
      </c>
    </row>
    <row r="114" spans="1:17">
      <c r="A114" s="44">
        <v>112</v>
      </c>
      <c r="B114" s="1" t="s">
        <v>142</v>
      </c>
      <c r="C114" s="44" t="s">
        <v>17</v>
      </c>
      <c r="D114" s="44" t="s">
        <v>23</v>
      </c>
      <c r="E114" s="44">
        <v>47</v>
      </c>
      <c r="F114" s="44">
        <v>24.2</v>
      </c>
      <c r="G114" s="44" t="s">
        <v>1266</v>
      </c>
      <c r="H114" s="44" t="s">
        <v>1267</v>
      </c>
      <c r="I114" s="44">
        <v>0</v>
      </c>
      <c r="J114" s="44">
        <v>9.1999999999999993</v>
      </c>
      <c r="K114" s="44">
        <v>9.4</v>
      </c>
      <c r="L114" s="44">
        <v>3.5</v>
      </c>
      <c r="M114" s="44">
        <v>1</v>
      </c>
      <c r="N114" s="44">
        <v>0.8</v>
      </c>
      <c r="O114" s="44">
        <v>1.7</v>
      </c>
      <c r="P114" s="44">
        <v>0.55000000000000004</v>
      </c>
      <c r="Q114">
        <f t="shared" si="1"/>
        <v>112</v>
      </c>
    </row>
    <row r="115" spans="1:17">
      <c r="A115" s="44">
        <v>113</v>
      </c>
      <c r="B115" s="1" t="s">
        <v>107</v>
      </c>
      <c r="C115" s="44" t="s">
        <v>33</v>
      </c>
      <c r="D115" s="44" t="s">
        <v>53</v>
      </c>
      <c r="E115" s="44">
        <v>77</v>
      </c>
      <c r="F115" s="44">
        <v>31</v>
      </c>
      <c r="G115" s="44" t="s">
        <v>955</v>
      </c>
      <c r="H115" s="44" t="s">
        <v>1268</v>
      </c>
      <c r="I115" s="44">
        <v>1.9</v>
      </c>
      <c r="J115" s="44">
        <v>17.100000000000001</v>
      </c>
      <c r="K115" s="44">
        <v>5.8</v>
      </c>
      <c r="L115" s="44">
        <v>3.2</v>
      </c>
      <c r="M115" s="44">
        <v>0.6</v>
      </c>
      <c r="N115" s="44">
        <v>0.4</v>
      </c>
      <c r="O115" s="44">
        <v>1.4</v>
      </c>
      <c r="P115" s="44">
        <v>0.52</v>
      </c>
      <c r="Q115">
        <f t="shared" si="1"/>
        <v>113</v>
      </c>
    </row>
    <row r="116" spans="1:17">
      <c r="A116" s="44">
        <v>114</v>
      </c>
      <c r="B116" s="1" t="s">
        <v>835</v>
      </c>
      <c r="C116" s="44" t="s">
        <v>25</v>
      </c>
      <c r="D116" s="44" t="s">
        <v>95</v>
      </c>
      <c r="E116" s="44">
        <v>81</v>
      </c>
      <c r="F116" s="44">
        <v>25</v>
      </c>
      <c r="G116" s="44" t="s">
        <v>1269</v>
      </c>
      <c r="H116" s="44" t="s">
        <v>1270</v>
      </c>
      <c r="I116" s="44">
        <v>0.3</v>
      </c>
      <c r="J116" s="44">
        <v>11.7</v>
      </c>
      <c r="K116" s="44">
        <v>7</v>
      </c>
      <c r="L116" s="44">
        <v>3.7</v>
      </c>
      <c r="M116" s="44">
        <v>1</v>
      </c>
      <c r="N116" s="44">
        <v>0.9</v>
      </c>
      <c r="O116" s="44">
        <v>2.2999999999999998</v>
      </c>
      <c r="P116" s="44">
        <v>0.47</v>
      </c>
      <c r="Q116">
        <f t="shared" si="1"/>
        <v>114</v>
      </c>
    </row>
    <row r="117" spans="1:17">
      <c r="A117" s="44">
        <v>115</v>
      </c>
      <c r="B117" s="1" t="s">
        <v>848</v>
      </c>
      <c r="C117" s="44" t="s">
        <v>22</v>
      </c>
      <c r="D117" s="44" t="s">
        <v>23</v>
      </c>
      <c r="E117" s="44">
        <v>57</v>
      </c>
      <c r="F117" s="44">
        <v>25.8</v>
      </c>
      <c r="G117" s="44" t="s">
        <v>1271</v>
      </c>
      <c r="H117" s="44" t="s">
        <v>1272</v>
      </c>
      <c r="I117" s="44">
        <v>1.1000000000000001</v>
      </c>
      <c r="J117" s="44">
        <v>13.6</v>
      </c>
      <c r="K117" s="44">
        <v>3.3</v>
      </c>
      <c r="L117" s="44">
        <v>3.6</v>
      </c>
      <c r="M117" s="44">
        <v>1.2</v>
      </c>
      <c r="N117" s="44">
        <v>0.3</v>
      </c>
      <c r="O117" s="44">
        <v>1.4</v>
      </c>
      <c r="P117" s="44">
        <v>0.47</v>
      </c>
      <c r="Q117">
        <f t="shared" si="1"/>
        <v>115</v>
      </c>
    </row>
    <row r="118" spans="1:17">
      <c r="A118" s="44">
        <v>116</v>
      </c>
      <c r="B118" s="1" t="s">
        <v>963</v>
      </c>
      <c r="C118" s="44" t="s">
        <v>22</v>
      </c>
      <c r="D118" s="44" t="s">
        <v>79</v>
      </c>
      <c r="E118" s="44">
        <v>72</v>
      </c>
      <c r="F118" s="44">
        <v>23.8</v>
      </c>
      <c r="G118" s="44" t="s">
        <v>1273</v>
      </c>
      <c r="H118" s="44" t="s">
        <v>1274</v>
      </c>
      <c r="I118" s="44">
        <v>2</v>
      </c>
      <c r="J118" s="44">
        <v>11.1</v>
      </c>
      <c r="K118" s="44">
        <v>2.5</v>
      </c>
      <c r="L118" s="44">
        <v>5.6</v>
      </c>
      <c r="M118" s="44">
        <v>0.7</v>
      </c>
      <c r="N118" s="44">
        <v>0.2</v>
      </c>
      <c r="O118" s="44">
        <v>1.3</v>
      </c>
      <c r="P118" s="44">
        <v>0.46</v>
      </c>
      <c r="Q118">
        <f t="shared" si="1"/>
        <v>116</v>
      </c>
    </row>
    <row r="119" spans="1:17">
      <c r="A119" s="44">
        <v>117</v>
      </c>
      <c r="B119" s="1" t="s">
        <v>94</v>
      </c>
      <c r="C119" s="44" t="s">
        <v>22</v>
      </c>
      <c r="D119" s="44" t="s">
        <v>61</v>
      </c>
      <c r="E119" s="44">
        <v>76</v>
      </c>
      <c r="F119" s="44">
        <v>29.8</v>
      </c>
      <c r="G119" s="44" t="s">
        <v>1275</v>
      </c>
      <c r="H119" s="44" t="s">
        <v>1276</v>
      </c>
      <c r="I119" s="44">
        <v>2.5</v>
      </c>
      <c r="J119" s="44">
        <v>18.7</v>
      </c>
      <c r="K119" s="44">
        <v>3.3</v>
      </c>
      <c r="L119" s="44">
        <v>3.9</v>
      </c>
      <c r="M119" s="44">
        <v>0.8</v>
      </c>
      <c r="N119" s="44">
        <v>0.5</v>
      </c>
      <c r="O119" s="44">
        <v>1.8</v>
      </c>
      <c r="P119" s="44">
        <v>0.45</v>
      </c>
      <c r="Q119">
        <f t="shared" si="1"/>
        <v>117</v>
      </c>
    </row>
    <row r="120" spans="1:17">
      <c r="A120" s="44">
        <v>118</v>
      </c>
      <c r="B120" s="1" t="s">
        <v>130</v>
      </c>
      <c r="C120" s="44" t="s">
        <v>25</v>
      </c>
      <c r="D120" s="44" t="s">
        <v>39</v>
      </c>
      <c r="E120" s="44">
        <v>69</v>
      </c>
      <c r="F120" s="44">
        <v>27.1</v>
      </c>
      <c r="G120" s="44" t="s">
        <v>1277</v>
      </c>
      <c r="H120" s="44" t="s">
        <v>1278</v>
      </c>
      <c r="I120" s="44">
        <v>1.3</v>
      </c>
      <c r="J120" s="44">
        <v>13.6</v>
      </c>
      <c r="K120" s="44">
        <v>5.3</v>
      </c>
      <c r="L120" s="44">
        <v>1</v>
      </c>
      <c r="M120" s="44">
        <v>0.9</v>
      </c>
      <c r="N120" s="44">
        <v>0.7</v>
      </c>
      <c r="O120" s="44">
        <v>1.4</v>
      </c>
      <c r="P120" s="44">
        <v>0.42</v>
      </c>
      <c r="Q120">
        <f t="shared" si="1"/>
        <v>118</v>
      </c>
    </row>
    <row r="121" spans="1:17">
      <c r="A121" s="44">
        <v>119</v>
      </c>
      <c r="B121" s="1" t="s">
        <v>147</v>
      </c>
      <c r="C121" s="44" t="s">
        <v>22</v>
      </c>
      <c r="D121" s="44" t="s">
        <v>73</v>
      </c>
      <c r="E121" s="44">
        <v>82</v>
      </c>
      <c r="F121" s="44">
        <v>30.3</v>
      </c>
      <c r="G121" s="44" t="s">
        <v>1279</v>
      </c>
      <c r="H121" s="44" t="s">
        <v>1280</v>
      </c>
      <c r="I121" s="44">
        <v>3</v>
      </c>
      <c r="J121" s="44">
        <v>12.2</v>
      </c>
      <c r="K121" s="44">
        <v>4.0999999999999996</v>
      </c>
      <c r="L121" s="44">
        <v>3.8</v>
      </c>
      <c r="M121" s="44">
        <v>1.3</v>
      </c>
      <c r="N121" s="44">
        <v>0.4</v>
      </c>
      <c r="O121" s="44">
        <v>1.4</v>
      </c>
      <c r="P121" s="44">
        <v>0.34</v>
      </c>
      <c r="Q121">
        <f t="shared" si="1"/>
        <v>119</v>
      </c>
    </row>
    <row r="122" spans="1:17">
      <c r="A122" s="44">
        <v>120</v>
      </c>
      <c r="B122" s="1" t="s">
        <v>157</v>
      </c>
      <c r="C122" s="44" t="s">
        <v>33</v>
      </c>
      <c r="D122" s="44" t="s">
        <v>91</v>
      </c>
      <c r="E122" s="44">
        <v>57</v>
      </c>
      <c r="F122" s="44">
        <v>29.7</v>
      </c>
      <c r="G122" s="44" t="s">
        <v>1281</v>
      </c>
      <c r="H122" s="44" t="s">
        <v>1282</v>
      </c>
      <c r="I122" s="44">
        <v>2.4</v>
      </c>
      <c r="J122" s="44">
        <v>18.600000000000001</v>
      </c>
      <c r="K122" s="44">
        <v>3.5</v>
      </c>
      <c r="L122" s="44">
        <v>2.1</v>
      </c>
      <c r="M122" s="44">
        <v>0.7</v>
      </c>
      <c r="N122" s="44">
        <v>0.6</v>
      </c>
      <c r="O122" s="44">
        <v>2.1</v>
      </c>
      <c r="P122" s="44">
        <v>0.31</v>
      </c>
      <c r="Q122">
        <f t="shared" ref="Q122:Q180" si="2">A122</f>
        <v>120</v>
      </c>
    </row>
    <row r="123" spans="1:17">
      <c r="A123" s="44">
        <v>121</v>
      </c>
      <c r="B123" s="1" t="s">
        <v>221</v>
      </c>
      <c r="C123" s="44" t="s">
        <v>38</v>
      </c>
      <c r="D123" s="44" t="s">
        <v>98</v>
      </c>
      <c r="E123" s="44">
        <v>73</v>
      </c>
      <c r="F123" s="44">
        <v>26</v>
      </c>
      <c r="G123" s="44" t="s">
        <v>1283</v>
      </c>
      <c r="H123" s="44" t="s">
        <v>1284</v>
      </c>
      <c r="I123" s="44">
        <v>0.1</v>
      </c>
      <c r="J123" s="44">
        <v>9.9</v>
      </c>
      <c r="K123" s="44">
        <v>5.7</v>
      </c>
      <c r="L123" s="44">
        <v>3.1</v>
      </c>
      <c r="M123" s="44">
        <v>2</v>
      </c>
      <c r="N123" s="44">
        <v>0.9</v>
      </c>
      <c r="O123" s="44">
        <v>1.5</v>
      </c>
      <c r="P123" s="44">
        <v>0.31</v>
      </c>
      <c r="Q123">
        <f t="shared" si="2"/>
        <v>121</v>
      </c>
    </row>
    <row r="124" spans="1:17">
      <c r="A124" s="44">
        <v>122</v>
      </c>
      <c r="B124" s="1" t="s">
        <v>238</v>
      </c>
      <c r="C124" s="44" t="s">
        <v>75</v>
      </c>
      <c r="D124" s="44" t="s">
        <v>39</v>
      </c>
      <c r="E124" s="44">
        <v>54</v>
      </c>
      <c r="F124" s="44">
        <v>30</v>
      </c>
      <c r="G124" s="44" t="s">
        <v>1285</v>
      </c>
      <c r="H124" s="44" t="s">
        <v>1286</v>
      </c>
      <c r="I124" s="44">
        <v>1.4</v>
      </c>
      <c r="J124" s="44">
        <v>17.600000000000001</v>
      </c>
      <c r="K124" s="44">
        <v>5.4</v>
      </c>
      <c r="L124" s="44">
        <v>2.4</v>
      </c>
      <c r="M124" s="44">
        <v>0.8</v>
      </c>
      <c r="N124" s="44">
        <v>0.2</v>
      </c>
      <c r="O124" s="44">
        <v>2.2000000000000002</v>
      </c>
      <c r="P124" s="44">
        <v>0.23</v>
      </c>
      <c r="Q124">
        <f t="shared" si="2"/>
        <v>122</v>
      </c>
    </row>
    <row r="125" spans="1:17">
      <c r="A125" s="44">
        <v>123</v>
      </c>
      <c r="B125" s="1" t="s">
        <v>196</v>
      </c>
      <c r="C125" s="44" t="s">
        <v>33</v>
      </c>
      <c r="D125" s="44" t="s">
        <v>18</v>
      </c>
      <c r="E125" s="44">
        <v>50</v>
      </c>
      <c r="F125" s="44">
        <v>31.5</v>
      </c>
      <c r="G125" s="44" t="s">
        <v>1287</v>
      </c>
      <c r="H125" s="44" t="s">
        <v>1288</v>
      </c>
      <c r="I125" s="44">
        <v>1.7</v>
      </c>
      <c r="J125" s="44">
        <v>14.1</v>
      </c>
      <c r="K125" s="44">
        <v>5</v>
      </c>
      <c r="L125" s="44">
        <v>1.6</v>
      </c>
      <c r="M125" s="44">
        <v>1.4</v>
      </c>
      <c r="N125" s="44">
        <v>0.5</v>
      </c>
      <c r="O125" s="44">
        <v>1.4</v>
      </c>
      <c r="P125" s="44">
        <v>0.14000000000000001</v>
      </c>
      <c r="Q125">
        <f t="shared" si="2"/>
        <v>123</v>
      </c>
    </row>
    <row r="126" spans="1:17">
      <c r="A126" s="44">
        <v>124</v>
      </c>
      <c r="B126" s="1" t="s">
        <v>1289</v>
      </c>
      <c r="C126" s="44" t="s">
        <v>224</v>
      </c>
      <c r="D126" s="44" t="s">
        <v>42</v>
      </c>
      <c r="E126" s="44">
        <v>13</v>
      </c>
      <c r="F126" s="44">
        <v>23.9</v>
      </c>
      <c r="G126" s="44" t="s">
        <v>1290</v>
      </c>
      <c r="H126" s="44" t="s">
        <v>1291</v>
      </c>
      <c r="I126" s="44">
        <v>1.2</v>
      </c>
      <c r="J126" s="44">
        <v>7.3</v>
      </c>
      <c r="K126" s="44">
        <v>4.4000000000000004</v>
      </c>
      <c r="L126" s="44">
        <v>2.8</v>
      </c>
      <c r="M126" s="44">
        <v>1.5</v>
      </c>
      <c r="N126" s="44">
        <v>1.1000000000000001</v>
      </c>
      <c r="O126" s="44">
        <v>1.3</v>
      </c>
      <c r="P126" s="44">
        <v>0.11</v>
      </c>
      <c r="Q126">
        <f t="shared" si="2"/>
        <v>124</v>
      </c>
    </row>
    <row r="127" spans="1:17">
      <c r="A127" s="44">
        <v>125</v>
      </c>
      <c r="B127" s="1" t="s">
        <v>214</v>
      </c>
      <c r="C127" s="44" t="s">
        <v>17</v>
      </c>
      <c r="D127" s="44" t="s">
        <v>112</v>
      </c>
      <c r="E127" s="44">
        <v>78</v>
      </c>
      <c r="F127" s="44">
        <v>29.3</v>
      </c>
      <c r="G127" s="44" t="s">
        <v>1292</v>
      </c>
      <c r="H127" s="44" t="s">
        <v>1293</v>
      </c>
      <c r="I127" s="44">
        <v>0.9</v>
      </c>
      <c r="J127" s="44">
        <v>11.8</v>
      </c>
      <c r="K127" s="44">
        <v>7.4</v>
      </c>
      <c r="L127" s="44">
        <v>2</v>
      </c>
      <c r="M127" s="44">
        <v>0.8</v>
      </c>
      <c r="N127" s="44">
        <v>0.6</v>
      </c>
      <c r="O127" s="44">
        <v>1.3</v>
      </c>
      <c r="P127" s="44">
        <v>0.1</v>
      </c>
      <c r="Q127">
        <f t="shared" si="2"/>
        <v>125</v>
      </c>
    </row>
    <row r="128" spans="1:17">
      <c r="A128" s="44">
        <v>126</v>
      </c>
      <c r="B128" s="1" t="s">
        <v>230</v>
      </c>
      <c r="C128" s="44" t="s">
        <v>22</v>
      </c>
      <c r="D128" s="44" t="s">
        <v>50</v>
      </c>
      <c r="E128" s="44">
        <v>82</v>
      </c>
      <c r="F128" s="44">
        <v>28.4</v>
      </c>
      <c r="G128" s="44" t="s">
        <v>1294</v>
      </c>
      <c r="H128" s="44" t="s">
        <v>1295</v>
      </c>
      <c r="I128" s="44">
        <v>1.9</v>
      </c>
      <c r="J128" s="44">
        <v>13.8</v>
      </c>
      <c r="K128" s="44">
        <v>5.0999999999999996</v>
      </c>
      <c r="L128" s="44">
        <v>3.7</v>
      </c>
      <c r="M128" s="44">
        <v>1.1000000000000001</v>
      </c>
      <c r="N128" s="44">
        <v>0.2</v>
      </c>
      <c r="O128" s="44">
        <v>1.6</v>
      </c>
      <c r="P128" s="44">
        <v>0.1</v>
      </c>
      <c r="Q128">
        <f t="shared" si="2"/>
        <v>126</v>
      </c>
    </row>
    <row r="129" spans="1:17">
      <c r="A129" s="44">
        <v>127</v>
      </c>
      <c r="B129" s="1" t="s">
        <v>197</v>
      </c>
      <c r="C129" s="44" t="s">
        <v>44</v>
      </c>
      <c r="D129" s="44" t="s">
        <v>91</v>
      </c>
      <c r="E129" s="44">
        <v>50</v>
      </c>
      <c r="F129" s="44">
        <v>29.4</v>
      </c>
      <c r="G129" s="44" t="s">
        <v>1296</v>
      </c>
      <c r="H129" s="44" t="s">
        <v>1297</v>
      </c>
      <c r="I129" s="44">
        <v>2.1</v>
      </c>
      <c r="J129" s="44">
        <v>20.8</v>
      </c>
      <c r="K129" s="44">
        <v>4.3</v>
      </c>
      <c r="L129" s="44">
        <v>2.6</v>
      </c>
      <c r="M129" s="44">
        <v>1.4</v>
      </c>
      <c r="N129" s="44">
        <v>0.1</v>
      </c>
      <c r="O129" s="44">
        <v>2.9</v>
      </c>
      <c r="P129" s="44">
        <v>0.08</v>
      </c>
      <c r="Q129">
        <f t="shared" si="2"/>
        <v>127</v>
      </c>
    </row>
    <row r="130" spans="1:17">
      <c r="A130" s="44">
        <v>128</v>
      </c>
      <c r="B130" s="1" t="s">
        <v>161</v>
      </c>
      <c r="C130" s="44" t="s">
        <v>17</v>
      </c>
      <c r="D130" s="44" t="s">
        <v>91</v>
      </c>
      <c r="E130" s="44">
        <v>59</v>
      </c>
      <c r="F130" s="44">
        <v>17.100000000000001</v>
      </c>
      <c r="G130" s="44" t="s">
        <v>1298</v>
      </c>
      <c r="H130" s="44" t="s">
        <v>1299</v>
      </c>
      <c r="I130" s="44">
        <v>0.2</v>
      </c>
      <c r="J130" s="44">
        <v>6.7</v>
      </c>
      <c r="K130" s="44">
        <v>7</v>
      </c>
      <c r="L130" s="44">
        <v>1</v>
      </c>
      <c r="M130" s="44">
        <v>0.6</v>
      </c>
      <c r="N130" s="44">
        <v>1.5</v>
      </c>
      <c r="O130" s="44">
        <v>0.8</v>
      </c>
      <c r="P130" s="44">
        <v>0.06</v>
      </c>
      <c r="Q130">
        <f t="shared" si="2"/>
        <v>128</v>
      </c>
    </row>
    <row r="131" spans="1:17">
      <c r="A131" s="44">
        <v>129</v>
      </c>
      <c r="B131" s="1" t="s">
        <v>1300</v>
      </c>
      <c r="C131" s="44"/>
      <c r="D131" s="44"/>
      <c r="E131" s="44">
        <v>15</v>
      </c>
      <c r="F131" s="44">
        <v>32.799999999999997</v>
      </c>
      <c r="G131" s="44" t="s">
        <v>1301</v>
      </c>
      <c r="H131" s="44" t="s">
        <v>1302</v>
      </c>
      <c r="I131" s="44">
        <v>0.4</v>
      </c>
      <c r="J131" s="44">
        <v>8.1</v>
      </c>
      <c r="K131" s="44">
        <v>3.8</v>
      </c>
      <c r="L131" s="44">
        <v>4.0999999999999996</v>
      </c>
      <c r="M131" s="44">
        <v>2.2999999999999998</v>
      </c>
      <c r="N131" s="44">
        <v>0.4</v>
      </c>
      <c r="O131" s="44">
        <v>1.5</v>
      </c>
      <c r="P131" s="44">
        <v>0.04</v>
      </c>
      <c r="Q131">
        <f t="shared" si="2"/>
        <v>129</v>
      </c>
    </row>
    <row r="132" spans="1:17">
      <c r="A132" s="44">
        <v>130</v>
      </c>
      <c r="B132" s="1" t="s">
        <v>225</v>
      </c>
      <c r="C132" s="44" t="s">
        <v>22</v>
      </c>
      <c r="D132" s="44" t="s">
        <v>63</v>
      </c>
      <c r="E132" s="44">
        <v>64</v>
      </c>
      <c r="F132" s="44">
        <v>28.9</v>
      </c>
      <c r="G132" s="44" t="s">
        <v>1303</v>
      </c>
      <c r="H132" s="44" t="s">
        <v>1304</v>
      </c>
      <c r="I132" s="44">
        <v>2</v>
      </c>
      <c r="J132" s="44">
        <v>15.2</v>
      </c>
      <c r="K132" s="44">
        <v>5.4</v>
      </c>
      <c r="L132" s="44">
        <v>6.7</v>
      </c>
      <c r="M132" s="44">
        <v>1.3</v>
      </c>
      <c r="N132" s="44">
        <v>0.2</v>
      </c>
      <c r="O132" s="44">
        <v>3.3</v>
      </c>
      <c r="P132" s="44">
        <v>0.03</v>
      </c>
      <c r="Q132">
        <f t="shared" si="2"/>
        <v>130</v>
      </c>
    </row>
    <row r="133" spans="1:17">
      <c r="A133" s="44">
        <v>131</v>
      </c>
      <c r="B133" s="1" t="s">
        <v>134</v>
      </c>
      <c r="C133" s="44" t="s">
        <v>22</v>
      </c>
      <c r="D133" s="44" t="s">
        <v>82</v>
      </c>
      <c r="E133" s="44">
        <v>68</v>
      </c>
      <c r="F133" s="44">
        <v>23.7</v>
      </c>
      <c r="G133" s="44" t="s">
        <v>1305</v>
      </c>
      <c r="H133" s="44" t="s">
        <v>1306</v>
      </c>
      <c r="I133" s="44">
        <v>1.7</v>
      </c>
      <c r="J133" s="44">
        <v>15.4</v>
      </c>
      <c r="K133" s="44">
        <v>2.2999999999999998</v>
      </c>
      <c r="L133" s="44">
        <v>3.3</v>
      </c>
      <c r="M133" s="44">
        <v>1.1000000000000001</v>
      </c>
      <c r="N133" s="44">
        <v>0.1</v>
      </c>
      <c r="O133" s="44">
        <v>2.1</v>
      </c>
      <c r="P133" s="44">
        <v>-0.01</v>
      </c>
      <c r="Q133">
        <f t="shared" si="2"/>
        <v>131</v>
      </c>
    </row>
    <row r="134" spans="1:17">
      <c r="A134" s="44">
        <v>132</v>
      </c>
      <c r="B134" s="1" t="s">
        <v>104</v>
      </c>
      <c r="C134" s="44" t="s">
        <v>120</v>
      </c>
      <c r="D134" s="44" t="s">
        <v>98</v>
      </c>
      <c r="E134" s="44">
        <v>63</v>
      </c>
      <c r="F134" s="44">
        <v>27.7</v>
      </c>
      <c r="G134" s="44" t="s">
        <v>1307</v>
      </c>
      <c r="H134" s="44" t="s">
        <v>956</v>
      </c>
      <c r="I134" s="44">
        <v>1.3</v>
      </c>
      <c r="J134" s="44">
        <v>13.3</v>
      </c>
      <c r="K134" s="44">
        <v>5.0999999999999996</v>
      </c>
      <c r="L134" s="44">
        <v>2.5</v>
      </c>
      <c r="M134" s="44">
        <v>0.9</v>
      </c>
      <c r="N134" s="44">
        <v>0.4</v>
      </c>
      <c r="O134" s="44">
        <v>1</v>
      </c>
      <c r="P134" s="44">
        <v>-0.03</v>
      </c>
      <c r="Q134">
        <f t="shared" si="2"/>
        <v>132</v>
      </c>
    </row>
    <row r="135" spans="1:17">
      <c r="A135" s="44">
        <v>133</v>
      </c>
      <c r="B135" s="1" t="s">
        <v>309</v>
      </c>
      <c r="C135" s="44" t="s">
        <v>44</v>
      </c>
      <c r="D135" s="44" t="s">
        <v>112</v>
      </c>
      <c r="E135" s="44">
        <v>64</v>
      </c>
      <c r="F135" s="44">
        <v>29.8</v>
      </c>
      <c r="G135" s="44" t="s">
        <v>1195</v>
      </c>
      <c r="H135" s="44" t="s">
        <v>1308</v>
      </c>
      <c r="I135" s="44">
        <v>1.6</v>
      </c>
      <c r="J135" s="44">
        <v>15</v>
      </c>
      <c r="K135" s="44">
        <v>3.8</v>
      </c>
      <c r="L135" s="44">
        <v>3.7</v>
      </c>
      <c r="M135" s="44">
        <v>1.4</v>
      </c>
      <c r="N135" s="44">
        <v>0.7</v>
      </c>
      <c r="O135" s="44">
        <v>2</v>
      </c>
      <c r="P135" s="44">
        <v>-0.06</v>
      </c>
      <c r="Q135">
        <f t="shared" si="2"/>
        <v>133</v>
      </c>
    </row>
    <row r="136" spans="1:17">
      <c r="A136" s="44">
        <v>134</v>
      </c>
      <c r="B136" s="1" t="s">
        <v>213</v>
      </c>
      <c r="C136" s="44" t="s">
        <v>25</v>
      </c>
      <c r="D136" s="44" t="s">
        <v>79</v>
      </c>
      <c r="E136" s="44">
        <v>43</v>
      </c>
      <c r="F136" s="44">
        <v>27.9</v>
      </c>
      <c r="G136" s="44" t="s">
        <v>1309</v>
      </c>
      <c r="H136" s="44" t="s">
        <v>1310</v>
      </c>
      <c r="I136" s="44">
        <v>1.6</v>
      </c>
      <c r="J136" s="44">
        <v>14</v>
      </c>
      <c r="K136" s="44">
        <v>6.7</v>
      </c>
      <c r="L136" s="44">
        <v>2.9</v>
      </c>
      <c r="M136" s="44">
        <v>0.9</v>
      </c>
      <c r="N136" s="44">
        <v>0.7</v>
      </c>
      <c r="O136" s="44">
        <v>1.3</v>
      </c>
      <c r="P136" s="44">
        <v>-0.08</v>
      </c>
      <c r="Q136">
        <f t="shared" si="2"/>
        <v>134</v>
      </c>
    </row>
    <row r="137" spans="1:17">
      <c r="A137" s="44">
        <v>135</v>
      </c>
      <c r="B137" s="1" t="s">
        <v>150</v>
      </c>
      <c r="C137" s="44" t="s">
        <v>17</v>
      </c>
      <c r="D137" s="44" t="s">
        <v>59</v>
      </c>
      <c r="E137" s="44">
        <v>46</v>
      </c>
      <c r="F137" s="44">
        <v>25</v>
      </c>
      <c r="G137" s="44" t="s">
        <v>1311</v>
      </c>
      <c r="H137" s="44" t="s">
        <v>1312</v>
      </c>
      <c r="I137" s="44">
        <v>0</v>
      </c>
      <c r="J137" s="44">
        <v>10.7</v>
      </c>
      <c r="K137" s="44">
        <v>7</v>
      </c>
      <c r="L137" s="44">
        <v>2</v>
      </c>
      <c r="M137" s="44">
        <v>0.9</v>
      </c>
      <c r="N137" s="44">
        <v>0.7</v>
      </c>
      <c r="O137" s="44">
        <v>1.2</v>
      </c>
      <c r="P137" s="44">
        <v>-0.18</v>
      </c>
      <c r="Q137">
        <f t="shared" si="2"/>
        <v>135</v>
      </c>
    </row>
    <row r="138" spans="1:17">
      <c r="A138" s="44">
        <v>136</v>
      </c>
      <c r="B138" s="1" t="s">
        <v>149</v>
      </c>
      <c r="C138" s="44" t="s">
        <v>22</v>
      </c>
      <c r="D138" s="44" t="s">
        <v>79</v>
      </c>
      <c r="E138" s="44">
        <v>10</v>
      </c>
      <c r="F138" s="44">
        <v>21.2</v>
      </c>
      <c r="G138" s="44" t="s">
        <v>1313</v>
      </c>
      <c r="H138" s="44" t="s">
        <v>1314</v>
      </c>
      <c r="I138" s="44">
        <v>1</v>
      </c>
      <c r="J138" s="44">
        <v>11.4</v>
      </c>
      <c r="K138" s="44">
        <v>2.2000000000000002</v>
      </c>
      <c r="L138" s="44">
        <v>4.7</v>
      </c>
      <c r="M138" s="44">
        <v>1.9</v>
      </c>
      <c r="N138" s="44">
        <v>0.4</v>
      </c>
      <c r="O138" s="44">
        <v>2.7</v>
      </c>
      <c r="P138" s="44">
        <v>-0.28000000000000003</v>
      </c>
      <c r="Q138">
        <f t="shared" si="2"/>
        <v>136</v>
      </c>
    </row>
    <row r="139" spans="1:17">
      <c r="A139" s="44">
        <v>137</v>
      </c>
      <c r="B139" s="1" t="s">
        <v>126</v>
      </c>
      <c r="C139" s="44" t="s">
        <v>17</v>
      </c>
      <c r="D139" s="44" t="s">
        <v>127</v>
      </c>
      <c r="E139" s="44">
        <v>69</v>
      </c>
      <c r="F139" s="44">
        <v>27.8</v>
      </c>
      <c r="G139" s="44" t="s">
        <v>1315</v>
      </c>
      <c r="H139" s="44" t="s">
        <v>1316</v>
      </c>
      <c r="I139" s="44">
        <v>0</v>
      </c>
      <c r="J139" s="44">
        <v>11.7</v>
      </c>
      <c r="K139" s="44">
        <v>6.9</v>
      </c>
      <c r="L139" s="44">
        <v>3.7</v>
      </c>
      <c r="M139" s="44">
        <v>0.7</v>
      </c>
      <c r="N139" s="44">
        <v>1.1000000000000001</v>
      </c>
      <c r="O139" s="44">
        <v>1.4</v>
      </c>
      <c r="P139" s="44">
        <v>-0.3</v>
      </c>
      <c r="Q139">
        <f t="shared" si="2"/>
        <v>137</v>
      </c>
    </row>
    <row r="140" spans="1:17">
      <c r="A140" s="44">
        <v>138</v>
      </c>
      <c r="B140" s="1" t="s">
        <v>190</v>
      </c>
      <c r="C140" s="44" t="s">
        <v>25</v>
      </c>
      <c r="D140" s="44" t="s">
        <v>20</v>
      </c>
      <c r="E140" s="44">
        <v>36</v>
      </c>
      <c r="F140" s="44">
        <v>27.6</v>
      </c>
      <c r="G140" s="44" t="s">
        <v>1317</v>
      </c>
      <c r="H140" s="44" t="s">
        <v>1318</v>
      </c>
      <c r="I140" s="44">
        <v>1.7</v>
      </c>
      <c r="J140" s="44">
        <v>16.2</v>
      </c>
      <c r="K140" s="44">
        <v>5.8</v>
      </c>
      <c r="L140" s="44">
        <v>2.7</v>
      </c>
      <c r="M140" s="44">
        <v>0.6</v>
      </c>
      <c r="N140" s="44">
        <v>0.3</v>
      </c>
      <c r="O140" s="44">
        <v>1.1000000000000001</v>
      </c>
      <c r="P140" s="44">
        <v>-0.31</v>
      </c>
      <c r="Q140">
        <f t="shared" si="2"/>
        <v>138</v>
      </c>
    </row>
    <row r="141" spans="1:17">
      <c r="A141" s="44">
        <v>139</v>
      </c>
      <c r="B141" s="1" t="s">
        <v>236</v>
      </c>
      <c r="C141" s="44" t="s">
        <v>33</v>
      </c>
      <c r="D141" s="44" t="s">
        <v>34</v>
      </c>
      <c r="E141" s="44">
        <v>56</v>
      </c>
      <c r="F141" s="44">
        <v>30.4</v>
      </c>
      <c r="G141" s="44" t="s">
        <v>1319</v>
      </c>
      <c r="H141" s="44" t="s">
        <v>1320</v>
      </c>
      <c r="I141" s="44">
        <v>2.2999999999999998</v>
      </c>
      <c r="J141" s="44">
        <v>20.2</v>
      </c>
      <c r="K141" s="44">
        <v>3.6</v>
      </c>
      <c r="L141" s="44">
        <v>1.8</v>
      </c>
      <c r="M141" s="44">
        <v>1.1000000000000001</v>
      </c>
      <c r="N141" s="44">
        <v>0.2</v>
      </c>
      <c r="O141" s="44">
        <v>1.8</v>
      </c>
      <c r="P141" s="44">
        <v>-0.33</v>
      </c>
      <c r="Q141">
        <f t="shared" si="2"/>
        <v>139</v>
      </c>
    </row>
    <row r="142" spans="1:17">
      <c r="A142" s="44">
        <v>140</v>
      </c>
      <c r="B142" s="1" t="s">
        <v>302</v>
      </c>
      <c r="C142" s="44" t="s">
        <v>44</v>
      </c>
      <c r="D142" s="44" t="s">
        <v>23</v>
      </c>
      <c r="E142" s="44">
        <v>77</v>
      </c>
      <c r="F142" s="44">
        <v>26.6</v>
      </c>
      <c r="G142" s="44" t="s">
        <v>1321</v>
      </c>
      <c r="H142" s="44" t="s">
        <v>1322</v>
      </c>
      <c r="I142" s="44">
        <v>1.3</v>
      </c>
      <c r="J142" s="44">
        <v>8.6</v>
      </c>
      <c r="K142" s="44">
        <v>3.1</v>
      </c>
      <c r="L142" s="44">
        <v>2.6</v>
      </c>
      <c r="M142" s="44">
        <v>2</v>
      </c>
      <c r="N142" s="44">
        <v>0.4</v>
      </c>
      <c r="O142" s="44">
        <v>0.9</v>
      </c>
      <c r="P142" s="44">
        <v>-0.33</v>
      </c>
      <c r="Q142">
        <f t="shared" si="2"/>
        <v>140</v>
      </c>
    </row>
    <row r="143" spans="1:17">
      <c r="A143" s="44">
        <v>141</v>
      </c>
      <c r="B143" s="1" t="s">
        <v>208</v>
      </c>
      <c r="C143" s="44" t="s">
        <v>38</v>
      </c>
      <c r="D143" s="44" t="s">
        <v>77</v>
      </c>
      <c r="E143" s="44">
        <v>75</v>
      </c>
      <c r="F143" s="44">
        <v>28.3</v>
      </c>
      <c r="G143" s="44" t="s">
        <v>1323</v>
      </c>
      <c r="H143" s="44" t="s">
        <v>1324</v>
      </c>
      <c r="I143" s="44">
        <v>0.8</v>
      </c>
      <c r="J143" s="44">
        <v>15.4</v>
      </c>
      <c r="K143" s="44">
        <v>5</v>
      </c>
      <c r="L143" s="44">
        <v>4.7</v>
      </c>
      <c r="M143" s="44">
        <v>0.7</v>
      </c>
      <c r="N143" s="44">
        <v>0.3</v>
      </c>
      <c r="O143" s="44">
        <v>2</v>
      </c>
      <c r="P143" s="44">
        <v>-0.33</v>
      </c>
      <c r="Q143">
        <f t="shared" si="2"/>
        <v>141</v>
      </c>
    </row>
    <row r="144" spans="1:17">
      <c r="A144" s="44">
        <v>142</v>
      </c>
      <c r="B144" s="1" t="s">
        <v>842</v>
      </c>
      <c r="C144" s="44" t="s">
        <v>75</v>
      </c>
      <c r="D144" s="44" t="s">
        <v>79</v>
      </c>
      <c r="E144" s="44">
        <v>62</v>
      </c>
      <c r="F144" s="44">
        <v>25.8</v>
      </c>
      <c r="G144" s="44" t="s">
        <v>1325</v>
      </c>
      <c r="H144" s="44" t="s">
        <v>1326</v>
      </c>
      <c r="I144" s="44">
        <v>1.5</v>
      </c>
      <c r="J144" s="44">
        <v>13.6</v>
      </c>
      <c r="K144" s="44">
        <v>5.9</v>
      </c>
      <c r="L144" s="44">
        <v>2.8</v>
      </c>
      <c r="M144" s="44">
        <v>0.6</v>
      </c>
      <c r="N144" s="44">
        <v>0.4</v>
      </c>
      <c r="O144" s="44">
        <v>1.7</v>
      </c>
      <c r="P144" s="44">
        <v>-0.34</v>
      </c>
      <c r="Q144">
        <f t="shared" si="2"/>
        <v>142</v>
      </c>
    </row>
    <row r="145" spans="1:17">
      <c r="A145" s="44">
        <v>143</v>
      </c>
      <c r="B145" s="1" t="s">
        <v>833</v>
      </c>
      <c r="C145" s="44" t="s">
        <v>17</v>
      </c>
      <c r="D145" s="44" t="s">
        <v>53</v>
      </c>
      <c r="E145" s="44">
        <v>69</v>
      </c>
      <c r="F145" s="44">
        <v>21.4</v>
      </c>
      <c r="G145" s="44" t="s">
        <v>1327</v>
      </c>
      <c r="H145" s="44" t="s">
        <v>1328</v>
      </c>
      <c r="I145" s="44">
        <v>0</v>
      </c>
      <c r="J145" s="44">
        <v>7.6</v>
      </c>
      <c r="K145" s="44">
        <v>5.4</v>
      </c>
      <c r="L145" s="44">
        <v>0.8</v>
      </c>
      <c r="M145" s="44">
        <v>0.5</v>
      </c>
      <c r="N145" s="44">
        <v>1.5</v>
      </c>
      <c r="O145" s="44">
        <v>0.9</v>
      </c>
      <c r="P145" s="44">
        <v>-0.35</v>
      </c>
      <c r="Q145">
        <f t="shared" si="2"/>
        <v>143</v>
      </c>
    </row>
    <row r="146" spans="1:17">
      <c r="A146" s="44">
        <v>144</v>
      </c>
      <c r="B146" s="1" t="s">
        <v>325</v>
      </c>
      <c r="C146" s="44" t="s">
        <v>229</v>
      </c>
      <c r="D146" s="44" t="s">
        <v>91</v>
      </c>
      <c r="E146" s="44">
        <v>82</v>
      </c>
      <c r="F146" s="44">
        <v>33.299999999999997</v>
      </c>
      <c r="G146" s="44" t="s">
        <v>1329</v>
      </c>
      <c r="H146" s="44" t="s">
        <v>1330</v>
      </c>
      <c r="I146" s="44">
        <v>2.7</v>
      </c>
      <c r="J146" s="44">
        <v>13.4</v>
      </c>
      <c r="K146" s="44">
        <v>5.0999999999999996</v>
      </c>
      <c r="L146" s="44">
        <v>2.5</v>
      </c>
      <c r="M146" s="44">
        <v>1.1000000000000001</v>
      </c>
      <c r="N146" s="44">
        <v>0.4</v>
      </c>
      <c r="O146" s="44">
        <v>1.8</v>
      </c>
      <c r="P146" s="44">
        <v>-0.38</v>
      </c>
      <c r="Q146">
        <f t="shared" si="2"/>
        <v>144</v>
      </c>
    </row>
    <row r="147" spans="1:17">
      <c r="A147" s="44">
        <v>145</v>
      </c>
      <c r="B147" s="1" t="s">
        <v>331</v>
      </c>
      <c r="C147" s="44" t="s">
        <v>75</v>
      </c>
      <c r="D147" s="44" t="s">
        <v>31</v>
      </c>
      <c r="E147" s="44">
        <v>82</v>
      </c>
      <c r="F147" s="44">
        <v>27.6</v>
      </c>
      <c r="G147" s="44" t="s">
        <v>1331</v>
      </c>
      <c r="H147" s="44" t="s">
        <v>1332</v>
      </c>
      <c r="I147" s="44">
        <v>2.4</v>
      </c>
      <c r="J147" s="44">
        <v>11.1</v>
      </c>
      <c r="K147" s="44">
        <v>5.8</v>
      </c>
      <c r="L147" s="44">
        <v>1.5</v>
      </c>
      <c r="M147" s="44">
        <v>0.8</v>
      </c>
      <c r="N147" s="44">
        <v>0.5</v>
      </c>
      <c r="O147" s="44">
        <v>0.9</v>
      </c>
      <c r="P147" s="44">
        <v>-0.39</v>
      </c>
      <c r="Q147">
        <f t="shared" si="2"/>
        <v>145</v>
      </c>
    </row>
    <row r="148" spans="1:17">
      <c r="A148" s="44">
        <v>146</v>
      </c>
      <c r="B148" s="1" t="s">
        <v>92</v>
      </c>
      <c r="C148" s="44" t="s">
        <v>17</v>
      </c>
      <c r="D148" s="44" t="s">
        <v>29</v>
      </c>
      <c r="E148" s="44">
        <v>55</v>
      </c>
      <c r="F148" s="44">
        <v>21.7</v>
      </c>
      <c r="G148" s="44" t="s">
        <v>1333</v>
      </c>
      <c r="H148" s="44" t="s">
        <v>1334</v>
      </c>
      <c r="I148" s="44">
        <v>0</v>
      </c>
      <c r="J148" s="44">
        <v>9.5</v>
      </c>
      <c r="K148" s="44">
        <v>6.9</v>
      </c>
      <c r="L148" s="44">
        <v>1.1000000000000001</v>
      </c>
      <c r="M148" s="44">
        <v>0.7</v>
      </c>
      <c r="N148" s="44">
        <v>1.3</v>
      </c>
      <c r="O148" s="44">
        <v>1.1000000000000001</v>
      </c>
      <c r="P148" s="44">
        <v>-0.4</v>
      </c>
      <c r="Q148">
        <f t="shared" si="2"/>
        <v>146</v>
      </c>
    </row>
    <row r="149" spans="1:17">
      <c r="A149" s="44">
        <v>147</v>
      </c>
      <c r="B149" s="1" t="s">
        <v>195</v>
      </c>
      <c r="C149" s="44" t="s">
        <v>229</v>
      </c>
      <c r="D149" s="44" t="s">
        <v>29</v>
      </c>
      <c r="E149" s="44">
        <v>56</v>
      </c>
      <c r="F149" s="44">
        <v>31</v>
      </c>
      <c r="G149" s="44" t="s">
        <v>1335</v>
      </c>
      <c r="H149" s="44" t="s">
        <v>1336</v>
      </c>
      <c r="I149" s="44">
        <v>1.4</v>
      </c>
      <c r="J149" s="44">
        <v>14.2</v>
      </c>
      <c r="K149" s="44">
        <v>7</v>
      </c>
      <c r="L149" s="44">
        <v>1.8</v>
      </c>
      <c r="M149" s="44">
        <v>1</v>
      </c>
      <c r="N149" s="44">
        <v>1.1000000000000001</v>
      </c>
      <c r="O149" s="44">
        <v>1.7</v>
      </c>
      <c r="P149" s="44">
        <v>-0.42</v>
      </c>
      <c r="Q149">
        <f t="shared" si="2"/>
        <v>147</v>
      </c>
    </row>
    <row r="150" spans="1:17">
      <c r="A150" s="44">
        <v>148</v>
      </c>
      <c r="B150" s="1" t="s">
        <v>125</v>
      </c>
      <c r="C150" s="44" t="s">
        <v>75</v>
      </c>
      <c r="D150" s="44" t="s">
        <v>31</v>
      </c>
      <c r="E150" s="44">
        <v>67</v>
      </c>
      <c r="F150" s="44">
        <v>30.5</v>
      </c>
      <c r="G150" s="44" t="s">
        <v>1337</v>
      </c>
      <c r="H150" s="44" t="s">
        <v>1338</v>
      </c>
      <c r="I150" s="44">
        <v>2.5</v>
      </c>
      <c r="J150" s="44">
        <v>13.9</v>
      </c>
      <c r="K150" s="44">
        <v>4</v>
      </c>
      <c r="L150" s="44">
        <v>2.5</v>
      </c>
      <c r="M150" s="44">
        <v>0.9</v>
      </c>
      <c r="N150" s="44">
        <v>0.4</v>
      </c>
      <c r="O150" s="44">
        <v>0.9</v>
      </c>
      <c r="P150" s="44">
        <v>-0.42</v>
      </c>
      <c r="Q150">
        <f t="shared" si="2"/>
        <v>148</v>
      </c>
    </row>
    <row r="151" spans="1:17">
      <c r="A151" s="44">
        <v>149</v>
      </c>
      <c r="B151" s="1" t="s">
        <v>780</v>
      </c>
      <c r="C151" s="44" t="s">
        <v>17</v>
      </c>
      <c r="D151" s="44" t="s">
        <v>53</v>
      </c>
      <c r="E151" s="44">
        <v>73</v>
      </c>
      <c r="F151" s="44">
        <v>26</v>
      </c>
      <c r="G151" s="44" t="s">
        <v>1339</v>
      </c>
      <c r="H151" s="44" t="s">
        <v>1340</v>
      </c>
      <c r="I151" s="44">
        <v>0</v>
      </c>
      <c r="J151" s="44">
        <v>7.9</v>
      </c>
      <c r="K151" s="44">
        <v>8.6999999999999993</v>
      </c>
      <c r="L151" s="44">
        <v>2</v>
      </c>
      <c r="M151" s="44">
        <v>0.8</v>
      </c>
      <c r="N151" s="44">
        <v>1</v>
      </c>
      <c r="O151" s="44">
        <v>1</v>
      </c>
      <c r="P151" s="44">
        <v>-0.44</v>
      </c>
      <c r="Q151">
        <f t="shared" si="2"/>
        <v>149</v>
      </c>
    </row>
    <row r="152" spans="1:17">
      <c r="A152" s="44">
        <v>150</v>
      </c>
      <c r="B152" s="1" t="s">
        <v>1341</v>
      </c>
      <c r="C152" s="44" t="s">
        <v>25</v>
      </c>
      <c r="D152" s="44" t="s">
        <v>139</v>
      </c>
      <c r="E152" s="44">
        <v>13</v>
      </c>
      <c r="F152" s="44">
        <v>30.9</v>
      </c>
      <c r="G152" s="44" t="s">
        <v>1342</v>
      </c>
      <c r="H152" s="44" t="s">
        <v>1343</v>
      </c>
      <c r="I152" s="44">
        <v>0</v>
      </c>
      <c r="J152" s="44">
        <v>11.8</v>
      </c>
      <c r="K152" s="44">
        <v>10.5</v>
      </c>
      <c r="L152" s="44">
        <v>1.8</v>
      </c>
      <c r="M152" s="44">
        <v>1.4</v>
      </c>
      <c r="N152" s="44">
        <v>0.6</v>
      </c>
      <c r="O152" s="44">
        <v>2.5</v>
      </c>
      <c r="P152" s="44">
        <v>-0.44</v>
      </c>
      <c r="Q152">
        <f t="shared" si="2"/>
        <v>150</v>
      </c>
    </row>
    <row r="153" spans="1:17">
      <c r="A153" s="44">
        <v>151</v>
      </c>
      <c r="B153" s="1" t="s">
        <v>218</v>
      </c>
      <c r="C153" s="44" t="s">
        <v>33</v>
      </c>
      <c r="D153" s="44" t="s">
        <v>34</v>
      </c>
      <c r="E153" s="44">
        <v>78</v>
      </c>
      <c r="F153" s="44">
        <v>28.4</v>
      </c>
      <c r="G153" s="44" t="s">
        <v>1344</v>
      </c>
      <c r="H153" s="44" t="s">
        <v>1345</v>
      </c>
      <c r="I153" s="44">
        <v>2.7</v>
      </c>
      <c r="J153" s="44">
        <v>9.8000000000000007</v>
      </c>
      <c r="K153" s="44">
        <v>4.8</v>
      </c>
      <c r="L153" s="44">
        <v>2.7</v>
      </c>
      <c r="M153" s="44">
        <v>1.1000000000000001</v>
      </c>
      <c r="N153" s="44">
        <v>0.4</v>
      </c>
      <c r="O153" s="44">
        <v>1.3</v>
      </c>
      <c r="P153" s="44">
        <v>-0.48</v>
      </c>
      <c r="Q153">
        <f t="shared" si="2"/>
        <v>151</v>
      </c>
    </row>
    <row r="154" spans="1:17">
      <c r="A154" s="44">
        <v>152</v>
      </c>
      <c r="B154" s="1" t="s">
        <v>256</v>
      </c>
      <c r="C154" s="44" t="s">
        <v>75</v>
      </c>
      <c r="D154" s="44" t="s">
        <v>18</v>
      </c>
      <c r="E154" s="44">
        <v>75</v>
      </c>
      <c r="F154" s="44">
        <v>29.4</v>
      </c>
      <c r="G154" s="44" t="s">
        <v>1346</v>
      </c>
      <c r="H154" s="44" t="s">
        <v>1347</v>
      </c>
      <c r="I154" s="44">
        <v>1.7</v>
      </c>
      <c r="J154" s="44">
        <v>13.4</v>
      </c>
      <c r="K154" s="44">
        <v>3.6</v>
      </c>
      <c r="L154" s="44">
        <v>3.3</v>
      </c>
      <c r="M154" s="44">
        <v>0.9</v>
      </c>
      <c r="N154" s="44">
        <v>0.4</v>
      </c>
      <c r="O154" s="44">
        <v>1.8</v>
      </c>
      <c r="P154" s="44">
        <v>-0.51</v>
      </c>
      <c r="Q154">
        <f t="shared" si="2"/>
        <v>152</v>
      </c>
    </row>
    <row r="155" spans="1:17">
      <c r="A155" s="44">
        <v>153</v>
      </c>
      <c r="B155" s="1" t="s">
        <v>204</v>
      </c>
      <c r="C155" s="44" t="s">
        <v>25</v>
      </c>
      <c r="D155" s="44" t="s">
        <v>98</v>
      </c>
      <c r="E155" s="44">
        <v>58</v>
      </c>
      <c r="F155" s="44">
        <v>22.7</v>
      </c>
      <c r="G155" s="44" t="s">
        <v>1348</v>
      </c>
      <c r="H155" s="44" t="s">
        <v>1349</v>
      </c>
      <c r="I155" s="44">
        <v>0.7</v>
      </c>
      <c r="J155" s="44">
        <v>10</v>
      </c>
      <c r="K155" s="44">
        <v>5</v>
      </c>
      <c r="L155" s="44">
        <v>1.1000000000000001</v>
      </c>
      <c r="M155" s="44">
        <v>0.3</v>
      </c>
      <c r="N155" s="44">
        <v>1.6</v>
      </c>
      <c r="O155" s="44">
        <v>1.1000000000000001</v>
      </c>
      <c r="P155" s="44">
        <v>-0.54</v>
      </c>
      <c r="Q155">
        <f t="shared" si="2"/>
        <v>153</v>
      </c>
    </row>
    <row r="156" spans="1:17">
      <c r="A156" s="44">
        <v>154</v>
      </c>
      <c r="B156" s="1" t="s">
        <v>356</v>
      </c>
      <c r="C156" s="44" t="s">
        <v>75</v>
      </c>
      <c r="D156" s="44" t="s">
        <v>36</v>
      </c>
      <c r="E156" s="44">
        <v>66</v>
      </c>
      <c r="F156" s="44">
        <v>26.9</v>
      </c>
      <c r="G156" s="44" t="s">
        <v>1350</v>
      </c>
      <c r="H156" s="44" t="s">
        <v>1351</v>
      </c>
      <c r="I156" s="44">
        <v>2</v>
      </c>
      <c r="J156" s="44">
        <v>13.2</v>
      </c>
      <c r="K156" s="44">
        <v>5.0999999999999996</v>
      </c>
      <c r="L156" s="44">
        <v>2.2000000000000002</v>
      </c>
      <c r="M156" s="44">
        <v>0.8</v>
      </c>
      <c r="N156" s="44">
        <v>0.4</v>
      </c>
      <c r="O156" s="44">
        <v>1.5</v>
      </c>
      <c r="P156" s="44">
        <v>-0.56999999999999995</v>
      </c>
      <c r="Q156">
        <f t="shared" si="2"/>
        <v>154</v>
      </c>
    </row>
    <row r="157" spans="1:17">
      <c r="A157" s="44">
        <v>155</v>
      </c>
      <c r="B157" s="1" t="s">
        <v>155</v>
      </c>
      <c r="C157" s="44" t="s">
        <v>25</v>
      </c>
      <c r="D157" s="44" t="s">
        <v>50</v>
      </c>
      <c r="E157" s="44">
        <v>45</v>
      </c>
      <c r="F157" s="44">
        <v>21.5</v>
      </c>
      <c r="G157" s="44" t="s">
        <v>1352</v>
      </c>
      <c r="H157" s="44" t="s">
        <v>1353</v>
      </c>
      <c r="I157" s="44">
        <v>1.6</v>
      </c>
      <c r="J157" s="44">
        <v>8.3000000000000007</v>
      </c>
      <c r="K157" s="44">
        <v>4.9000000000000004</v>
      </c>
      <c r="L157" s="44">
        <v>2.6</v>
      </c>
      <c r="M157" s="44">
        <v>0.7</v>
      </c>
      <c r="N157" s="44">
        <v>1.1000000000000001</v>
      </c>
      <c r="O157" s="44">
        <v>0.9</v>
      </c>
      <c r="P157" s="44">
        <v>-0.56999999999999995</v>
      </c>
      <c r="Q157">
        <f t="shared" si="2"/>
        <v>155</v>
      </c>
    </row>
    <row r="158" spans="1:17">
      <c r="A158" s="44">
        <v>156</v>
      </c>
      <c r="B158" s="1" t="s">
        <v>192</v>
      </c>
      <c r="C158" s="44" t="s">
        <v>38</v>
      </c>
      <c r="D158" s="44" t="s">
        <v>20</v>
      </c>
      <c r="E158" s="44">
        <v>54</v>
      </c>
      <c r="F158" s="44">
        <v>30.5</v>
      </c>
      <c r="G158" s="44" t="s">
        <v>1354</v>
      </c>
      <c r="H158" s="44" t="s">
        <v>1355</v>
      </c>
      <c r="I158" s="44">
        <v>2</v>
      </c>
      <c r="J158" s="44">
        <v>12.2</v>
      </c>
      <c r="K158" s="44">
        <v>3.8</v>
      </c>
      <c r="L158" s="44">
        <v>2.4</v>
      </c>
      <c r="M158" s="44">
        <v>0.7</v>
      </c>
      <c r="N158" s="44">
        <v>0.4</v>
      </c>
      <c r="O158" s="44">
        <v>0.9</v>
      </c>
      <c r="P158" s="44">
        <v>-0.62</v>
      </c>
      <c r="Q158">
        <f t="shared" si="2"/>
        <v>156</v>
      </c>
    </row>
    <row r="159" spans="1:17">
      <c r="A159" s="44">
        <v>157</v>
      </c>
      <c r="B159" s="1" t="s">
        <v>308</v>
      </c>
      <c r="C159" s="44" t="s">
        <v>25</v>
      </c>
      <c r="D159" s="44" t="s">
        <v>57</v>
      </c>
      <c r="E159" s="44">
        <v>77</v>
      </c>
      <c r="F159" s="44">
        <v>23.4</v>
      </c>
      <c r="G159" s="44" t="s">
        <v>1356</v>
      </c>
      <c r="H159" s="44" t="s">
        <v>1357</v>
      </c>
      <c r="I159" s="44">
        <v>1</v>
      </c>
      <c r="J159" s="44">
        <v>11.4</v>
      </c>
      <c r="K159" s="44">
        <v>7.2</v>
      </c>
      <c r="L159" s="44">
        <v>2.6</v>
      </c>
      <c r="M159" s="44">
        <v>0.9</v>
      </c>
      <c r="N159" s="44">
        <v>0.5</v>
      </c>
      <c r="O159" s="44">
        <v>1.6</v>
      </c>
      <c r="P159" s="44">
        <v>-0.64</v>
      </c>
      <c r="Q159">
        <f t="shared" si="2"/>
        <v>157</v>
      </c>
    </row>
    <row r="160" spans="1:17">
      <c r="A160" s="44">
        <v>158</v>
      </c>
      <c r="B160" s="1" t="s">
        <v>852</v>
      </c>
      <c r="C160" s="44" t="s">
        <v>17</v>
      </c>
      <c r="D160" s="44" t="s">
        <v>63</v>
      </c>
      <c r="E160" s="44">
        <v>74</v>
      </c>
      <c r="F160" s="44">
        <v>26.5</v>
      </c>
      <c r="G160" s="44" t="s">
        <v>1358</v>
      </c>
      <c r="H160" s="44" t="s">
        <v>1359</v>
      </c>
      <c r="I160" s="44">
        <v>0.3</v>
      </c>
      <c r="J160" s="44">
        <v>12.5</v>
      </c>
      <c r="K160" s="44">
        <v>7.5</v>
      </c>
      <c r="L160" s="44">
        <v>1.4</v>
      </c>
      <c r="M160" s="44">
        <v>0.5</v>
      </c>
      <c r="N160" s="44">
        <v>0.5</v>
      </c>
      <c r="O160" s="44">
        <v>1.3</v>
      </c>
      <c r="P160" s="44">
        <v>-0.67</v>
      </c>
      <c r="Q160">
        <f t="shared" si="2"/>
        <v>158</v>
      </c>
    </row>
    <row r="161" spans="1:17">
      <c r="A161" s="44">
        <v>159</v>
      </c>
      <c r="B161" s="1" t="s">
        <v>270</v>
      </c>
      <c r="C161" s="44" t="s">
        <v>75</v>
      </c>
      <c r="D161" s="44" t="s">
        <v>139</v>
      </c>
      <c r="E161" s="44">
        <v>56</v>
      </c>
      <c r="F161" s="44">
        <v>26.2</v>
      </c>
      <c r="G161" s="44" t="s">
        <v>1360</v>
      </c>
      <c r="H161" s="44" t="s">
        <v>1361</v>
      </c>
      <c r="I161" s="44">
        <v>1.2</v>
      </c>
      <c r="J161" s="44">
        <v>11.7</v>
      </c>
      <c r="K161" s="44">
        <v>4.3</v>
      </c>
      <c r="L161" s="44">
        <v>2.6</v>
      </c>
      <c r="M161" s="44">
        <v>1.3</v>
      </c>
      <c r="N161" s="44">
        <v>1</v>
      </c>
      <c r="O161" s="44">
        <v>1.4</v>
      </c>
      <c r="P161" s="44">
        <v>-0.71</v>
      </c>
      <c r="Q161">
        <f t="shared" si="2"/>
        <v>159</v>
      </c>
    </row>
    <row r="162" spans="1:17">
      <c r="A162" s="44">
        <v>160</v>
      </c>
      <c r="B162" s="1" t="s">
        <v>199</v>
      </c>
      <c r="C162" s="44" t="s">
        <v>38</v>
      </c>
      <c r="D162" s="44" t="s">
        <v>59</v>
      </c>
      <c r="E162" s="44">
        <v>57</v>
      </c>
      <c r="F162" s="44">
        <v>30.3</v>
      </c>
      <c r="G162" s="44" t="s">
        <v>1362</v>
      </c>
      <c r="H162" s="44" t="s">
        <v>1363</v>
      </c>
      <c r="I162" s="44">
        <v>1.7</v>
      </c>
      <c r="J162" s="44">
        <v>19.3</v>
      </c>
      <c r="K162" s="44">
        <v>5.3</v>
      </c>
      <c r="L162" s="44">
        <v>3.3</v>
      </c>
      <c r="M162" s="44">
        <v>0.7</v>
      </c>
      <c r="N162" s="44">
        <v>0.3</v>
      </c>
      <c r="O162" s="44">
        <v>1.8</v>
      </c>
      <c r="P162" s="44">
        <v>-0.83</v>
      </c>
      <c r="Q162">
        <f t="shared" si="2"/>
        <v>160</v>
      </c>
    </row>
    <row r="163" spans="1:17">
      <c r="A163" s="44">
        <v>161</v>
      </c>
      <c r="B163" s="1" t="s">
        <v>320</v>
      </c>
      <c r="C163" s="44" t="s">
        <v>38</v>
      </c>
      <c r="D163" s="44" t="s">
        <v>29</v>
      </c>
      <c r="E163" s="44">
        <v>74</v>
      </c>
      <c r="F163" s="44">
        <v>29.5</v>
      </c>
      <c r="G163" s="44" t="s">
        <v>1364</v>
      </c>
      <c r="H163" s="44" t="s">
        <v>1365</v>
      </c>
      <c r="I163" s="44">
        <v>0.8</v>
      </c>
      <c r="J163" s="44">
        <v>15.2</v>
      </c>
      <c r="K163" s="44">
        <v>4.7</v>
      </c>
      <c r="L163" s="44">
        <v>3.3</v>
      </c>
      <c r="M163" s="44">
        <v>1.1000000000000001</v>
      </c>
      <c r="N163" s="44">
        <v>0.1</v>
      </c>
      <c r="O163" s="44">
        <v>1.6</v>
      </c>
      <c r="P163" s="44">
        <v>-0.85</v>
      </c>
      <c r="Q163">
        <f t="shared" si="2"/>
        <v>161</v>
      </c>
    </row>
    <row r="164" spans="1:17">
      <c r="A164" s="44">
        <v>162</v>
      </c>
      <c r="B164" s="1" t="s">
        <v>135</v>
      </c>
      <c r="C164" s="44" t="s">
        <v>25</v>
      </c>
      <c r="D164" s="44" t="s">
        <v>50</v>
      </c>
      <c r="E164" s="44">
        <v>68</v>
      </c>
      <c r="F164" s="44">
        <v>27.4</v>
      </c>
      <c r="G164" s="44" t="s">
        <v>1366</v>
      </c>
      <c r="H164" s="44" t="s">
        <v>1367</v>
      </c>
      <c r="I164" s="44">
        <v>1.5</v>
      </c>
      <c r="J164" s="44">
        <v>8.4</v>
      </c>
      <c r="K164" s="44">
        <v>5.5</v>
      </c>
      <c r="L164" s="44">
        <v>5.5</v>
      </c>
      <c r="M164" s="44">
        <v>0.9</v>
      </c>
      <c r="N164" s="44">
        <v>0.6</v>
      </c>
      <c r="O164" s="44">
        <v>2.7</v>
      </c>
      <c r="P164" s="44">
        <v>-0.92</v>
      </c>
      <c r="Q164">
        <f t="shared" si="2"/>
        <v>162</v>
      </c>
    </row>
    <row r="165" spans="1:17">
      <c r="A165" s="44">
        <v>163</v>
      </c>
      <c r="B165" s="1" t="s">
        <v>856</v>
      </c>
      <c r="C165" s="44" t="s">
        <v>25</v>
      </c>
      <c r="D165" s="44" t="s">
        <v>59</v>
      </c>
      <c r="E165" s="44">
        <v>80</v>
      </c>
      <c r="F165" s="44">
        <v>21.9</v>
      </c>
      <c r="G165" s="44" t="s">
        <v>1368</v>
      </c>
      <c r="H165" s="44" t="s">
        <v>1369</v>
      </c>
      <c r="I165" s="44">
        <v>1.4</v>
      </c>
      <c r="J165" s="44">
        <v>11.2</v>
      </c>
      <c r="K165" s="44">
        <v>4.9000000000000004</v>
      </c>
      <c r="L165" s="44">
        <v>1.9</v>
      </c>
      <c r="M165" s="44">
        <v>0.8</v>
      </c>
      <c r="N165" s="44">
        <v>0.5</v>
      </c>
      <c r="O165" s="44">
        <v>0.8</v>
      </c>
      <c r="P165" s="44">
        <v>-0.93</v>
      </c>
      <c r="Q165">
        <f t="shared" si="2"/>
        <v>163</v>
      </c>
    </row>
    <row r="166" spans="1:17">
      <c r="A166" s="44">
        <v>164</v>
      </c>
      <c r="B166" s="1" t="s">
        <v>234</v>
      </c>
      <c r="C166" s="44" t="s">
        <v>17</v>
      </c>
      <c r="D166" s="44" t="s">
        <v>31</v>
      </c>
      <c r="E166" s="44">
        <v>68</v>
      </c>
      <c r="F166" s="44">
        <v>21</v>
      </c>
      <c r="G166" s="44" t="s">
        <v>1370</v>
      </c>
      <c r="H166" s="44" t="s">
        <v>1371</v>
      </c>
      <c r="I166" s="44">
        <v>0</v>
      </c>
      <c r="J166" s="44">
        <v>6.5</v>
      </c>
      <c r="K166" s="44">
        <v>6.1</v>
      </c>
      <c r="L166" s="44">
        <v>1.9</v>
      </c>
      <c r="M166" s="44">
        <v>0.5</v>
      </c>
      <c r="N166" s="44">
        <v>1</v>
      </c>
      <c r="O166" s="44">
        <v>0.4</v>
      </c>
      <c r="P166" s="44">
        <v>-0.93</v>
      </c>
      <c r="Q166">
        <f t="shared" si="2"/>
        <v>164</v>
      </c>
    </row>
    <row r="167" spans="1:17">
      <c r="A167" s="44">
        <v>165</v>
      </c>
      <c r="B167" s="1" t="s">
        <v>316</v>
      </c>
      <c r="C167" s="44" t="s">
        <v>38</v>
      </c>
      <c r="D167" s="44" t="s">
        <v>50</v>
      </c>
      <c r="E167" s="44">
        <v>60</v>
      </c>
      <c r="F167" s="44">
        <v>25.7</v>
      </c>
      <c r="G167" s="44" t="s">
        <v>1372</v>
      </c>
      <c r="H167" s="44" t="s">
        <v>1373</v>
      </c>
      <c r="I167" s="44">
        <v>2.5</v>
      </c>
      <c r="J167" s="44">
        <v>12.1</v>
      </c>
      <c r="K167" s="44">
        <v>3.3</v>
      </c>
      <c r="L167" s="44">
        <v>1.6</v>
      </c>
      <c r="M167" s="44">
        <v>1</v>
      </c>
      <c r="N167" s="44">
        <v>0.6</v>
      </c>
      <c r="O167" s="44">
        <v>1</v>
      </c>
      <c r="P167" s="44">
        <v>-0.95</v>
      </c>
      <c r="Q167">
        <f t="shared" si="2"/>
        <v>165</v>
      </c>
    </row>
    <row r="168" spans="1:17">
      <c r="A168" s="44">
        <v>166</v>
      </c>
      <c r="B168" s="1" t="s">
        <v>172</v>
      </c>
      <c r="C168" s="44" t="s">
        <v>17</v>
      </c>
      <c r="D168" s="44" t="s">
        <v>29</v>
      </c>
      <c r="E168" s="44">
        <v>7</v>
      </c>
      <c r="F168" s="44">
        <v>16.5</v>
      </c>
      <c r="G168" s="44" t="s">
        <v>1374</v>
      </c>
      <c r="H168" s="44" t="s">
        <v>1375</v>
      </c>
      <c r="I168" s="44">
        <v>0</v>
      </c>
      <c r="J168" s="44">
        <v>4.3</v>
      </c>
      <c r="K168" s="44">
        <v>5.3</v>
      </c>
      <c r="L168" s="44">
        <v>1.9</v>
      </c>
      <c r="M168" s="44">
        <v>0.6</v>
      </c>
      <c r="N168" s="44">
        <v>1.6</v>
      </c>
      <c r="O168" s="44">
        <v>1.4</v>
      </c>
      <c r="P168" s="44">
        <v>-1.04</v>
      </c>
      <c r="Q168">
        <f t="shared" si="2"/>
        <v>166</v>
      </c>
    </row>
    <row r="169" spans="1:17">
      <c r="A169" s="44">
        <v>167</v>
      </c>
      <c r="B169" s="1" t="s">
        <v>146</v>
      </c>
      <c r="C169" s="44" t="s">
        <v>22</v>
      </c>
      <c r="D169" s="44" t="s">
        <v>53</v>
      </c>
      <c r="E169" s="44">
        <v>50</v>
      </c>
      <c r="F169" s="44">
        <v>25</v>
      </c>
      <c r="G169" s="44" t="s">
        <v>1376</v>
      </c>
      <c r="H169" s="44" t="s">
        <v>1377</v>
      </c>
      <c r="I169" s="44">
        <v>2.2999999999999998</v>
      </c>
      <c r="J169" s="44">
        <v>17.399999999999999</v>
      </c>
      <c r="K169" s="44">
        <v>3.4</v>
      </c>
      <c r="L169" s="44">
        <v>4</v>
      </c>
      <c r="M169" s="44">
        <v>0.5</v>
      </c>
      <c r="N169" s="44">
        <v>0.1</v>
      </c>
      <c r="O169" s="44">
        <v>2.6</v>
      </c>
      <c r="P169" s="44">
        <v>-1.08</v>
      </c>
      <c r="Q169">
        <f t="shared" si="2"/>
        <v>167</v>
      </c>
    </row>
    <row r="170" spans="1:17">
      <c r="A170" s="44">
        <v>168</v>
      </c>
      <c r="B170" s="1" t="s">
        <v>245</v>
      </c>
      <c r="C170" s="44" t="s">
        <v>17</v>
      </c>
      <c r="D170" s="44" t="s">
        <v>68</v>
      </c>
      <c r="E170" s="44">
        <v>60</v>
      </c>
      <c r="F170" s="44">
        <v>19.600000000000001</v>
      </c>
      <c r="G170" s="44" t="s">
        <v>1378</v>
      </c>
      <c r="H170" s="44" t="s">
        <v>1379</v>
      </c>
      <c r="I170" s="44">
        <v>0</v>
      </c>
      <c r="J170" s="44">
        <v>5.7</v>
      </c>
      <c r="K170" s="44">
        <v>8.6999999999999993</v>
      </c>
      <c r="L170" s="44">
        <v>0.9</v>
      </c>
      <c r="M170" s="44">
        <v>0.9</v>
      </c>
      <c r="N170" s="44">
        <v>1.2</v>
      </c>
      <c r="O170" s="44">
        <v>0.7</v>
      </c>
      <c r="P170" s="44">
        <v>-1.1000000000000001</v>
      </c>
      <c r="Q170">
        <f t="shared" si="2"/>
        <v>168</v>
      </c>
    </row>
    <row r="171" spans="1:17">
      <c r="A171" s="44">
        <v>169</v>
      </c>
      <c r="B171" s="1" t="s">
        <v>305</v>
      </c>
      <c r="C171" s="44" t="s">
        <v>33</v>
      </c>
      <c r="D171" s="44" t="s">
        <v>39</v>
      </c>
      <c r="E171" s="44">
        <v>50</v>
      </c>
      <c r="F171" s="44">
        <v>27</v>
      </c>
      <c r="G171" s="44" t="s">
        <v>1380</v>
      </c>
      <c r="H171" s="44" t="s">
        <v>1381</v>
      </c>
      <c r="I171" s="44">
        <v>1.1000000000000001</v>
      </c>
      <c r="J171" s="44">
        <v>10.1</v>
      </c>
      <c r="K171" s="44">
        <v>3.5</v>
      </c>
      <c r="L171" s="44">
        <v>1.4</v>
      </c>
      <c r="M171" s="44">
        <v>0.9</v>
      </c>
      <c r="N171" s="44">
        <v>1</v>
      </c>
      <c r="O171" s="44">
        <v>0.8</v>
      </c>
      <c r="P171" s="44">
        <v>-1.1100000000000001</v>
      </c>
      <c r="Q171">
        <f t="shared" si="2"/>
        <v>169</v>
      </c>
    </row>
    <row r="172" spans="1:17">
      <c r="A172" s="44">
        <v>170</v>
      </c>
      <c r="B172" s="1" t="s">
        <v>340</v>
      </c>
      <c r="C172" s="44" t="s">
        <v>28</v>
      </c>
      <c r="D172" s="44" t="s">
        <v>77</v>
      </c>
      <c r="E172" s="44">
        <v>70</v>
      </c>
      <c r="F172" s="44">
        <v>28.6</v>
      </c>
      <c r="G172" s="44" t="s">
        <v>1382</v>
      </c>
      <c r="H172" s="44" t="s">
        <v>1383</v>
      </c>
      <c r="I172" s="44">
        <v>1.3</v>
      </c>
      <c r="J172" s="44">
        <v>9.3000000000000007</v>
      </c>
      <c r="K172" s="44">
        <v>2.7</v>
      </c>
      <c r="L172" s="44">
        <v>6.5</v>
      </c>
      <c r="M172" s="44">
        <v>1</v>
      </c>
      <c r="N172" s="44">
        <v>0.2</v>
      </c>
      <c r="O172" s="44">
        <v>1.5</v>
      </c>
      <c r="P172" s="44">
        <v>-1.1399999999999999</v>
      </c>
      <c r="Q172">
        <f t="shared" si="2"/>
        <v>170</v>
      </c>
    </row>
    <row r="173" spans="1:17">
      <c r="A173" s="44">
        <v>171</v>
      </c>
      <c r="B173" s="1" t="s">
        <v>174</v>
      </c>
      <c r="C173" s="44" t="s">
        <v>22</v>
      </c>
      <c r="D173" s="44" t="s">
        <v>50</v>
      </c>
      <c r="E173" s="44">
        <v>49</v>
      </c>
      <c r="F173" s="44">
        <v>23</v>
      </c>
      <c r="G173" s="44" t="s">
        <v>1384</v>
      </c>
      <c r="H173" s="44" t="s">
        <v>1385</v>
      </c>
      <c r="I173" s="44">
        <v>1.5</v>
      </c>
      <c r="J173" s="44">
        <v>12.3</v>
      </c>
      <c r="K173" s="44">
        <v>3.2</v>
      </c>
      <c r="L173" s="44">
        <v>2.6</v>
      </c>
      <c r="M173" s="44">
        <v>1.6</v>
      </c>
      <c r="N173" s="44">
        <v>0.4</v>
      </c>
      <c r="O173" s="44">
        <v>1.9</v>
      </c>
      <c r="P173" s="44">
        <v>-1.2</v>
      </c>
      <c r="Q173">
        <f t="shared" si="2"/>
        <v>171</v>
      </c>
    </row>
    <row r="174" spans="1:17">
      <c r="A174" s="44">
        <v>172</v>
      </c>
      <c r="B174" s="1" t="s">
        <v>170</v>
      </c>
      <c r="C174" s="44" t="s">
        <v>25</v>
      </c>
      <c r="D174" s="44" t="s">
        <v>55</v>
      </c>
      <c r="E174" s="44">
        <v>67</v>
      </c>
      <c r="F174" s="44">
        <v>24.2</v>
      </c>
      <c r="G174" s="44" t="s">
        <v>1386</v>
      </c>
      <c r="H174" s="44" t="s">
        <v>1387</v>
      </c>
      <c r="I174" s="44">
        <v>2</v>
      </c>
      <c r="J174" s="44">
        <v>13.7</v>
      </c>
      <c r="K174" s="44">
        <v>6.4</v>
      </c>
      <c r="L174" s="44">
        <v>1.6</v>
      </c>
      <c r="M174" s="44">
        <v>0.6</v>
      </c>
      <c r="N174" s="44">
        <v>0.2</v>
      </c>
      <c r="O174" s="44">
        <v>1</v>
      </c>
      <c r="P174" s="44">
        <v>-1.2</v>
      </c>
      <c r="Q174">
        <f t="shared" si="2"/>
        <v>172</v>
      </c>
    </row>
    <row r="175" spans="1:17">
      <c r="A175" s="44">
        <v>173</v>
      </c>
      <c r="B175" s="1" t="s">
        <v>226</v>
      </c>
      <c r="C175" s="44" t="s">
        <v>25</v>
      </c>
      <c r="D175" s="44" t="s">
        <v>82</v>
      </c>
      <c r="E175" s="44">
        <v>53</v>
      </c>
      <c r="F175" s="44">
        <v>20.7</v>
      </c>
      <c r="G175" s="44" t="s">
        <v>1388</v>
      </c>
      <c r="H175" s="44" t="s">
        <v>1389</v>
      </c>
      <c r="I175" s="44">
        <v>1.6</v>
      </c>
      <c r="J175" s="44">
        <v>10.199999999999999</v>
      </c>
      <c r="K175" s="44">
        <v>6.7</v>
      </c>
      <c r="L175" s="44">
        <v>1.2</v>
      </c>
      <c r="M175" s="44">
        <v>0.5</v>
      </c>
      <c r="N175" s="44">
        <v>0.8</v>
      </c>
      <c r="O175" s="44">
        <v>1</v>
      </c>
      <c r="P175" s="44">
        <v>-1.26</v>
      </c>
      <c r="Q175">
        <f t="shared" si="2"/>
        <v>173</v>
      </c>
    </row>
    <row r="176" spans="1:17">
      <c r="A176" s="44">
        <v>174</v>
      </c>
      <c r="B176" s="1" t="s">
        <v>1390</v>
      </c>
      <c r="C176" s="44" t="s">
        <v>120</v>
      </c>
      <c r="D176" s="44"/>
      <c r="E176" s="44">
        <v>5</v>
      </c>
      <c r="F176" s="44">
        <v>33.700000000000003</v>
      </c>
      <c r="G176" s="44" t="s">
        <v>1391</v>
      </c>
      <c r="H176" s="44" t="s">
        <v>1392</v>
      </c>
      <c r="I176" s="44">
        <v>0.2</v>
      </c>
      <c r="J176" s="44">
        <v>5.2</v>
      </c>
      <c r="K176" s="44">
        <v>8.4</v>
      </c>
      <c r="L176" s="44">
        <v>2.8</v>
      </c>
      <c r="M176" s="44">
        <v>1.6</v>
      </c>
      <c r="N176" s="44">
        <v>0.8</v>
      </c>
      <c r="O176" s="44">
        <v>1.4</v>
      </c>
      <c r="P176" s="44">
        <v>-1.3</v>
      </c>
      <c r="Q176">
        <f t="shared" si="2"/>
        <v>174</v>
      </c>
    </row>
    <row r="177" spans="1:17">
      <c r="A177" s="44">
        <v>175</v>
      </c>
      <c r="B177" s="1" t="s">
        <v>327</v>
      </c>
      <c r="C177" s="44" t="s">
        <v>75</v>
      </c>
      <c r="D177" s="44" t="s">
        <v>36</v>
      </c>
      <c r="E177" s="44">
        <v>52</v>
      </c>
      <c r="F177" s="44">
        <v>26.5</v>
      </c>
      <c r="G177" s="44" t="s">
        <v>1393</v>
      </c>
      <c r="H177" s="44" t="s">
        <v>1394</v>
      </c>
      <c r="I177" s="44">
        <v>3</v>
      </c>
      <c r="J177" s="44">
        <v>12.8</v>
      </c>
      <c r="K177" s="44">
        <v>2.6</v>
      </c>
      <c r="L177" s="44">
        <v>2.4</v>
      </c>
      <c r="M177" s="44">
        <v>0.6</v>
      </c>
      <c r="N177" s="44">
        <v>0.1</v>
      </c>
      <c r="O177" s="44">
        <v>0.8</v>
      </c>
      <c r="P177" s="44">
        <v>-1.32</v>
      </c>
      <c r="Q177">
        <f t="shared" si="2"/>
        <v>175</v>
      </c>
    </row>
    <row r="178" spans="1:17">
      <c r="A178" s="44">
        <v>176</v>
      </c>
      <c r="B178" s="1" t="s">
        <v>1020</v>
      </c>
      <c r="C178" s="44" t="s">
        <v>25</v>
      </c>
      <c r="D178" s="44" t="s">
        <v>63</v>
      </c>
      <c r="E178" s="44">
        <v>44</v>
      </c>
      <c r="F178" s="44">
        <v>20.6</v>
      </c>
      <c r="G178" s="44" t="s">
        <v>1395</v>
      </c>
      <c r="H178" s="44" t="s">
        <v>1396</v>
      </c>
      <c r="I178" s="44">
        <v>0.1</v>
      </c>
      <c r="J178" s="44">
        <v>5.4</v>
      </c>
      <c r="K178" s="44">
        <v>7.5</v>
      </c>
      <c r="L178" s="44">
        <v>1.4</v>
      </c>
      <c r="M178" s="44">
        <v>0.7</v>
      </c>
      <c r="N178" s="44">
        <v>1.5</v>
      </c>
      <c r="O178" s="44">
        <v>0.9</v>
      </c>
      <c r="P178" s="44">
        <v>-1.36</v>
      </c>
      <c r="Q178">
        <f t="shared" si="2"/>
        <v>176</v>
      </c>
    </row>
    <row r="179" spans="1:17">
      <c r="A179" s="44">
        <v>177</v>
      </c>
      <c r="B179" s="1" t="s">
        <v>276</v>
      </c>
      <c r="C179" s="44" t="s">
        <v>38</v>
      </c>
      <c r="D179" s="44" t="s">
        <v>20</v>
      </c>
      <c r="E179" s="44">
        <v>44</v>
      </c>
      <c r="F179" s="44">
        <v>31.8</v>
      </c>
      <c r="G179" s="44" t="s">
        <v>1397</v>
      </c>
      <c r="H179" s="44" t="s">
        <v>1398</v>
      </c>
      <c r="I179" s="44">
        <v>1</v>
      </c>
      <c r="J179" s="44">
        <v>12</v>
      </c>
      <c r="K179" s="44">
        <v>4.8</v>
      </c>
      <c r="L179" s="44">
        <v>2.7</v>
      </c>
      <c r="M179" s="44">
        <v>0.7</v>
      </c>
      <c r="N179" s="44">
        <v>0.3</v>
      </c>
      <c r="O179" s="44">
        <v>1</v>
      </c>
      <c r="P179" s="44">
        <v>-1.38</v>
      </c>
      <c r="Q179">
        <f t="shared" si="2"/>
        <v>177</v>
      </c>
    </row>
    <row r="180" spans="1:17">
      <c r="A180" s="44">
        <v>178</v>
      </c>
      <c r="B180" s="1" t="s">
        <v>337</v>
      </c>
      <c r="C180" s="44" t="s">
        <v>75</v>
      </c>
      <c r="D180" s="44" t="s">
        <v>29</v>
      </c>
      <c r="E180" s="44">
        <v>77</v>
      </c>
      <c r="F180" s="44">
        <v>29.1</v>
      </c>
      <c r="G180" s="44" t="s">
        <v>1399</v>
      </c>
      <c r="H180" s="44" t="s">
        <v>1400</v>
      </c>
      <c r="I180" s="44">
        <v>2.2999999999999998</v>
      </c>
      <c r="J180" s="44">
        <v>12.3</v>
      </c>
      <c r="K180" s="44">
        <v>3.2</v>
      </c>
      <c r="L180" s="44">
        <v>2</v>
      </c>
      <c r="M180" s="44">
        <v>0.6</v>
      </c>
      <c r="N180" s="44">
        <v>0.4</v>
      </c>
      <c r="O180" s="44">
        <v>1.2</v>
      </c>
      <c r="P180" s="44">
        <v>-1.38</v>
      </c>
      <c r="Q180">
        <f t="shared" si="2"/>
        <v>178</v>
      </c>
    </row>
    <row r="181" spans="1:17">
      <c r="A181" s="44">
        <v>179</v>
      </c>
      <c r="B181" s="1" t="s">
        <v>336</v>
      </c>
      <c r="C181" s="44" t="s">
        <v>22</v>
      </c>
      <c r="D181" s="44" t="s">
        <v>57</v>
      </c>
      <c r="E181" s="44">
        <v>59</v>
      </c>
      <c r="F181" s="44">
        <v>25.7</v>
      </c>
      <c r="G181" s="44" t="s">
        <v>1401</v>
      </c>
      <c r="H181" s="44" t="s">
        <v>1402</v>
      </c>
      <c r="I181" s="44">
        <v>0.5</v>
      </c>
      <c r="J181" s="44">
        <v>11.7</v>
      </c>
      <c r="K181" s="44">
        <v>2.5</v>
      </c>
      <c r="L181" s="44">
        <v>7.2</v>
      </c>
      <c r="M181" s="44">
        <v>1.1000000000000001</v>
      </c>
      <c r="N181" s="44">
        <v>0.3</v>
      </c>
      <c r="O181" s="44">
        <v>2.5</v>
      </c>
      <c r="P181" s="44">
        <v>-1.4</v>
      </c>
      <c r="Q181">
        <f t="shared" ref="Q181:Q201" si="3">A181</f>
        <v>179</v>
      </c>
    </row>
    <row r="182" spans="1:17">
      <c r="A182" s="44">
        <v>180</v>
      </c>
      <c r="B182" s="1" t="s">
        <v>251</v>
      </c>
      <c r="C182" s="44" t="s">
        <v>22</v>
      </c>
      <c r="D182" s="44" t="s">
        <v>39</v>
      </c>
      <c r="E182" s="44">
        <v>82</v>
      </c>
      <c r="F182" s="44">
        <v>27.2</v>
      </c>
      <c r="G182" s="44" t="s">
        <v>1403</v>
      </c>
      <c r="H182" s="44" t="s">
        <v>1404</v>
      </c>
      <c r="I182" s="44">
        <v>1</v>
      </c>
      <c r="J182" s="44">
        <v>7.3</v>
      </c>
      <c r="K182" s="44">
        <v>3.3</v>
      </c>
      <c r="L182" s="44">
        <v>3.6</v>
      </c>
      <c r="M182" s="44">
        <v>1.6</v>
      </c>
      <c r="N182" s="44">
        <v>0.2</v>
      </c>
      <c r="O182" s="44">
        <v>1.4</v>
      </c>
      <c r="P182" s="44">
        <v>-1.4</v>
      </c>
      <c r="Q182">
        <f t="shared" si="3"/>
        <v>180</v>
      </c>
    </row>
    <row r="183" spans="1:17">
      <c r="A183" s="44">
        <v>181</v>
      </c>
      <c r="B183" s="1" t="s">
        <v>839</v>
      </c>
      <c r="C183" s="44" t="s">
        <v>22</v>
      </c>
      <c r="D183" s="44" t="s">
        <v>95</v>
      </c>
      <c r="E183" s="44">
        <v>82</v>
      </c>
      <c r="F183" s="44">
        <v>25.8</v>
      </c>
      <c r="G183" s="44" t="s">
        <v>1405</v>
      </c>
      <c r="H183" s="44" t="s">
        <v>1406</v>
      </c>
      <c r="I183" s="44">
        <v>1.2</v>
      </c>
      <c r="J183" s="44">
        <v>14.3</v>
      </c>
      <c r="K183" s="44">
        <v>3.7</v>
      </c>
      <c r="L183" s="44">
        <v>3.4</v>
      </c>
      <c r="M183" s="44">
        <v>1.2</v>
      </c>
      <c r="N183" s="44">
        <v>0.4</v>
      </c>
      <c r="O183" s="44">
        <v>2.2000000000000002</v>
      </c>
      <c r="P183" s="44">
        <v>-1.45</v>
      </c>
      <c r="Q183">
        <f t="shared" si="3"/>
        <v>181</v>
      </c>
    </row>
    <row r="184" spans="1:17">
      <c r="A184" s="44">
        <v>182</v>
      </c>
      <c r="B184" s="1" t="s">
        <v>185</v>
      </c>
      <c r="C184" s="44" t="s">
        <v>38</v>
      </c>
      <c r="D184" s="44" t="s">
        <v>71</v>
      </c>
      <c r="E184" s="44">
        <v>60</v>
      </c>
      <c r="F184" s="44">
        <v>25.8</v>
      </c>
      <c r="G184" s="44" t="s">
        <v>1407</v>
      </c>
      <c r="H184" s="44" t="s">
        <v>1408</v>
      </c>
      <c r="I184" s="44">
        <v>1.6</v>
      </c>
      <c r="J184" s="44">
        <v>10.5</v>
      </c>
      <c r="K184" s="44">
        <v>6.3</v>
      </c>
      <c r="L184" s="44">
        <v>1.5</v>
      </c>
      <c r="M184" s="44">
        <v>1.2</v>
      </c>
      <c r="N184" s="44">
        <v>0.5</v>
      </c>
      <c r="O184" s="44">
        <v>1.4</v>
      </c>
      <c r="P184" s="44">
        <v>-1.45</v>
      </c>
      <c r="Q184">
        <f t="shared" si="3"/>
        <v>182</v>
      </c>
    </row>
    <row r="185" spans="1:17">
      <c r="A185" s="44">
        <v>183</v>
      </c>
      <c r="B185" s="1" t="s">
        <v>1409</v>
      </c>
      <c r="C185" s="44"/>
      <c r="D185" s="44"/>
      <c r="E185" s="44">
        <v>1</v>
      </c>
      <c r="F185" s="44">
        <v>24.8</v>
      </c>
      <c r="G185" s="44" t="s">
        <v>1410</v>
      </c>
      <c r="H185" s="44" t="s">
        <v>1411</v>
      </c>
      <c r="I185" s="44">
        <v>0</v>
      </c>
      <c r="J185" s="44">
        <v>6</v>
      </c>
      <c r="K185" s="44">
        <v>0</v>
      </c>
      <c r="L185" s="44">
        <v>1</v>
      </c>
      <c r="M185" s="44">
        <v>1</v>
      </c>
      <c r="N185" s="44">
        <v>1</v>
      </c>
      <c r="O185" s="44">
        <v>1</v>
      </c>
      <c r="P185" s="44">
        <v>-1.47</v>
      </c>
      <c r="Q185">
        <f t="shared" si="3"/>
        <v>183</v>
      </c>
    </row>
    <row r="186" spans="1:17">
      <c r="A186" s="44">
        <v>184</v>
      </c>
      <c r="B186" s="1" t="s">
        <v>821</v>
      </c>
      <c r="C186" s="44" t="s">
        <v>38</v>
      </c>
      <c r="D186" s="44" t="s">
        <v>57</v>
      </c>
      <c r="E186" s="44">
        <v>72</v>
      </c>
      <c r="F186" s="44">
        <v>27.6</v>
      </c>
      <c r="G186" s="44" t="s">
        <v>1412</v>
      </c>
      <c r="H186" s="44" t="s">
        <v>1413</v>
      </c>
      <c r="I186" s="44">
        <v>1.9</v>
      </c>
      <c r="J186" s="44">
        <v>13.8</v>
      </c>
      <c r="K186" s="44">
        <v>4.2</v>
      </c>
      <c r="L186" s="44">
        <v>1.8</v>
      </c>
      <c r="M186" s="44">
        <v>0.8</v>
      </c>
      <c r="N186" s="44">
        <v>0.7</v>
      </c>
      <c r="O186" s="44">
        <v>1.5</v>
      </c>
      <c r="P186" s="44">
        <v>-1.48</v>
      </c>
      <c r="Q186">
        <f t="shared" si="3"/>
        <v>184</v>
      </c>
    </row>
    <row r="187" spans="1:17">
      <c r="A187" s="44">
        <v>185</v>
      </c>
      <c r="B187" s="1" t="s">
        <v>243</v>
      </c>
      <c r="C187" s="44" t="s">
        <v>28</v>
      </c>
      <c r="D187" s="44" t="s">
        <v>91</v>
      </c>
      <c r="E187" s="44">
        <v>30</v>
      </c>
      <c r="F187" s="44">
        <v>24.9</v>
      </c>
      <c r="G187" s="44" t="s">
        <v>1414</v>
      </c>
      <c r="H187" s="44" t="s">
        <v>1415</v>
      </c>
      <c r="I187" s="44">
        <v>1.9</v>
      </c>
      <c r="J187" s="44">
        <v>14.2</v>
      </c>
      <c r="K187" s="44">
        <v>2.7</v>
      </c>
      <c r="L187" s="44">
        <v>3.7</v>
      </c>
      <c r="M187" s="44">
        <v>0.9</v>
      </c>
      <c r="N187" s="44">
        <v>0.3</v>
      </c>
      <c r="O187" s="44">
        <v>2.4</v>
      </c>
      <c r="P187" s="44">
        <v>-1.5</v>
      </c>
      <c r="Q187">
        <f t="shared" si="3"/>
        <v>185</v>
      </c>
    </row>
    <row r="188" spans="1:17">
      <c r="A188" s="44">
        <v>186</v>
      </c>
      <c r="B188" s="1" t="s">
        <v>193</v>
      </c>
      <c r="C188" s="44" t="s">
        <v>28</v>
      </c>
      <c r="D188" s="44" t="s">
        <v>42</v>
      </c>
      <c r="E188" s="44">
        <v>56</v>
      </c>
      <c r="F188" s="44">
        <v>17.2</v>
      </c>
      <c r="G188" s="44" t="s">
        <v>1416</v>
      </c>
      <c r="H188" s="44" t="s">
        <v>1417</v>
      </c>
      <c r="I188" s="44">
        <v>0.3</v>
      </c>
      <c r="J188" s="44">
        <v>9.4</v>
      </c>
      <c r="K188" s="44">
        <v>2.2000000000000002</v>
      </c>
      <c r="L188" s="44">
        <v>5.0999999999999996</v>
      </c>
      <c r="M188" s="44">
        <v>1</v>
      </c>
      <c r="N188" s="44">
        <v>0.2</v>
      </c>
      <c r="O188" s="44">
        <v>1.1000000000000001</v>
      </c>
      <c r="P188" s="44">
        <v>-1.52</v>
      </c>
      <c r="Q188">
        <f t="shared" si="3"/>
        <v>186</v>
      </c>
    </row>
    <row r="189" spans="1:17">
      <c r="A189" s="44">
        <v>187</v>
      </c>
      <c r="B189" s="1" t="s">
        <v>129</v>
      </c>
      <c r="C189" s="44" t="s">
        <v>38</v>
      </c>
      <c r="D189" s="44" t="s">
        <v>95</v>
      </c>
      <c r="E189" s="44">
        <v>56</v>
      </c>
      <c r="F189" s="44">
        <v>28.4</v>
      </c>
      <c r="G189" s="44" t="s">
        <v>1418</v>
      </c>
      <c r="H189" s="44" t="s">
        <v>1419</v>
      </c>
      <c r="I189" s="44">
        <v>1.4</v>
      </c>
      <c r="J189" s="44">
        <v>8.9</v>
      </c>
      <c r="K189" s="44">
        <v>3.4</v>
      </c>
      <c r="L189" s="44">
        <v>2.8</v>
      </c>
      <c r="M189" s="44">
        <v>1.6</v>
      </c>
      <c r="N189" s="44">
        <v>0.5</v>
      </c>
      <c r="O189" s="44">
        <v>1.3</v>
      </c>
      <c r="P189" s="44">
        <v>-1.64</v>
      </c>
      <c r="Q189">
        <f t="shared" si="3"/>
        <v>187</v>
      </c>
    </row>
    <row r="190" spans="1:17">
      <c r="A190" s="44">
        <v>188</v>
      </c>
      <c r="B190" s="1" t="s">
        <v>209</v>
      </c>
      <c r="C190" s="44" t="s">
        <v>75</v>
      </c>
      <c r="D190" s="44" t="s">
        <v>91</v>
      </c>
      <c r="E190" s="44">
        <v>30</v>
      </c>
      <c r="F190" s="44">
        <v>16</v>
      </c>
      <c r="G190" s="44" t="s">
        <v>1420</v>
      </c>
      <c r="H190" s="44" t="s">
        <v>1421</v>
      </c>
      <c r="I190" s="44">
        <v>1.2</v>
      </c>
      <c r="J190" s="44">
        <v>5.8</v>
      </c>
      <c r="K190" s="44">
        <v>2</v>
      </c>
      <c r="L190" s="44">
        <v>0.9</v>
      </c>
      <c r="M190" s="44">
        <v>2</v>
      </c>
      <c r="N190" s="44">
        <v>0.5</v>
      </c>
      <c r="O190" s="44">
        <v>0.9</v>
      </c>
      <c r="P190" s="44">
        <v>-1.65</v>
      </c>
      <c r="Q190">
        <f t="shared" si="3"/>
        <v>188</v>
      </c>
    </row>
    <row r="191" spans="1:17">
      <c r="A191" s="44">
        <v>189</v>
      </c>
      <c r="B191" s="1" t="s">
        <v>862</v>
      </c>
      <c r="C191" s="44" t="s">
        <v>25</v>
      </c>
      <c r="D191" s="44" t="s">
        <v>59</v>
      </c>
      <c r="E191" s="44">
        <v>57</v>
      </c>
      <c r="F191" s="44">
        <v>21.9</v>
      </c>
      <c r="G191" s="44" t="s">
        <v>1422</v>
      </c>
      <c r="H191" s="44" t="s">
        <v>1423</v>
      </c>
      <c r="I191" s="44">
        <v>0.3</v>
      </c>
      <c r="J191" s="44">
        <v>8.5</v>
      </c>
      <c r="K191" s="44">
        <v>5</v>
      </c>
      <c r="L191" s="44">
        <v>1.9</v>
      </c>
      <c r="M191" s="44">
        <v>0.9</v>
      </c>
      <c r="N191" s="44">
        <v>0.9</v>
      </c>
      <c r="O191" s="44">
        <v>1</v>
      </c>
      <c r="P191" s="44">
        <v>-1.69</v>
      </c>
      <c r="Q191">
        <f t="shared" si="3"/>
        <v>189</v>
      </c>
    </row>
    <row r="192" spans="1:17">
      <c r="A192" s="44">
        <v>190</v>
      </c>
      <c r="B192" s="1" t="s">
        <v>206</v>
      </c>
      <c r="C192" s="44" t="s">
        <v>120</v>
      </c>
      <c r="D192" s="44" t="s">
        <v>42</v>
      </c>
      <c r="E192" s="44">
        <v>24</v>
      </c>
      <c r="F192" s="44">
        <v>17.7</v>
      </c>
      <c r="G192" s="44" t="s">
        <v>1424</v>
      </c>
      <c r="H192" s="44" t="s">
        <v>1425</v>
      </c>
      <c r="I192" s="44">
        <v>1.5</v>
      </c>
      <c r="J192" s="44">
        <v>11.6</v>
      </c>
      <c r="K192" s="44">
        <v>4.4000000000000004</v>
      </c>
      <c r="L192" s="44">
        <v>2.2999999999999998</v>
      </c>
      <c r="M192" s="44">
        <v>0.5</v>
      </c>
      <c r="N192" s="44">
        <v>0</v>
      </c>
      <c r="O192" s="44">
        <v>1.2</v>
      </c>
      <c r="P192" s="44">
        <v>-1.7</v>
      </c>
      <c r="Q192">
        <f t="shared" si="3"/>
        <v>190</v>
      </c>
    </row>
    <row r="193" spans="1:17">
      <c r="A193" s="44">
        <v>191</v>
      </c>
      <c r="B193" s="1" t="s">
        <v>222</v>
      </c>
      <c r="C193" s="44" t="s">
        <v>75</v>
      </c>
      <c r="D193" s="44" t="s">
        <v>57</v>
      </c>
      <c r="E193" s="44">
        <v>56</v>
      </c>
      <c r="F193" s="44">
        <v>19.899999999999999</v>
      </c>
      <c r="G193" s="44" t="s">
        <v>1426</v>
      </c>
      <c r="H193" s="44" t="s">
        <v>1427</v>
      </c>
      <c r="I193" s="44">
        <v>0.5</v>
      </c>
      <c r="J193" s="44">
        <v>4.4000000000000004</v>
      </c>
      <c r="K193" s="44">
        <v>4.3</v>
      </c>
      <c r="L193" s="44">
        <v>2.1</v>
      </c>
      <c r="M193" s="44">
        <v>1.5</v>
      </c>
      <c r="N193" s="44">
        <v>0.7</v>
      </c>
      <c r="O193" s="44">
        <v>0.6</v>
      </c>
      <c r="P193" s="44">
        <v>-1.71</v>
      </c>
      <c r="Q193">
        <f t="shared" si="3"/>
        <v>191</v>
      </c>
    </row>
    <row r="194" spans="1:17">
      <c r="A194" s="44">
        <v>192</v>
      </c>
      <c r="B194" s="1" t="s">
        <v>1428</v>
      </c>
      <c r="C194" s="44"/>
      <c r="D194" s="44"/>
      <c r="E194" s="44">
        <v>15</v>
      </c>
      <c r="F194" s="44">
        <v>23.9</v>
      </c>
      <c r="G194" s="44" t="s">
        <v>1429</v>
      </c>
      <c r="H194" s="44" t="s">
        <v>1430</v>
      </c>
      <c r="I194" s="44">
        <v>1.3</v>
      </c>
      <c r="J194" s="44">
        <v>8.3000000000000007</v>
      </c>
      <c r="K194" s="44">
        <v>3.4</v>
      </c>
      <c r="L194" s="44">
        <v>3.3</v>
      </c>
      <c r="M194" s="44">
        <v>0.8</v>
      </c>
      <c r="N194" s="44">
        <v>0.3</v>
      </c>
      <c r="O194" s="44">
        <v>0.9</v>
      </c>
      <c r="P194" s="44">
        <v>-1.73</v>
      </c>
      <c r="Q194">
        <f t="shared" si="3"/>
        <v>192</v>
      </c>
    </row>
    <row r="195" spans="1:17">
      <c r="A195" s="44">
        <v>193</v>
      </c>
      <c r="B195" s="1" t="s">
        <v>424</v>
      </c>
      <c r="C195" s="44" t="s">
        <v>33</v>
      </c>
      <c r="D195" s="44" t="s">
        <v>139</v>
      </c>
      <c r="E195" s="44">
        <v>69</v>
      </c>
      <c r="F195" s="44">
        <v>20</v>
      </c>
      <c r="G195" s="44" t="s">
        <v>1431</v>
      </c>
      <c r="H195" s="44" t="s">
        <v>1432</v>
      </c>
      <c r="I195" s="44">
        <v>0.8</v>
      </c>
      <c r="J195" s="44">
        <v>8.6999999999999993</v>
      </c>
      <c r="K195" s="44">
        <v>5.6</v>
      </c>
      <c r="L195" s="44">
        <v>1.2</v>
      </c>
      <c r="M195" s="44">
        <v>0.9</v>
      </c>
      <c r="N195" s="44">
        <v>0.6</v>
      </c>
      <c r="O195" s="44">
        <v>0.7</v>
      </c>
      <c r="P195" s="44">
        <v>-1.74</v>
      </c>
      <c r="Q195">
        <f t="shared" si="3"/>
        <v>193</v>
      </c>
    </row>
    <row r="196" spans="1:17">
      <c r="A196" s="44">
        <v>194</v>
      </c>
      <c r="B196" s="1" t="s">
        <v>151</v>
      </c>
      <c r="C196" s="44" t="s">
        <v>22</v>
      </c>
      <c r="D196" s="44" t="s">
        <v>26</v>
      </c>
      <c r="E196" s="44">
        <v>62</v>
      </c>
      <c r="F196" s="44">
        <v>28.5</v>
      </c>
      <c r="G196" s="44" t="s">
        <v>1433</v>
      </c>
      <c r="H196" s="44" t="s">
        <v>1434</v>
      </c>
      <c r="I196" s="44">
        <v>1.6</v>
      </c>
      <c r="J196" s="44">
        <v>9.3000000000000007</v>
      </c>
      <c r="K196" s="44">
        <v>2.8</v>
      </c>
      <c r="L196" s="44">
        <v>3</v>
      </c>
      <c r="M196" s="44">
        <v>1.4</v>
      </c>
      <c r="N196" s="44">
        <v>0.4</v>
      </c>
      <c r="O196" s="44">
        <v>1.5</v>
      </c>
      <c r="P196" s="44">
        <v>-1.76</v>
      </c>
      <c r="Q196">
        <f t="shared" si="3"/>
        <v>194</v>
      </c>
    </row>
    <row r="197" spans="1:17">
      <c r="A197" s="44">
        <v>195</v>
      </c>
      <c r="B197" s="1" t="s">
        <v>181</v>
      </c>
      <c r="C197" s="44" t="s">
        <v>75</v>
      </c>
      <c r="D197" s="44" t="s">
        <v>42</v>
      </c>
      <c r="E197" s="44">
        <v>45</v>
      </c>
      <c r="F197" s="44">
        <v>29.7</v>
      </c>
      <c r="G197" s="44" t="s">
        <v>1435</v>
      </c>
      <c r="H197" s="44" t="s">
        <v>1436</v>
      </c>
      <c r="I197" s="44">
        <v>2.2999999999999998</v>
      </c>
      <c r="J197" s="44">
        <v>13.8</v>
      </c>
      <c r="K197" s="44">
        <v>4.2</v>
      </c>
      <c r="L197" s="44">
        <v>1.9</v>
      </c>
      <c r="M197" s="44">
        <v>0.6</v>
      </c>
      <c r="N197" s="44">
        <v>0.5</v>
      </c>
      <c r="O197" s="44">
        <v>1.4</v>
      </c>
      <c r="P197" s="44">
        <v>-1.76</v>
      </c>
      <c r="Q197">
        <f t="shared" si="3"/>
        <v>195</v>
      </c>
    </row>
    <row r="198" spans="1:17">
      <c r="A198" s="44">
        <v>196</v>
      </c>
      <c r="B198" s="1" t="s">
        <v>722</v>
      </c>
      <c r="C198" s="44" t="s">
        <v>22</v>
      </c>
      <c r="D198" s="44" t="s">
        <v>31</v>
      </c>
      <c r="E198" s="44">
        <v>69</v>
      </c>
      <c r="F198" s="44">
        <v>22.6</v>
      </c>
      <c r="G198" s="44" t="s">
        <v>1437</v>
      </c>
      <c r="H198" s="44" t="s">
        <v>1438</v>
      </c>
      <c r="I198" s="44">
        <v>0.9</v>
      </c>
      <c r="J198" s="44">
        <v>11.8</v>
      </c>
      <c r="K198" s="44">
        <v>3.4</v>
      </c>
      <c r="L198" s="44">
        <v>3.9</v>
      </c>
      <c r="M198" s="44">
        <v>0.8</v>
      </c>
      <c r="N198" s="44">
        <v>0.3</v>
      </c>
      <c r="O198" s="44">
        <v>1.4</v>
      </c>
      <c r="P198" s="44">
        <v>-1.76</v>
      </c>
      <c r="Q198">
        <f t="shared" si="3"/>
        <v>196</v>
      </c>
    </row>
    <row r="199" spans="1:17">
      <c r="A199" s="44">
        <v>197</v>
      </c>
      <c r="B199" s="1" t="s">
        <v>304</v>
      </c>
      <c r="C199" s="44" t="s">
        <v>17</v>
      </c>
      <c r="D199" s="44" t="s">
        <v>127</v>
      </c>
      <c r="E199" s="44">
        <v>62</v>
      </c>
      <c r="F199" s="44">
        <v>18.7</v>
      </c>
      <c r="G199" s="44" t="s">
        <v>1439</v>
      </c>
      <c r="H199" s="44" t="s">
        <v>1440</v>
      </c>
      <c r="I199" s="44">
        <v>0.2</v>
      </c>
      <c r="J199" s="44">
        <v>8.6999999999999993</v>
      </c>
      <c r="K199" s="44">
        <v>6.6</v>
      </c>
      <c r="L199" s="44">
        <v>2.2999999999999998</v>
      </c>
      <c r="M199" s="44">
        <v>1.1000000000000001</v>
      </c>
      <c r="N199" s="44">
        <v>0.4</v>
      </c>
      <c r="O199" s="44">
        <v>1.7</v>
      </c>
      <c r="P199" s="44">
        <v>-1.81</v>
      </c>
      <c r="Q199">
        <f t="shared" si="3"/>
        <v>197</v>
      </c>
    </row>
    <row r="200" spans="1:17">
      <c r="A200" s="44">
        <v>198</v>
      </c>
      <c r="B200" s="1" t="s">
        <v>1441</v>
      </c>
      <c r="C200" s="44"/>
      <c r="D200" s="44"/>
      <c r="E200" s="44">
        <v>8</v>
      </c>
      <c r="F200" s="44">
        <v>30.2</v>
      </c>
      <c r="G200" s="44" t="s">
        <v>1442</v>
      </c>
      <c r="H200" s="44" t="s">
        <v>1443</v>
      </c>
      <c r="I200" s="44">
        <v>2.2999999999999998</v>
      </c>
      <c r="J200" s="44">
        <v>10.4</v>
      </c>
      <c r="K200" s="44">
        <v>3.1</v>
      </c>
      <c r="L200" s="44">
        <v>2.4</v>
      </c>
      <c r="M200" s="44">
        <v>1.1000000000000001</v>
      </c>
      <c r="N200" s="44">
        <v>0.1</v>
      </c>
      <c r="O200" s="44">
        <v>0.8</v>
      </c>
      <c r="P200" s="44">
        <v>-1.81</v>
      </c>
      <c r="Q200">
        <f t="shared" si="3"/>
        <v>198</v>
      </c>
    </row>
    <row r="201" spans="1:17">
      <c r="A201" s="44">
        <v>199</v>
      </c>
      <c r="B201" s="1" t="s">
        <v>329</v>
      </c>
      <c r="C201" s="44" t="s">
        <v>38</v>
      </c>
      <c r="D201" s="44" t="s">
        <v>57</v>
      </c>
      <c r="E201" s="44">
        <v>75</v>
      </c>
      <c r="F201" s="44">
        <v>23.5</v>
      </c>
      <c r="G201" s="44" t="s">
        <v>1444</v>
      </c>
      <c r="H201" s="44" t="s">
        <v>1445</v>
      </c>
      <c r="I201" s="44">
        <v>2.2000000000000002</v>
      </c>
      <c r="J201" s="44">
        <v>14.9</v>
      </c>
      <c r="K201" s="44">
        <v>3.1</v>
      </c>
      <c r="L201" s="44">
        <v>1.9</v>
      </c>
      <c r="M201" s="44">
        <v>0.7</v>
      </c>
      <c r="N201" s="44">
        <v>0.2</v>
      </c>
      <c r="O201" s="44">
        <v>1.7</v>
      </c>
      <c r="P201" s="44">
        <v>-1.81</v>
      </c>
      <c r="Q201">
        <f t="shared" si="3"/>
        <v>199</v>
      </c>
    </row>
  </sheetData>
  <hyperlinks>
    <hyperlink ref="B1" r:id="rId1" display="javascript:__doPostBack('ctl00$ContentPlaceHolder1$GridView1','Sort$NAME')" xr:uid="{CC148041-D36E-F749-9F4F-84564628D003}"/>
    <hyperlink ref="C1" r:id="rId2" display="javascript:__doPostBack('ctl00$ContentPlaceHolder1$GridView1','Sort$posm')" xr:uid="{60F6D7D2-506F-7C4D-8E07-FB3E129791F5}"/>
    <hyperlink ref="D1" r:id="rId3" display="javascript:__doPostBack('ctl00$ContentPlaceHolder1$GridView1','Sort$tsum')" xr:uid="{005A8235-5E5E-BA4A-AAFB-F6279E0D2B75}"/>
    <hyperlink ref="E1" r:id="rId4" display="javascript:__doPostBack('ctl00$ContentPlaceHolder1$GridView1','Sort$GP')" xr:uid="{00079343-C117-6844-B6E6-9813270FD608}"/>
    <hyperlink ref="F1" r:id="rId5" display="javascript:__doPostBack('ctl00$ContentPlaceHolder1$GridView1','Sort$MPG')" xr:uid="{7522D15C-7E2D-5F46-A74D-10320728265A}"/>
    <hyperlink ref="G1" r:id="rId6" display="javascript:__doPostBack('ctl00$ContentPlaceHolder1$GridView1','Sort$fgp')" xr:uid="{BC4B9912-FC32-A74F-91EF-7DA193FAEA35}"/>
    <hyperlink ref="H1" r:id="rId7" display="javascript:__doPostBack('ctl00$ContentPlaceHolder1$GridView1','Sort$ftp')" xr:uid="{F72CE90C-52C9-4045-A597-61A2BA7236C3}"/>
    <hyperlink ref="I1" r:id="rId8" display="javascript:__doPostBack('ctl00$ContentPlaceHolder1$GridView1','Sort$tgm')" xr:uid="{91B0AD95-04FD-7746-86D6-546752015235}"/>
    <hyperlink ref="J1" r:id="rId9" display="javascript:__doPostBack('ctl00$ContentPlaceHolder1$GridView1','Sort$pts')" xr:uid="{3C13F8CE-FCA4-614F-82CF-18DCA5571271}"/>
    <hyperlink ref="K1" r:id="rId10" display="javascript:__doPostBack('ctl00$ContentPlaceHolder1$GridView1','Sort$reb')" xr:uid="{E9144716-2325-8948-9CB7-9C446C22D166}"/>
    <hyperlink ref="L1" r:id="rId11" display="javascript:__doPostBack('ctl00$ContentPlaceHolder1$GridView1','Sort$ast')" xr:uid="{BE4A98B6-049C-F043-9175-334FD4EF3E13}"/>
    <hyperlink ref="M1" r:id="rId12" display="javascript:__doPostBack('ctl00$ContentPlaceHolder1$GridView1','Sort$stl')" xr:uid="{A2FE4A29-8E78-9A4F-8CA2-CEA3189497AC}"/>
    <hyperlink ref="N1" r:id="rId13" display="javascript:__doPostBack('ctl00$ContentPlaceHolder1$GridView1','Sort$blk')" xr:uid="{DD522976-EC31-DE43-A49B-8B6D7D60DD4D}"/>
    <hyperlink ref="O1" r:id="rId14" display="javascript:__doPostBack('ctl00$ContentPlaceHolder1$GridView1','Sort$tur')" xr:uid="{50DD9045-8B77-CD4A-8092-D98FDE3DCC4B}"/>
    <hyperlink ref="P1" r:id="rId15" display="javascript:__doPostBack('ctl00$ContentPlaceHolder1$GridView1','Sort$totalz')" xr:uid="{1E4FD717-3FBD-3448-B11B-2E4C3F487B1A}"/>
    <hyperlink ref="B2" r:id="rId16" display="https://hashtagbasketball.com/9196/player" xr:uid="{1A3AD376-ADC6-CE45-B6BF-C6C99C898A23}"/>
    <hyperlink ref="B3" r:id="rId17" display="https://hashtagbasketball.com/110399/player" xr:uid="{E0C0CD75-3D90-5841-B458-B28DD0CABE85}"/>
    <hyperlink ref="B4" r:id="rId18" display="https://hashtagbasketball.com/15208/player" xr:uid="{8C908DA8-948E-B243-B8BA-E5AAD28F3B95}"/>
    <hyperlink ref="B5" r:id="rId19" display="https://hashtagbasketball.com/27450/player" xr:uid="{E57B8CD5-9F55-884B-8B52-5AF3DD290320}"/>
    <hyperlink ref="B6" r:id="rId20" display="https://hashtagbasketball.com/15200/player" xr:uid="{C5CA1ED4-9221-9D4B-90C8-33A625EE16F9}"/>
    <hyperlink ref="B7" r:id="rId21" display="https://hashtagbasketball.com/9476/player" xr:uid="{C4F4F5E5-3E38-D44A-90EE-1471671C360F}"/>
    <hyperlink ref="B8" r:id="rId22" display="https://hashtagbasketball.com/13741/player" xr:uid="{7AB392DF-A869-5548-849D-C5E973314E20}"/>
    <hyperlink ref="B9" r:id="rId23" display="https://hashtagbasketball.com/9218/player" xr:uid="{86D287B7-190F-A044-ACAF-E66E54A51B18}"/>
    <hyperlink ref="B10" r:id="rId24" display="https://hashtagbasketball.com/9386/player" xr:uid="{73F4AE6E-8C15-7846-9A8B-36F0D424FAAD}"/>
    <hyperlink ref="B11" r:id="rId25" display="https://hashtagbasketball.com/10134/player" xr:uid="{6FA9C088-9DDD-2D42-ADBA-516DB7A36A2D}"/>
    <hyperlink ref="B12" r:id="rId26" display="https://hashtagbasketball.com/38790/player" xr:uid="{7CC57DEC-06EC-6442-8304-1DE6F9C88964}"/>
    <hyperlink ref="B13" r:id="rId27" display="https://hashtagbasketball.com/9232/player" xr:uid="{227DC2B5-A258-0A4F-9FC9-E8C4676571A5}"/>
    <hyperlink ref="B15" r:id="rId28" display="https://hashtagbasketball.com/31030/player" xr:uid="{D6E5A966-FABC-3C48-A81B-ABE3CC42D526}"/>
    <hyperlink ref="B16" r:id="rId29" display="https://hashtagbasketball.com/9418/player" xr:uid="{0D87C203-4FE6-E847-85B9-D0AFD1675FE4}"/>
    <hyperlink ref="B17" r:id="rId30" display="https://hashtagbasketball.com/27638/player" xr:uid="{9906539C-D7A2-5B4A-90AD-14669E294D2E}"/>
    <hyperlink ref="B18" r:id="rId31" display="https://hashtagbasketball.com/31033/player" xr:uid="{1D7EEE57-2919-824A-952F-7E838E7048EA}"/>
    <hyperlink ref="B19" r:id="rId32" display="https://hashtagbasketball.com/13734/player" xr:uid="{291728B4-08AC-4645-9B93-C3567F460071}"/>
    <hyperlink ref="B20" r:id="rId33" display="https://hashtagbasketball.com/9325/player" xr:uid="{7DF78929-E332-944F-B46A-B662CE17CB3F}"/>
    <hyperlink ref="B21" r:id="rId34" display="https://hashtagbasketball.com/31049/player" xr:uid="{FDFD7127-F593-5D44-95F0-E5970FA46CCD}"/>
    <hyperlink ref="B22" r:id="rId35" display="https://hashtagbasketball.com/17286/player" xr:uid="{C6D8E240-4D1B-5B4B-AC2E-23E48972757E}"/>
    <hyperlink ref="B23" r:id="rId36" display="https://hashtagbasketball.com/35041/player" xr:uid="{91C91506-BCF1-0A45-BDF2-40297C7E1377}"/>
    <hyperlink ref="B24" r:id="rId37" display="https://hashtagbasketball.com/31046/player" xr:uid="{557B0CBC-4A98-5C40-9F61-4F470F6EDE72}"/>
    <hyperlink ref="B25" r:id="rId38" display="https://hashtagbasketball.com/9346/player" xr:uid="{94B9C5C8-4A66-1D42-B0AE-2C314E038C2F}"/>
    <hyperlink ref="B26" r:id="rId39" display="https://hashtagbasketball.com/111212/player" xr:uid="{97B75F4D-64E9-E148-852E-CC42939E7853}"/>
    <hyperlink ref="B27" r:id="rId40" display="https://hashtagbasketball.com/38617/player" xr:uid="{44496113-1804-E644-887E-061B561C2E1F}"/>
    <hyperlink ref="B28" r:id="rId41" display="https://hashtagbasketball.com/9152/player" xr:uid="{BE045EAC-CD40-D843-B5C1-3AC81A7A93D9}"/>
    <hyperlink ref="B29" r:id="rId42" display="https://hashtagbasketball.com/9354/player" xr:uid="{D1D7C077-A652-AF40-B07A-87ACF4B9082F}"/>
    <hyperlink ref="B30" r:id="rId43" display="https://hashtagbasketball.com/15211/player" xr:uid="{AB8CF020-DFB2-8C49-94B9-923DBE684995}"/>
    <hyperlink ref="B31" r:id="rId44" display="https://hashtagbasketball.com/120018/player" xr:uid="{5A805458-3EAB-A045-BA84-A09DDBD640A8}"/>
    <hyperlink ref="B32" r:id="rId45" display="https://hashtagbasketball.com/13730/player" xr:uid="{9012C56F-B472-AF4B-A178-B894CF82B693}"/>
    <hyperlink ref="B33" r:id="rId46" display="https://hashtagbasketball.com/17208/player" xr:uid="{C60BE971-18D2-0A4D-9035-54C568959391}"/>
    <hyperlink ref="B34" r:id="rId47" display="https://hashtagbasketball.com/9434/player" xr:uid="{C425B3F3-B39B-4A4A-9EB0-987796B331B0}"/>
    <hyperlink ref="B35" r:id="rId48" display="https://hashtagbasketball.com/10090/player" xr:uid="{61715032-E987-3844-81FC-2650FECF1D6A}"/>
    <hyperlink ref="B36" r:id="rId49" display="https://hashtagbasketball.com/111204/player" xr:uid="{D517397B-D5A7-1541-A4F0-9953E926145D}"/>
    <hyperlink ref="B37" r:id="rId50" display="https://hashtagbasketball.com/27454/player" xr:uid="{5B7B54E2-7FE0-914A-BCF0-C31EE3C9D573}"/>
    <hyperlink ref="B38" r:id="rId51" display="https://hashtagbasketball.com/13755/player" xr:uid="{BAD4C634-04AB-A54A-BEF6-3FC9B3689274}"/>
    <hyperlink ref="B39" r:id="rId52" display="https://hashtagbasketball.com/27649/player" xr:uid="{9E6C269C-1669-9B4B-94A1-225C433E4176}"/>
    <hyperlink ref="B40" r:id="rId53" display="https://hashtagbasketball.com/17304/player" xr:uid="{17F8E793-9BC2-624F-A95F-CFAA0A4CC2DD}"/>
    <hyperlink ref="B41" r:id="rId54" display="https://hashtagbasketball.com/27469/player" xr:uid="{DFA7D262-3B4B-C146-9296-C5CBA9E6566F}"/>
    <hyperlink ref="B42" r:id="rId55" display="https://hashtagbasketball.com/38848/player" xr:uid="{C036477C-E539-B146-8EBA-4D5E37B8891E}"/>
    <hyperlink ref="B43" r:id="rId56" display="https://hashtagbasketball.com/120207/player" xr:uid="{BC62D54D-99FF-A747-975E-598694D388AB}"/>
    <hyperlink ref="B44" r:id="rId57" display="https://hashtagbasketball.com/31032/player" xr:uid="{C6D4E54C-D0BF-0644-A2C7-F301ADB73EE2}"/>
    <hyperlink ref="B45" r:id="rId58" display="https://hashtagbasketball.com/9158/player" xr:uid="{8EDA4493-8F53-BD46-9BF7-95A2E24F9409}"/>
    <hyperlink ref="B46" r:id="rId59" display="https://hashtagbasketball.com/15280/player" xr:uid="{F935573D-2477-964F-97B9-62283FE4A530}"/>
    <hyperlink ref="B47" r:id="rId60" display="https://hashtagbasketball.com/31035/player" xr:uid="{389E32DA-0A70-A34E-A83A-A132960DF773}"/>
    <hyperlink ref="B48" r:id="rId61" display="https://hashtagbasketball.com/10165/player" xr:uid="{DF8725A6-17E0-2C43-8EA6-6B22DE878CB2}"/>
    <hyperlink ref="B49" r:id="rId62" display="https://hashtagbasketball.com/17295/player" xr:uid="{2A49F2B5-7BB8-404D-9AB5-40AC704991E0}"/>
    <hyperlink ref="B50" r:id="rId63" display="https://hashtagbasketball.com/13750/player" xr:uid="{282B6401-F2DA-C646-B8D6-99D513470889}"/>
    <hyperlink ref="B51" r:id="rId64" display="https://hashtagbasketball.com/15201/player" xr:uid="{0910EC0F-7166-C44D-BDC2-3CFACA140E05}"/>
    <hyperlink ref="B52" r:id="rId65" display="https://hashtagbasketball.com/110400/player" xr:uid="{7E244C96-B8A7-1143-983A-5B141C1B126B}"/>
    <hyperlink ref="B53" r:id="rId66" display="https://hashtagbasketball.com/120273/player" xr:uid="{B6B7B029-4CDD-DE4B-8632-5A5675989B84}"/>
    <hyperlink ref="B54" r:id="rId67" display="https://hashtagbasketball.com/38954/player" xr:uid="{05124FE2-4ED9-B84B-AEA2-BA121FE9AB4F}"/>
    <hyperlink ref="B55" r:id="rId68" display="https://hashtagbasketball.com/27342/player" xr:uid="{41D3D08E-7B3D-D34E-88D1-CB46358383EF}"/>
    <hyperlink ref="B56" r:id="rId69" display="https://hashtagbasketball.com/31034/player" xr:uid="{0BEED497-FF43-A245-BA67-F10C56F85605}"/>
    <hyperlink ref="B57" r:id="rId70" display="https://hashtagbasketball.com/13742/player" xr:uid="{DADDC86A-9486-6240-8F29-4EDC52152E34}"/>
    <hyperlink ref="B58" r:id="rId71" display="https://hashtagbasketball.com/120003/player" xr:uid="{12324DC6-5056-E84C-916A-2AEC8AA7B7E8}"/>
    <hyperlink ref="B59" r:id="rId72" display="https://hashtagbasketball.com/9250/player" xr:uid="{B54F3EB0-492A-0E45-A7B8-872B22742BC1}"/>
    <hyperlink ref="B60" r:id="rId73" display="https://hashtagbasketball.com/120000/player" xr:uid="{76767322-5C6D-1B4D-BB6D-0EBC6D28E14F}"/>
    <hyperlink ref="B61" r:id="rId74" display="https://hashtagbasketball.com/9503/player" xr:uid="{D56813CA-C484-9C43-BD24-5FE3C5DD652A}"/>
    <hyperlink ref="B62" r:id="rId75" display="https://hashtagbasketball.com/53587/player" xr:uid="{326CD1D4-F35F-1B45-929A-9A6027ABB2B9}"/>
    <hyperlink ref="B63" r:id="rId76" display="https://hashtagbasketball.com/10149/player" xr:uid="{DF4DCD66-9D53-EB41-B9D9-1CE0EA1D18CD}"/>
    <hyperlink ref="B64" r:id="rId77" display="https://hashtagbasketball.com/9282/player" xr:uid="{6D2E4A00-C482-324D-974A-5D3439AFD511}"/>
    <hyperlink ref="B65" r:id="rId78" display="https://hashtagbasketball.com/15207/player" xr:uid="{604AF054-2E16-2146-B828-612A6057AE5C}"/>
    <hyperlink ref="B66" r:id="rId79" display="https://hashtagbasketball.com/120214/player" xr:uid="{ADCB6945-7A65-334B-8D7B-F511C5E92953}"/>
    <hyperlink ref="B67" r:id="rId80" display="https://hashtagbasketball.com/120011/player" xr:uid="{A33ED283-9B32-E84E-981E-B9A8624885DE}"/>
    <hyperlink ref="B68" r:id="rId81" display="https://hashtagbasketball.com/17191/player" xr:uid="{052550A2-C4AB-424B-AD17-23C871456F3D}"/>
    <hyperlink ref="B69" r:id="rId82" display="https://hashtagbasketball.com/27700/player" xr:uid="{596169A6-47D2-8C4A-823F-9C5DA2ADE221}"/>
    <hyperlink ref="B70" r:id="rId83" display="https://hashtagbasketball.com/39833/player" xr:uid="{345B50CD-ABF2-F94C-AFC9-FA21C983E611}"/>
    <hyperlink ref="B71" r:id="rId84" display="https://hashtagbasketball.com/17189/player" xr:uid="{CDE8F9BC-55DA-7940-AAD3-7D849520DEF4}"/>
    <hyperlink ref="B72" r:id="rId85" display="https://hashtagbasketball.com/27724/player" xr:uid="{04B23624-4E3E-2E43-9DC9-16917600DF5C}"/>
    <hyperlink ref="B73" r:id="rId86" display="https://hashtagbasketball.com/13732/player" xr:uid="{65F7EAE7-79A0-5F47-B6C0-2B4EAD4384B6}"/>
    <hyperlink ref="B74" r:id="rId87" display="https://hashtagbasketball.com/9342/player" xr:uid="{B4308FA7-0078-1A49-923D-B883A8C073C5}"/>
    <hyperlink ref="B75" r:id="rId88" display="https://hashtagbasketball.com/120210/player" xr:uid="{738D58C2-E877-D34C-B72B-059C1B0AEF0B}"/>
    <hyperlink ref="B76" r:id="rId89" display="https://hashtagbasketball.com/9500/player" xr:uid="{B25E576C-5A32-2B49-9EDD-1ECD2B5F775D}"/>
    <hyperlink ref="B77" r:id="rId90" display="https://hashtagbasketball.com/9412/player" xr:uid="{82F5E3A5-3A69-CA4B-A506-DD2B6EDE9727}"/>
    <hyperlink ref="B78" r:id="rId91" display="https://hashtagbasketball.com/9373/player" xr:uid="{620486AD-3B82-A947-96EF-DF09275ADA70}"/>
    <hyperlink ref="B79" r:id="rId92" display="https://hashtagbasketball.com/38840/player" xr:uid="{9B3FE6B5-BA00-2246-AD35-E4A1ECAC359A}"/>
    <hyperlink ref="B80" r:id="rId93" display="https://hashtagbasketball.com/38949/player" xr:uid="{EE29A3F5-5693-154E-8B7B-0941AFDF41EA}"/>
    <hyperlink ref="B81" r:id="rId94" display="https://hashtagbasketball.com/13749/player" xr:uid="{D9A73D45-F569-8B4B-BF89-9399F0CB683C}"/>
    <hyperlink ref="B82" r:id="rId95" display="https://hashtagbasketball.com/9489/player" xr:uid="{C8D2B2BB-57F5-664A-9A9A-E325A16FCD6F}"/>
    <hyperlink ref="B83" r:id="rId96" display="https://hashtagbasketball.com/15202/player" xr:uid="{C255460A-9CB8-7749-87FA-0E5C5C305409}"/>
    <hyperlink ref="B84" r:id="rId97" display="https://hashtagbasketball.com/27679/player" xr:uid="{667F0AC8-2D5B-FA4F-9E03-5C02504C8779}"/>
    <hyperlink ref="B85" r:id="rId98" display="https://hashtagbasketball.com/31037/player" xr:uid="{CFA3B531-10CC-CF49-A9C5-E0349314A54D}"/>
    <hyperlink ref="B86" r:id="rId99" display="https://hashtagbasketball.com/120020/player" xr:uid="{11F6DB2F-9178-E744-AAA4-BD1A390F9094}"/>
    <hyperlink ref="B87" r:id="rId100" display="https://hashtagbasketball.com/31068/player" xr:uid="{43FAA41C-51E0-2649-AD70-DD6B7E885B22}"/>
    <hyperlink ref="B88" r:id="rId101" display="https://hashtagbasketball.com/9355/player" xr:uid="{24615A5E-D057-F148-9BC8-B11AE7277A22}"/>
    <hyperlink ref="B89" r:id="rId102" display="https://hashtagbasketball.com/120030/player" xr:uid="{CCF56B56-3FA9-514E-AE30-2CA53A9C8520}"/>
    <hyperlink ref="B90" r:id="rId103" display="https://hashtagbasketball.com/15218/player" xr:uid="{36B8502B-A68B-3744-9DBB-C234480F0744}"/>
    <hyperlink ref="B91" r:id="rId104" display="https://hashtagbasketball.com/10113/player" xr:uid="{10B36F48-9EF2-6242-8500-442164794568}"/>
    <hyperlink ref="B92" r:id="rId105" display="https://hashtagbasketball.com/120004/player" xr:uid="{BD2B0AC6-64A4-5C42-8F11-A5FA439DF9CD}"/>
    <hyperlink ref="B93" r:id="rId106" display="https://hashtagbasketball.com/27718/player" xr:uid="{1294E23A-D185-4749-B18C-6C8EF1E29095}"/>
    <hyperlink ref="B94" r:id="rId107" display="https://hashtagbasketball.com/13756/player" xr:uid="{ECE77C25-B4EB-A54F-8E5C-5F702FD93A59}"/>
    <hyperlink ref="B95" r:id="rId108" display="https://hashtagbasketball.com/38835/player" xr:uid="{EC40DC30-42A3-4641-8EE0-CFC5F5BCE625}"/>
    <hyperlink ref="B96" r:id="rId109" display="https://hashtagbasketball.com/16958/player" xr:uid="{968EFD04-129B-964D-B47C-E57ABFFA1B57}"/>
    <hyperlink ref="B97" r:id="rId110" display="https://hashtagbasketball.com/120183/player" xr:uid="{22274367-7894-DD4C-BA99-E719B396A1C0}"/>
    <hyperlink ref="B98" r:id="rId111" display="https://hashtagbasketball.com/9343/player" xr:uid="{83AA0FD2-54AC-B24E-8CA5-35ED212DBD2D}"/>
    <hyperlink ref="B99" r:id="rId112" display="https://hashtagbasketball.com/17285/player" xr:uid="{C41FDBD0-7AFF-CB43-8E07-79A2BB660397}"/>
    <hyperlink ref="B100" r:id="rId113" display="https://hashtagbasketball.com/10123/player" xr:uid="{59B7B160-6F6F-F44B-BF49-B545683BD0F3}"/>
    <hyperlink ref="B101" r:id="rId114" display="https://hashtagbasketball.com/10169/player" xr:uid="{B0F1DD7C-C92B-7044-8959-389E8A26F5C5}"/>
    <hyperlink ref="B102" r:id="rId115" display="https://hashtagbasketball.com/38797/player" xr:uid="{19482A54-AA2D-3247-B616-32D3885FFD5C}"/>
    <hyperlink ref="B103" r:id="rId116" display="https://hashtagbasketball.com/38614/player" xr:uid="{CFE521EA-1423-3545-8898-94367E2024CC}"/>
    <hyperlink ref="B104" r:id="rId117" display="https://hashtagbasketball.com/31067/player" xr:uid="{4382CB89-6C17-7044-9684-2CCEFAB47E5E}"/>
    <hyperlink ref="B105" r:id="rId118" display="https://hashtagbasketball.com/38942/player" xr:uid="{D3B0DCDD-7CE4-BC4B-A125-3576FE2FB87F}"/>
    <hyperlink ref="B106" r:id="rId119" display="https://hashtagbasketball.com/39847/player" xr:uid="{96B5A2B8-A5D2-F747-86B7-0253CE66E0FC}"/>
    <hyperlink ref="B107" r:id="rId120" display="https://hashtagbasketball.com/35209/player" xr:uid="{4D41228C-8969-9E4C-BBA4-CB21D5F360D6}"/>
    <hyperlink ref="B108" r:id="rId121" display="https://hashtagbasketball.com/9192/player" xr:uid="{301B9569-6A0F-034D-96D4-7ABABD277806}"/>
    <hyperlink ref="B109" r:id="rId122" display="https://hashtagbasketball.com/27593/player" xr:uid="{EB103032-D9D2-5F43-B00B-F7F1EC473513}"/>
    <hyperlink ref="B110" r:id="rId123" display="https://hashtagbasketball.com/15198/player" xr:uid="{EBA833F4-FD04-2E43-8BD0-F0E05EFF5EEF}"/>
    <hyperlink ref="B111" r:id="rId124" display="https://hashtagbasketball.com/9252/player" xr:uid="{1BFD9760-AE32-3E4C-BA86-72EE816E12CB}"/>
    <hyperlink ref="B112" r:id="rId125" display="https://hashtagbasketball.com/38944/player" xr:uid="{7C59B106-DD50-384F-A299-CD4B86593F54}"/>
    <hyperlink ref="B113" r:id="rId126" display="https://hashtagbasketball.com/120002/player" xr:uid="{B76469E4-B8C7-5845-BEBC-B1BD4E9DF8CA}"/>
    <hyperlink ref="B114" r:id="rId127" display="https://hashtagbasketball.com/15281/player" xr:uid="{44A2016B-92D4-A548-A53A-939408C6BC6B}"/>
    <hyperlink ref="B115" r:id="rId128" display="https://hashtagbasketball.com/15209/player" xr:uid="{6B9F2E3D-6F62-664C-9DA1-6CD6A5C18673}"/>
    <hyperlink ref="B116" r:id="rId129" display="https://hashtagbasketball.com/120216/player" xr:uid="{006397EC-D138-D946-8C05-A29E84C3EB05}"/>
    <hyperlink ref="B117" r:id="rId130" display="https://hashtagbasketball.com/120041/player" xr:uid="{CB870EA2-5031-7A4E-BA89-6F3044793809}"/>
    <hyperlink ref="B118" r:id="rId131" display="https://hashtagbasketball.com/120065/player" xr:uid="{CB4237F8-B6EE-A647-B290-7880678E2567}"/>
    <hyperlink ref="B119" r:id="rId132" display="https://hashtagbasketball.com/9447/player" xr:uid="{1124E10C-A284-EA4E-AEDE-BC8DA7D3EFDD}"/>
    <hyperlink ref="B120" r:id="rId133" display="https://hashtagbasketball.com/13737/player" xr:uid="{22A49B2E-65A4-DD4A-8340-C108E4FA173E}"/>
    <hyperlink ref="B121" r:id="rId134" display="https://hashtagbasketball.com/15214/player" xr:uid="{7D287A0F-84A6-214E-A150-0E97AF636159}"/>
    <hyperlink ref="B122" r:id="rId135" display="https://hashtagbasketball.com/9419/player" xr:uid="{59A207BC-3BB9-504B-B163-6600EF7209F9}"/>
    <hyperlink ref="B123" r:id="rId136" display="https://hashtagbasketball.com/111205/player" xr:uid="{A31264CE-EE5B-514E-A81B-BB2AD61A708F}"/>
    <hyperlink ref="B124" r:id="rId137" display="https://hashtagbasketball.com/38940/player" xr:uid="{ECD356E2-5BF9-134A-A419-CB1B6DDF3B7E}"/>
    <hyperlink ref="B125" r:id="rId138" display="https://hashtagbasketball.com/9526/player" xr:uid="{76C09FA1-CCE1-6B4A-A1D5-554AF5A9DE29}"/>
    <hyperlink ref="B126" r:id="rId139" display="https://hashtagbasketball.com/111250/player" xr:uid="{B74561EA-99C1-0842-BA0D-3C32048844CA}"/>
    <hyperlink ref="B127" r:id="rId140" display="https://hashtagbasketball.com/15204/player" xr:uid="{1E962E8B-6701-1341-A0F9-D9826AE083F3}"/>
    <hyperlink ref="B128" r:id="rId141" display="https://hashtagbasketball.com/111215/player" xr:uid="{2C3DE86A-E567-3E4E-9874-54BF284E5AE7}"/>
    <hyperlink ref="B129" r:id="rId142" display="https://hashtagbasketball.com/38941/player" xr:uid="{9DCC75D7-A402-2442-831C-BFF4CDCDFC15}"/>
    <hyperlink ref="B130" r:id="rId143" display="https://hashtagbasketball.com/15224/player" xr:uid="{679AC12E-D382-AB47-AE82-BB47AE0A2B72}"/>
    <hyperlink ref="B131" r:id="rId144" display="https://hashtagbasketball.com/120328/player" xr:uid="{1486394E-67F4-1842-959A-D502C9C1D7FA}"/>
    <hyperlink ref="B132" r:id="rId145" display="https://hashtagbasketball.com/9387/player" xr:uid="{06F13AA4-7BA9-AB4F-91A8-A860D55C8BD6}"/>
    <hyperlink ref="B133" r:id="rId146" display="https://hashtagbasketball.com/15205/player" xr:uid="{53F47538-8C87-4340-A712-A01E8DFFCAE6}"/>
    <hyperlink ref="B134" r:id="rId147" display="https://hashtagbasketball.com/9212/player" xr:uid="{81B64624-950F-3B48-944E-7E64B4B110FD}"/>
    <hyperlink ref="B135" r:id="rId148" display="https://hashtagbasketball.com/111206/player" xr:uid="{9F8ECCF1-F75A-D243-B8A8-AE6C147BE0B3}"/>
    <hyperlink ref="B136" r:id="rId149" display="https://hashtagbasketball.com/31059/player" xr:uid="{0A8BD0DA-793D-3149-9FE7-BFC9F591D971}"/>
    <hyperlink ref="B137" r:id="rId150" display="https://hashtagbasketball.com/10122/player" xr:uid="{407DED67-DB6F-1443-BF51-03CC580E1569}"/>
    <hyperlink ref="B138" r:id="rId151" display="https://hashtagbasketball.com/53593/player" xr:uid="{2A2CAE09-D73E-D24F-BEC0-C5FAE0955B91}"/>
    <hyperlink ref="B139" r:id="rId152" display="https://hashtagbasketball.com/17252/player" xr:uid="{68C19268-D7D3-6F4B-9107-7903812F0D77}"/>
    <hyperlink ref="B140" r:id="rId153" display="https://hashtagbasketball.com/9406/player" xr:uid="{7CA4488E-2F00-B14D-BD0B-D0B70C5488A1}"/>
    <hyperlink ref="B141" r:id="rId154" display="https://hashtagbasketball.com/13786/player" xr:uid="{420766C4-5D79-DA47-BAF4-F746679C54BD}"/>
    <hyperlink ref="B142" r:id="rId155" display="https://hashtagbasketball.com/109469/player" xr:uid="{46667CB0-4F5C-5B4A-B220-706499075662}"/>
    <hyperlink ref="B143" r:id="rId156" display="https://hashtagbasketball.com/111214/player" xr:uid="{BF37C2FC-5712-0747-9D27-465C89CE63AA}"/>
    <hyperlink ref="B144" r:id="rId157" display="https://hashtagbasketball.com/120234/player" xr:uid="{FF35E518-64A7-2C4A-BED7-C1ABE6410F44}"/>
    <hyperlink ref="B145" r:id="rId158" display="https://hashtagbasketball.com/120239/player" xr:uid="{2AA3F56A-E121-FF48-B07E-C945F70787BD}"/>
    <hyperlink ref="B146" r:id="rId159" display="https://hashtagbasketball.com/111248/player" xr:uid="{30584298-A8E0-3F4A-A4CF-E96DD697D64E}"/>
    <hyperlink ref="B147" r:id="rId160" display="https://hashtagbasketball.com/53823/player" xr:uid="{4F9B6D80-9E15-6640-A15A-54C8C5975F1E}"/>
    <hyperlink ref="B148" r:id="rId161" display="https://hashtagbasketball.com/17259/player" xr:uid="{9FF30222-748B-7D4D-8526-A4559BFD454F}"/>
    <hyperlink ref="B149" r:id="rId162" display="https://hashtagbasketball.com/17273/player" xr:uid="{99B5DAC7-BF04-DF41-AB95-8474EDF508D2}"/>
    <hyperlink ref="B150" r:id="rId163" display="https://hashtagbasketball.com/27644/player" xr:uid="{9D572093-0C1C-9247-9757-D2FD4C2F44F8}"/>
    <hyperlink ref="B151" r:id="rId164" display="https://hashtagbasketball.com/38955/player" xr:uid="{E2040911-AB89-3644-8A8A-F592F821C721}"/>
    <hyperlink ref="B152" r:id="rId165" display="https://hashtagbasketball.com/120316/player" xr:uid="{FE12C9B9-6DDD-234A-A483-18AC0ABE77EE}"/>
    <hyperlink ref="B153" r:id="rId166" display="https://hashtagbasketball.com/13792/player" xr:uid="{D494162D-1B22-8F45-A09C-F9766699DAAB}"/>
    <hyperlink ref="B154" r:id="rId167" display="https://hashtagbasketball.com/31054/player" xr:uid="{3858932F-5751-E34A-AD5E-D2C29409DC74}"/>
    <hyperlink ref="B155" r:id="rId168" display="https://hashtagbasketball.com/27622/player" xr:uid="{039B9358-A978-F940-B8B9-0C9E45220E05}"/>
    <hyperlink ref="B156" r:id="rId169" display="https://hashtagbasketball.com/120023/player" xr:uid="{A991F118-7919-1E47-BE00-1BCDCBB33C63}"/>
    <hyperlink ref="B157" r:id="rId170" display="https://hashtagbasketball.com/9082/player" xr:uid="{BC283B81-D011-ED4D-842B-04A5E5522EA8}"/>
    <hyperlink ref="B158" r:id="rId171" display="https://hashtagbasketball.com/17197/player" xr:uid="{1A01E484-13E8-F045-AD4C-FE375955CACF}"/>
    <hyperlink ref="B159" r:id="rId172" display="https://hashtagbasketball.com/120014/player" xr:uid="{ACE4CB20-0E7A-704D-8C33-A36D9B049FDE}"/>
    <hyperlink ref="B160" r:id="rId173" display="https://hashtagbasketball.com/120244/player" xr:uid="{8A336B00-3CB1-E244-81CE-36A0D254C0CC}"/>
    <hyperlink ref="B161" r:id="rId174" display="https://hashtagbasketball.com/109467/player" xr:uid="{D2984FAF-3704-3C4A-B6FA-8781E05A82A9}"/>
    <hyperlink ref="B162" r:id="rId175" display="https://hashtagbasketball.com/17181/player" xr:uid="{CA6DCAE0-DD79-6447-8470-F93075D356AE}"/>
    <hyperlink ref="B163" r:id="rId176" display="https://hashtagbasketball.com/27850/player" xr:uid="{A8FA80A5-FFF9-264A-9773-B4F12704BD7C}"/>
    <hyperlink ref="B164" r:id="rId177" display="https://hashtagbasketball.com/9228/player" xr:uid="{56F23F2F-861E-9748-8E93-C03BD57AC20D}"/>
    <hyperlink ref="B165" r:id="rId178" display="https://hashtagbasketball.com/31083/player" xr:uid="{247FD51D-40EB-754D-BC74-C75393A940E1}"/>
    <hyperlink ref="B166" r:id="rId179" display="https://hashtagbasketball.com/13862/player" xr:uid="{78913C18-2F85-924F-A7C1-0D23B6AF9222}"/>
    <hyperlink ref="B167" r:id="rId180" display="https://hashtagbasketball.com/31043/player" xr:uid="{133E203F-CDC5-9940-BA58-58D8664FE7B5}"/>
    <hyperlink ref="B168" r:id="rId181" display="https://hashtagbasketball.com/109470/player" xr:uid="{722159C0-B094-4F44-B41E-9A1C07F46D64}"/>
    <hyperlink ref="B169" r:id="rId182" display="https://hashtagbasketball.com/17193/player" xr:uid="{44D726B8-4564-C34A-955F-8D1EDEBA88D2}"/>
    <hyperlink ref="B170" r:id="rId183" display="https://hashtagbasketball.com/15282/player" xr:uid="{89ED5403-6CCD-2645-B791-88F38DB134F0}"/>
    <hyperlink ref="B171" r:id="rId184" display="https://hashtagbasketball.com/10146/player" xr:uid="{0171B61D-6973-6B48-BC8F-0EBD18F97793}"/>
    <hyperlink ref="B172" r:id="rId185" display="https://hashtagbasketball.com/31038/player" xr:uid="{7A436606-C477-AB4F-A540-9148894B86E9}"/>
    <hyperlink ref="B173" r:id="rId186" display="https://hashtagbasketball.com/15316/player" xr:uid="{87A1AA38-09A6-544E-9007-9CAC598B9A47}"/>
    <hyperlink ref="B174" r:id="rId187" display="https://hashtagbasketball.com/9151/player" xr:uid="{8EB1E9B2-17CB-EA42-9635-C1BC6F7F406D}"/>
    <hyperlink ref="B175" r:id="rId188" display="https://hashtagbasketball.com/27683/player" xr:uid="{C86105A5-7435-B042-ADEC-81A1A0F1E5D6}"/>
    <hyperlink ref="B176" r:id="rId189" display="https://hashtagbasketball.com/120361/player" xr:uid="{FAB3CBF2-A6A1-7C41-82C5-EC22F8B5F75C}"/>
    <hyperlink ref="B177" r:id="rId190" display="https://hashtagbasketball.com/27691/player" xr:uid="{D2C4817E-6F35-E241-A5F1-4C6E349B5C72}"/>
    <hyperlink ref="B178" r:id="rId191" display="https://hashtagbasketball.com/120282/player" xr:uid="{8503EE75-6480-1841-B3D5-8D6A1E67410B}"/>
    <hyperlink ref="B179" r:id="rId192" display="https://hashtagbasketball.com/38570/player" xr:uid="{421D5B48-7EC0-424F-B99E-0B2A21955EAD}"/>
    <hyperlink ref="B180" r:id="rId193" display="https://hashtagbasketball.com/38582/player" xr:uid="{97A49968-F837-E447-B2FE-FDBC45A052FB}"/>
    <hyperlink ref="B181" r:id="rId194" display="https://hashtagbasketball.com/120015/player" xr:uid="{440BD70F-23F6-A148-BD49-6FF72E06D663}"/>
    <hyperlink ref="B182" r:id="rId195" display="https://hashtagbasketball.com/10129/player" xr:uid="{300B787C-A2FE-CD47-B2CB-A66B574EE42E}"/>
    <hyperlink ref="B183" r:id="rId196" display="https://hashtagbasketball.com/120211/player" xr:uid="{9C5C2791-7736-934E-BEF4-A58C292C58FD}"/>
    <hyperlink ref="B184" r:id="rId197" display="https://hashtagbasketball.com/38950/player" xr:uid="{7E03245B-F86A-4447-8CB7-CA455C1B4689}"/>
    <hyperlink ref="B185" r:id="rId198" display="https://hashtagbasketball.com/120340/player" xr:uid="{6F62679D-E8F7-0B42-A0BB-BB4CCF2BBB35}"/>
    <hyperlink ref="B186" r:id="rId199" display="https://hashtagbasketball.com/120209/player" xr:uid="{74EE882E-4B25-7341-A97A-FE87630A36E6}"/>
    <hyperlink ref="B187" r:id="rId200" display="https://hashtagbasketball.com/111203/player" xr:uid="{40E75E14-BEC1-BD46-93D7-87390AE8B4B2}"/>
    <hyperlink ref="B188" r:id="rId201" display="https://hashtagbasketball.com/9423/player" xr:uid="{004B6024-13C0-8E4E-831B-631EF6FFC00C}"/>
    <hyperlink ref="B189" r:id="rId202" display="https://hashtagbasketball.com/31064/player" xr:uid="{7FFCAF54-14EC-B647-B00F-796AC0AA3CD7}"/>
    <hyperlink ref="B190" r:id="rId203" display="https://hashtagbasketball.com/17275/player" xr:uid="{5ACB57A1-1E92-E14B-9A3A-9F2B4C945936}"/>
    <hyperlink ref="B191" r:id="rId204" display="https://hashtagbasketball.com/120217/player" xr:uid="{5CA7FFC9-BD1A-AA4A-9594-33921041413D}"/>
    <hyperlink ref="B192" r:id="rId205" display="https://hashtagbasketball.com/27591/player" xr:uid="{4960D18B-B743-7949-AB29-A3CFED4AD56F}"/>
    <hyperlink ref="B193" r:id="rId206" display="https://hashtagbasketball.com/17308/player" xr:uid="{70777624-0714-F342-A17A-0CF2C357CD57}"/>
    <hyperlink ref="B194" r:id="rId207" display="https://hashtagbasketball.com/120359/player" xr:uid="{6D9EB5BF-2E2F-E943-9450-9BFA6EB0FBC3}"/>
    <hyperlink ref="B195" r:id="rId208" display="https://hashtagbasketball.com/31159/player" xr:uid="{BD86987E-AAB0-E444-AC79-CD984D8B8847}"/>
    <hyperlink ref="B196" r:id="rId209" display="https://hashtagbasketball.com/9102/player" xr:uid="{C49DB65E-8263-C74A-BDA0-FFBD920A84EF}"/>
    <hyperlink ref="B197" r:id="rId210" display="https://hashtagbasketball.com/27883/player" xr:uid="{3B81E223-8BDF-134C-AC0E-EC6DFD74D8ED}"/>
    <hyperlink ref="B198" r:id="rId211" display="https://hashtagbasketball.com/120208/player" xr:uid="{7D7AA06C-1546-184C-A1BF-ED85121C2102}"/>
    <hyperlink ref="B199" r:id="rId212" display="https://hashtagbasketball.com/31058/player" xr:uid="{04D3106C-B9DD-D241-94F1-086A1CD14323}"/>
    <hyperlink ref="B200" r:id="rId213" display="https://hashtagbasketball.com/120363/player" xr:uid="{AC533E82-9B36-C745-B7BD-E98B91247F6E}"/>
    <hyperlink ref="B201" r:id="rId214" display="https://hashtagbasketball.com/111224/player" xr:uid="{F8C90576-417C-3344-818F-5FC47B9E0A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B5B3-1045-3E4F-900C-A5E7AB3001F1}">
  <dimension ref="A1:K89"/>
  <sheetViews>
    <sheetView workbookViewId="0">
      <selection activeCell="C2" sqref="C2"/>
    </sheetView>
  </sheetViews>
  <sheetFormatPr baseColWidth="10" defaultRowHeight="16"/>
  <cols>
    <col min="1" max="1" width="30.5" customWidth="1"/>
    <col min="3" max="11" width="16.5" bestFit="1" customWidth="1"/>
  </cols>
  <sheetData>
    <row r="1" spans="1:11">
      <c r="A1" t="s">
        <v>247</v>
      </c>
      <c r="B1" t="s">
        <v>930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</row>
    <row r="2" spans="1:11">
      <c r="A2" t="s">
        <v>27</v>
      </c>
      <c r="B2">
        <f>VLOOKUP(A2,'2026-2027 adp'!A:C,3,FALSE)</f>
        <v>3.4</v>
      </c>
      <c r="C2" s="7">
        <f>VLOOKUP(A2,'2026-2027 projections'!B:X,23,FALSE)</f>
        <v>-0.63112533220351619</v>
      </c>
      <c r="D2" s="7">
        <f>VLOOKUP(A2,'2026-2027 projections'!B:AZ,24,FALSE)</f>
        <v>-0.45600131536701044</v>
      </c>
      <c r="E2" s="7">
        <f>VLOOKUP(A2,'2026-2027 projections'!B:AZ,25,FALSE)</f>
        <v>2.5597222875263217</v>
      </c>
      <c r="F2" s="7">
        <f>VLOOKUP(A2,'2026-2027 projections'!B:AZ,26,FALSE)</f>
        <v>3.3510000556198145</v>
      </c>
      <c r="G2" s="7">
        <f>VLOOKUP(A2,'2026-2027 projections'!B:AZ,27,FALSE)</f>
        <v>1.2541826552024202</v>
      </c>
      <c r="H2" s="7">
        <f>VLOOKUP(A2,'2026-2027 projections'!B:AZ,28,FALSE)</f>
        <v>2.8143360508247039</v>
      </c>
      <c r="I2" s="7">
        <f>VLOOKUP(A2,'2026-2027 projections'!B:AZ,29,FALSE)</f>
        <v>2.0063821287552726</v>
      </c>
      <c r="J2" s="7">
        <f>VLOOKUP(A2,'2026-2027 projections'!B:AZ,30,FALSE)</f>
        <v>-0.36262847148104194</v>
      </c>
      <c r="K2" s="7">
        <f>VLOOKUP(A2,'2026-2027 projections'!B:AZ,31,FALSE)</f>
        <v>-2</v>
      </c>
    </row>
    <row r="3" spans="1:11">
      <c r="A3" t="s">
        <v>65</v>
      </c>
      <c r="B3">
        <f>VLOOKUP(A3,'2026-2027 adp'!A:C,3,FALSE)</f>
        <v>6.4</v>
      </c>
      <c r="C3" s="7">
        <f>VLOOKUP(A3,'2026-2027 projections'!B:X,23,FALSE)</f>
        <v>4.5931141758552938</v>
      </c>
      <c r="D3" s="7">
        <f>VLOOKUP(A3,'2026-2027 projections'!B:AZ,24,FALSE)</f>
        <v>-2</v>
      </c>
      <c r="E3" s="7">
        <f>VLOOKUP(A3,'2026-2027 projections'!B:AZ,25,FALSE)</f>
        <v>-1.4384697026835043</v>
      </c>
      <c r="F3" s="7">
        <f>VLOOKUP(A3,'2026-2027 projections'!B:AZ,26,FALSE)</f>
        <v>2.9345618057265836</v>
      </c>
      <c r="G3" s="7">
        <f>VLOOKUP(A3,'2026-2027 projections'!B:AZ,27,FALSE)</f>
        <v>2.5857942164869976</v>
      </c>
      <c r="H3" s="7">
        <f>VLOOKUP(A3,'2026-2027 projections'!B:AZ,28,FALSE)</f>
        <v>1.4719008370961624</v>
      </c>
      <c r="I3" s="7">
        <f>VLOOKUP(A3,'2026-2027 projections'!B:AZ,29,FALSE)</f>
        <v>-4.818821706617768E-2</v>
      </c>
      <c r="J3" s="7">
        <f>VLOOKUP(A3,'2026-2027 projections'!B:AZ,30,FALSE)</f>
        <v>0.85556076697616101</v>
      </c>
      <c r="K3" s="7">
        <f>VLOOKUP(A3,'2026-2027 projections'!B:AZ,31,FALSE)</f>
        <v>-1.984485034236926</v>
      </c>
    </row>
    <row r="4" spans="1:11">
      <c r="A4" t="s">
        <v>74</v>
      </c>
      <c r="B4">
        <f>VLOOKUP(A4,'2026-2027 adp'!A:C,3,FALSE)</f>
        <v>7.8</v>
      </c>
      <c r="C4" s="7">
        <f>VLOOKUP(A4,'2026-2027 projections'!B:X,23,FALSE)</f>
        <v>8.5699773568270812E-2</v>
      </c>
      <c r="D4" s="7">
        <f>VLOOKUP(A4,'2026-2027 projections'!B:AZ,24,FALSE)</f>
        <v>0.53389259586678961</v>
      </c>
      <c r="E4" s="7">
        <f>VLOOKUP(A4,'2026-2027 projections'!B:AZ,25,FALSE)</f>
        <v>2.1388599727673934</v>
      </c>
      <c r="F4" s="7">
        <f>VLOOKUP(A4,'2026-2027 projections'!B:AZ,26,FALSE)</f>
        <v>2.4234784990394376</v>
      </c>
      <c r="G4" s="7">
        <f>VLOOKUP(A4,'2026-2027 projections'!B:AZ,27,FALSE)</f>
        <v>-3.5816044792013849E-2</v>
      </c>
      <c r="H4" s="7">
        <f>VLOOKUP(A4,'2026-2027 projections'!B:AZ,28,FALSE)</f>
        <v>-7.7062871052154841E-2</v>
      </c>
      <c r="I4" s="7">
        <f>VLOOKUP(A4,'2026-2027 projections'!B:AZ,29,FALSE)</f>
        <v>0.53883188173995089</v>
      </c>
      <c r="J4" s="7">
        <f>VLOOKUP(A4,'2026-2027 projections'!B:AZ,30,FALSE)</f>
        <v>4.3434608004692253E-2</v>
      </c>
      <c r="K4" s="7">
        <f>VLOOKUP(A4,'2026-2027 projections'!B:AZ,31,FALSE)</f>
        <v>-1.5750958875914021</v>
      </c>
    </row>
    <row r="5" spans="1:11">
      <c r="A5" t="s">
        <v>97</v>
      </c>
      <c r="B5">
        <f>VLOOKUP(A5,'2026-2027 adp'!A:C,3,FALSE)</f>
        <v>6</v>
      </c>
      <c r="C5" s="7">
        <f>VLOOKUP(A5,'2026-2027 projections'!B:X,23,FALSE)</f>
        <v>-0.56824257762353225</v>
      </c>
      <c r="D5" s="7">
        <f>VLOOKUP(A5,'2026-2027 projections'!B:AZ,24,FALSE)</f>
        <v>0.51620861748559954</v>
      </c>
      <c r="E5" s="7">
        <f>VLOOKUP(A5,'2026-2027 projections'!B:AZ,25,FALSE)</f>
        <v>0.35019513504194433</v>
      </c>
      <c r="F5" s="7">
        <f>VLOOKUP(A5,'2026-2027 projections'!B:AZ,26,FALSE)</f>
        <v>1.7231050787644595</v>
      </c>
      <c r="G5" s="7">
        <f>VLOOKUP(A5,'2026-2027 projections'!B:AZ,27,FALSE)</f>
        <v>4.7409677788272299E-2</v>
      </c>
      <c r="H5" s="7">
        <f>VLOOKUP(A5,'2026-2027 projections'!B:AZ,28,FALSE)</f>
        <v>3.1757609160593119</v>
      </c>
      <c r="I5" s="7">
        <f>VLOOKUP(A5,'2026-2027 projections'!B:AZ,29,FALSE)</f>
        <v>0.83234193114301547</v>
      </c>
      <c r="J5" s="7">
        <f>VLOOKUP(A5,'2026-2027 projections'!B:AZ,30,FALSE)</f>
        <v>0.24646614774755957</v>
      </c>
      <c r="K5" s="7">
        <f>VLOOKUP(A5,'2026-2027 projections'!B:AZ,31,FALSE)</f>
        <v>-2</v>
      </c>
    </row>
    <row r="6" spans="1:11">
      <c r="A6" t="s">
        <v>72</v>
      </c>
      <c r="B6">
        <f>VLOOKUP(A6,'2026-2027 adp'!A:C,3,FALSE)</f>
        <v>15.6</v>
      </c>
      <c r="C6" s="7">
        <f>VLOOKUP(A6,'2026-2027 projections'!B:X,23,FALSE)</f>
        <v>0.9292095030614943</v>
      </c>
      <c r="D6" s="7">
        <f>VLOOKUP(A6,'2026-2027 projections'!B:AZ,24,FALSE)</f>
        <v>1.0689096065439547</v>
      </c>
      <c r="E6" s="7">
        <f>VLOOKUP(A6,'2026-2027 projections'!B:AZ,25,FALSE)</f>
        <v>3.4548398972747453E-2</v>
      </c>
      <c r="F6" s="7">
        <f>VLOOKUP(A6,'2026-2027 projections'!B:AZ,26,FALSE)</f>
        <v>1.0227316584894814</v>
      </c>
      <c r="G6" s="7">
        <f>VLOOKUP(A6,'2026-2027 projections'!B:AZ,27,FALSE)</f>
        <v>2.5441813551968551</v>
      </c>
      <c r="H6" s="7">
        <f>VLOOKUP(A6,'2026-2027 projections'!B:AZ,28,FALSE)</f>
        <v>-7.7062871052154841E-2</v>
      </c>
      <c r="I6" s="7">
        <f>VLOOKUP(A6,'2026-2027 projections'!B:AZ,29,FALSE)</f>
        <v>-0.34169826646924195</v>
      </c>
      <c r="J6" s="7">
        <f>VLOOKUP(A6,'2026-2027 projections'!B:AZ,30,FALSE)</f>
        <v>-0.15959693173817482</v>
      </c>
      <c r="K6" s="7">
        <f>VLOOKUP(A6,'2026-2027 projections'!B:AZ,31,FALSE)</f>
        <v>-0.89278064318219519</v>
      </c>
    </row>
    <row r="7" spans="1:11">
      <c r="A7" t="s">
        <v>43</v>
      </c>
      <c r="B7">
        <f>VLOOKUP(A7,'2026-2027 adp'!A:C,3,FALSE)</f>
        <v>25.2</v>
      </c>
      <c r="C7" s="7">
        <f>VLOOKUP(A7,'2026-2027 projections'!B:X,23,FALSE)</f>
        <v>-0.80977056579957229</v>
      </c>
      <c r="D7" s="7">
        <f>VLOOKUP(A7,'2026-2027 projections'!B:AZ,24,FALSE)</f>
        <v>2.1383814204931011</v>
      </c>
      <c r="E7" s="7">
        <f>VLOOKUP(A7,'2026-2027 projections'!B:AZ,25,FALSE)</f>
        <v>0.45541071373167669</v>
      </c>
      <c r="F7" s="7">
        <f>VLOOKUP(A7,'2026-2027 projections'!B:AZ,26,FALSE)</f>
        <v>1.6473890333293268</v>
      </c>
      <c r="G7" s="7">
        <f>VLOOKUP(A7,'2026-2027 projections'!B:AZ,27,FALSE)</f>
        <v>-0.78484754801458845</v>
      </c>
      <c r="H7" s="7">
        <f>VLOOKUP(A7,'2026-2027 projections'!B:AZ,28,FALSE)</f>
        <v>1.3686365898862745</v>
      </c>
      <c r="I7" s="7">
        <f>VLOOKUP(A7,'2026-2027 projections'!B:AZ,29,FALSE)</f>
        <v>-0.6352083158723062</v>
      </c>
      <c r="J7" s="7">
        <f>VLOOKUP(A7,'2026-2027 projections'!B:AZ,30,FALSE)</f>
        <v>-0.97172309070964324</v>
      </c>
      <c r="K7" s="7">
        <f>VLOOKUP(A7,'2026-2027 projections'!B:AZ,31,FALSE)</f>
        <v>-1.4386328387095606</v>
      </c>
    </row>
    <row r="8" spans="1:11">
      <c r="A8" t="s">
        <v>60</v>
      </c>
      <c r="B8">
        <f>VLOOKUP(A8,'2026-2027 adp'!A:C,3,FALSE)</f>
        <v>24.4</v>
      </c>
      <c r="C8" s="7">
        <f>VLOOKUP(A8,'2026-2027 projections'!B:X,23,FALSE)</f>
        <v>-1.3306481063557953</v>
      </c>
      <c r="D8" s="7">
        <f>VLOOKUP(A8,'2026-2027 projections'!B:AZ,24,FALSE)</f>
        <v>1.9333290468938691</v>
      </c>
      <c r="E8" s="7">
        <f>VLOOKUP(A8,'2026-2027 projections'!B:AZ,25,FALSE)</f>
        <v>1.0867041858700703</v>
      </c>
      <c r="F8" s="7">
        <f>VLOOKUP(A8,'2026-2027 projections'!B:AZ,26,FALSE)</f>
        <v>1.3066668288712293</v>
      </c>
      <c r="G8" s="7">
        <f>VLOOKUP(A8,'2026-2027 projections'!B:AZ,27,FALSE)</f>
        <v>-1.1593632996258758</v>
      </c>
      <c r="H8" s="7">
        <f>VLOOKUP(A8,'2026-2027 projections'!B:AZ,28,FALSE)</f>
        <v>3.692082152108751</v>
      </c>
      <c r="I8" s="7">
        <f>VLOOKUP(A8,'2026-2027 projections'!B:AZ,29,FALSE)</f>
        <v>0.24532183233688692</v>
      </c>
      <c r="J8" s="7">
        <f>VLOOKUP(A8,'2026-2027 projections'!B:AZ,30,FALSE)</f>
        <v>-0.97172309070964324</v>
      </c>
      <c r="K8" s="7">
        <f>VLOOKUP(A8,'2026-2027 projections'!B:AZ,31,FALSE)</f>
        <v>-2</v>
      </c>
    </row>
    <row r="9" spans="1:11">
      <c r="A9" t="s">
        <v>62</v>
      </c>
      <c r="B9">
        <f>VLOOKUP(A9,'2026-2027 adp'!A:C,3,FALSE)</f>
        <v>28.6</v>
      </c>
      <c r="C9" s="7">
        <f>VLOOKUP(A9,'2026-2027 projections'!B:X,23,FALSE)</f>
        <v>2.1158706540763448</v>
      </c>
      <c r="D9" s="7">
        <f>VLOOKUP(A9,'2026-2027 projections'!B:AZ,24,FALSE)</f>
        <v>-0.76715755925337592</v>
      </c>
      <c r="E9" s="7">
        <f>VLOOKUP(A9,'2026-2027 projections'!B:AZ,25,FALSE)</f>
        <v>-1.0176073879245753</v>
      </c>
      <c r="F9" s="7">
        <f>VLOOKUP(A9,'2026-2027 projections'!B:AZ,26,FALSE)</f>
        <v>0.20878417006180391</v>
      </c>
      <c r="G9" s="7">
        <f>VLOOKUP(A9,'2026-2027 projections'!B:AZ,27,FALSE)</f>
        <v>2.7522456616475699</v>
      </c>
      <c r="H9" s="7">
        <f>VLOOKUP(A9,'2026-2027 projections'!B:AZ,28,FALSE)</f>
        <v>0.8006832302318917</v>
      </c>
      <c r="I9" s="7">
        <f>VLOOKUP(A9,'2026-2027 projections'!B:AZ,29,FALSE)</f>
        <v>-0.92871836527537077</v>
      </c>
      <c r="J9" s="7">
        <f>VLOOKUP(A9,'2026-2027 projections'!B:AZ,30,FALSE)</f>
        <v>-0.76869155096677622</v>
      </c>
      <c r="K9" s="7">
        <f>VLOOKUP(A9,'2026-2027 projections'!B:AZ,31,FALSE)</f>
        <v>-1.0292436920640367</v>
      </c>
    </row>
    <row r="10" spans="1:11">
      <c r="A10" t="s">
        <v>35</v>
      </c>
      <c r="B10">
        <f>VLOOKUP(A10,'2026-2027 adp'!A:C,3,FALSE)</f>
        <v>13.8</v>
      </c>
      <c r="C10" s="7">
        <f>VLOOKUP(A10,'2026-2027 projections'!B:X,23,FALSE)</f>
        <v>-0.73958850974397927</v>
      </c>
      <c r="D10" s="7">
        <f>VLOOKUP(A10,'2026-2027 projections'!B:AZ,24,FALSE)</f>
        <v>1.0064534748046103</v>
      </c>
      <c r="E10" s="7">
        <f>VLOOKUP(A10,'2026-2027 projections'!B:AZ,25,FALSE)</f>
        <v>1.7179976580084637</v>
      </c>
      <c r="F10" s="7">
        <f>VLOOKUP(A10,'2026-2027 projections'!B:AZ,26,FALSE)</f>
        <v>2.08275629458134</v>
      </c>
      <c r="G10" s="7">
        <f>VLOOKUP(A10,'2026-2027 projections'!B:AZ,27,FALSE)</f>
        <v>-0.41033179640330097</v>
      </c>
      <c r="H10" s="7">
        <f>VLOOKUP(A10,'2026-2027 projections'!B:AZ,28,FALSE)</f>
        <v>0.9039474774417795</v>
      </c>
      <c r="I10" s="7">
        <f>VLOOKUP(A10,'2026-2027 projections'!B:AZ,29,FALSE)</f>
        <v>1.4193620299491441</v>
      </c>
      <c r="J10" s="7">
        <f>VLOOKUP(A10,'2026-2027 projections'!B:AZ,30,FALSE)</f>
        <v>-0.76869155096677622</v>
      </c>
      <c r="K10" s="7">
        <f>VLOOKUP(A10,'2026-2027 projections'!B:AZ,31,FALSE)</f>
        <v>-1.0292436920640367</v>
      </c>
    </row>
    <row r="11" spans="1:11">
      <c r="A11" t="s">
        <v>105</v>
      </c>
      <c r="B11">
        <f>VLOOKUP(A11,'2026-2027 adp'!A:C,3,FALSE)</f>
        <v>18.399999999999999</v>
      </c>
      <c r="C11" s="7">
        <f>VLOOKUP(A11,'2026-2027 projections'!B:X,23,FALSE)</f>
        <v>0.78338431859762447</v>
      </c>
      <c r="D11" s="7">
        <f>VLOOKUP(A11,'2026-2027 projections'!B:AZ,24,FALSE)</f>
        <v>-1.9173316907282469</v>
      </c>
      <c r="E11" s="7">
        <f>VLOOKUP(A11,'2026-2027 projections'!B:AZ,25,FALSE)</f>
        <v>-1.3332541239937721</v>
      </c>
      <c r="F11" s="7">
        <f>VLOOKUP(A11,'2026-2027 projections'!B:AZ,26,FALSE)</f>
        <v>0.87129956761921568</v>
      </c>
      <c r="G11" s="7">
        <f>VLOOKUP(A11,'2026-2027 projections'!B:AZ,27,FALSE)</f>
        <v>1.7951498519742799</v>
      </c>
      <c r="H11" s="7">
        <f>VLOOKUP(A11,'2026-2027 projections'!B:AZ,28,FALSE)</f>
        <v>1.0588438482566112</v>
      </c>
      <c r="I11" s="7">
        <f>VLOOKUP(A11,'2026-2027 projections'!B:AZ,29,FALSE)</f>
        <v>0.53883188173995089</v>
      </c>
      <c r="J11" s="7">
        <f>VLOOKUP(A11,'2026-2027 projections'!B:AZ,30,FALSE)</f>
        <v>0.65252922723329376</v>
      </c>
      <c r="K11" s="7">
        <f>VLOOKUP(A11,'2026-2027 projections'!B:AZ,31,FALSE)</f>
        <v>-1.5750958875914021</v>
      </c>
    </row>
    <row r="12" spans="1:11">
      <c r="A12" t="s">
        <v>87</v>
      </c>
      <c r="B12">
        <f>VLOOKUP(A12,'2026-2027 adp'!A:C,3,FALSE)</f>
        <v>29.4</v>
      </c>
      <c r="C12" s="7">
        <f>VLOOKUP(A12,'2026-2027 projections'!B:X,23,FALSE)</f>
        <v>1.6337337922857234</v>
      </c>
      <c r="D12" s="7">
        <f>VLOOKUP(A12,'2026-2027 projections'!B:AZ,24,FALSE)</f>
        <v>-2</v>
      </c>
      <c r="E12" s="7">
        <f>VLOOKUP(A12,'2026-2027 projections'!B:AZ,25,FALSE)</f>
        <v>-0.59674507316564607</v>
      </c>
      <c r="F12" s="7">
        <f>VLOOKUP(A12,'2026-2027 projections'!B:AZ,26,FALSE)</f>
        <v>0.64415143131381747</v>
      </c>
      <c r="G12" s="7">
        <f>VLOOKUP(A12,'2026-2027 projections'!B:AZ,27,FALSE)</f>
        <v>1.6286984068137076</v>
      </c>
      <c r="H12" s="7">
        <f>VLOOKUP(A12,'2026-2027 projections'!B:AZ,28,FALSE)</f>
        <v>-2.5430747447210897E-2</v>
      </c>
      <c r="I12" s="7">
        <f>VLOOKUP(A12,'2026-2027 projections'!B:AZ,29,FALSE)</f>
        <v>-0.6352083158723062</v>
      </c>
      <c r="J12" s="7">
        <f>VLOOKUP(A12,'2026-2027 projections'!B:AZ,30,FALSE)</f>
        <v>2.276781545176231</v>
      </c>
      <c r="K12" s="7">
        <f>VLOOKUP(A12,'2026-2027 projections'!B:AZ,31,FALSE)</f>
        <v>-0.34692844765482989</v>
      </c>
    </row>
    <row r="13" spans="1:11">
      <c r="A13" t="s">
        <v>67</v>
      </c>
      <c r="B13">
        <f>VLOOKUP(A13,'2026-2027 adp'!A:C,3,FALSE)</f>
        <v>21.3</v>
      </c>
      <c r="C13" s="7">
        <f>VLOOKUP(A13,'2026-2027 projections'!B:X,23,FALSE)</f>
        <v>-0.22555071338263213</v>
      </c>
      <c r="D13" s="7">
        <f>VLOOKUP(A13,'2026-2027 projections'!B:AZ,24,FALSE)</f>
        <v>0.87269922213531625</v>
      </c>
      <c r="E13" s="7">
        <f>VLOOKUP(A13,'2026-2027 projections'!B:AZ,25,FALSE)</f>
        <v>0.87627302849060573</v>
      </c>
      <c r="F13" s="7">
        <f>VLOOKUP(A13,'2026-2027 projections'!B:AZ,26,FALSE)</f>
        <v>1.8177501355583754</v>
      </c>
      <c r="G13" s="7">
        <f>VLOOKUP(A13,'2026-2027 projections'!B:AZ,27,FALSE)</f>
        <v>-1.0761375770455897</v>
      </c>
      <c r="H13" s="7">
        <f>VLOOKUP(A13,'2026-2027 projections'!B:AZ,28,FALSE)</f>
        <v>1.6784293315159382</v>
      </c>
      <c r="I13" s="7">
        <f>VLOOKUP(A13,'2026-2027 projections'!B:AZ,29,FALSE)</f>
        <v>-0.6352083158723062</v>
      </c>
      <c r="J13" s="7">
        <f>VLOOKUP(A13,'2026-2027 projections'!B:AZ,30,FALSE)</f>
        <v>-1.1747546304525105</v>
      </c>
      <c r="K13" s="7">
        <f>VLOOKUP(A13,'2026-2027 projections'!B:AZ,31,FALSE)</f>
        <v>-0.75631759430035372</v>
      </c>
    </row>
    <row r="14" spans="1:11">
      <c r="A14" t="s">
        <v>93</v>
      </c>
      <c r="B14">
        <f>VLOOKUP(A14,'2026-2027 adp'!A:C,3,FALSE)</f>
        <v>40.4</v>
      </c>
      <c r="C14" s="7">
        <f>VLOOKUP(A14,'2026-2027 projections'!B:X,23,FALSE)</f>
        <v>0.1422023412341121</v>
      </c>
      <c r="D14" s="7">
        <f>VLOOKUP(A14,'2026-2027 projections'!B:AZ,24,FALSE)</f>
        <v>-6.3018339144539318E-2</v>
      </c>
      <c r="E14" s="7">
        <f>VLOOKUP(A14,'2026-2027 projections'!B:AZ,25,FALSE)</f>
        <v>-0.17588275840671705</v>
      </c>
      <c r="F14" s="7">
        <f>VLOOKUP(A14,'2026-2027 projections'!B:AZ,26,FALSE)</f>
        <v>0.85237055626043223</v>
      </c>
      <c r="G14" s="7">
        <f>VLOOKUP(A14,'2026-2027 projections'!B:AZ,27,FALSE)</f>
        <v>-0.20226748995258578</v>
      </c>
      <c r="H14" s="7">
        <f>VLOOKUP(A14,'2026-2027 projections'!B:AZ,28,FALSE)</f>
        <v>0.85231535383683532</v>
      </c>
      <c r="I14" s="7">
        <f>VLOOKUP(A14,'2026-2027 projections'!B:AZ,29,FALSE)</f>
        <v>1.4193620299491441</v>
      </c>
      <c r="J14" s="7">
        <f>VLOOKUP(A14,'2026-2027 projections'!B:AZ,30,FALSE)</f>
        <v>-0.15959693173817482</v>
      </c>
      <c r="K14" s="7">
        <f>VLOOKUP(A14,'2026-2027 projections'!B:AZ,31,FALSE)</f>
        <v>-0.34692844765482989</v>
      </c>
    </row>
    <row r="15" spans="1:11">
      <c r="A15" t="s">
        <v>66</v>
      </c>
      <c r="B15">
        <f>VLOOKUP(A15,'2026-2027 adp'!A:C,3,FALSE)</f>
        <v>30.4</v>
      </c>
      <c r="C15" s="7">
        <f>VLOOKUP(A15,'2026-2027 projections'!B:X,23,FALSE)</f>
        <v>1.2017193112467972</v>
      </c>
      <c r="D15" s="7">
        <f>VLOOKUP(A15,'2026-2027 projections'!B:AZ,24,FALSE)</f>
        <v>-0.33936883367371901</v>
      </c>
      <c r="E15" s="7">
        <f>VLOOKUP(A15,'2026-2027 projections'!B:AZ,25,FALSE)</f>
        <v>-0.28109833709644944</v>
      </c>
      <c r="F15" s="7">
        <f>VLOOKUP(A15,'2026-2027 projections'!B:AZ,26,FALSE)</f>
        <v>0.2655712041381536</v>
      </c>
      <c r="G15" s="7">
        <f>VLOOKUP(A15,'2026-2027 projections'!B:AZ,27,FALSE)</f>
        <v>1.4206341003629925</v>
      </c>
      <c r="H15" s="7">
        <f>VLOOKUP(A15,'2026-2027 projections'!B:AZ,28,FALSE)</f>
        <v>-0.90317684873125736</v>
      </c>
      <c r="I15" s="7">
        <f>VLOOKUP(A15,'2026-2027 projections'!B:AZ,29,FALSE)</f>
        <v>-0.92871836527537077</v>
      </c>
      <c r="J15" s="7">
        <f>VLOOKUP(A15,'2026-2027 projections'!B:AZ,30,FALSE)</f>
        <v>2.8858761644048321</v>
      </c>
      <c r="K15" s="7">
        <f>VLOOKUP(A15,'2026-2027 projections'!B:AZ,31,FALSE)</f>
        <v>0.19892374787253581</v>
      </c>
    </row>
    <row r="16" spans="1:11">
      <c r="A16" t="s">
        <v>102</v>
      </c>
      <c r="B16">
        <f>VLOOKUP(A16,'2026-2027 adp'!A:C,3,FALSE)</f>
        <v>12.1</v>
      </c>
      <c r="C16" s="7">
        <f>VLOOKUP(A16,'2026-2027 projections'!B:X,23,FALSE)</f>
        <v>-1.6383217058048037E-2</v>
      </c>
      <c r="D16" s="7">
        <f>VLOOKUP(A16,'2026-2027 projections'!B:AZ,24,FALSE)</f>
        <v>-0.12547447088388725</v>
      </c>
      <c r="E16" s="7">
        <f>VLOOKUP(A16,'2026-2027 projections'!B:AZ,25,FALSE)</f>
        <v>-0.17588275840671705</v>
      </c>
      <c r="F16" s="7">
        <f>VLOOKUP(A16,'2026-2027 projections'!B:AZ,26,FALSE)</f>
        <v>1.0416606698482642</v>
      </c>
      <c r="G16" s="7">
        <f>VLOOKUP(A16,'2026-2027 projections'!B:AZ,27,FALSE)</f>
        <v>1.8783755745545658</v>
      </c>
      <c r="H16" s="7">
        <f>VLOOKUP(A16,'2026-2027 projections'!B:AZ,28,FALSE)</f>
        <v>1.6784293315159382</v>
      </c>
      <c r="I16" s="7">
        <f>VLOOKUP(A16,'2026-2027 projections'!B:AZ,29,FALSE)</f>
        <v>1.1258519805460794</v>
      </c>
      <c r="J16" s="7">
        <f>VLOOKUP(A16,'2026-2027 projections'!B:AZ,30,FALSE)</f>
        <v>-0.15959693173817482</v>
      </c>
      <c r="K16" s="7">
        <f>VLOOKUP(A16,'2026-2027 projections'!B:AZ,31,FALSE)</f>
        <v>-1.984485034236926</v>
      </c>
    </row>
    <row r="17" spans="1:11">
      <c r="A17" t="s">
        <v>58</v>
      </c>
      <c r="B17">
        <f>VLOOKUP(A17,'2026-2027 adp'!A:C,3,FALSE)</f>
        <v>15.1</v>
      </c>
      <c r="C17" s="7">
        <f>VLOOKUP(A17,'2026-2027 projections'!B:X,23,FALSE)</f>
        <v>-0.14352739806021242</v>
      </c>
      <c r="D17" s="7">
        <f>VLOOKUP(A17,'2026-2027 projections'!B:AZ,24,FALSE)</f>
        <v>-6.3018339144539318E-2</v>
      </c>
      <c r="E17" s="7">
        <f>VLOOKUP(A17,'2026-2027 projections'!B:AZ,25,FALSE)</f>
        <v>-0.70196065185537848</v>
      </c>
      <c r="F17" s="7">
        <f>VLOOKUP(A17,'2026-2027 projections'!B:AZ,26,FALSE)</f>
        <v>0.66308044267260025</v>
      </c>
      <c r="G17" s="7">
        <f>VLOOKUP(A17,'2026-2027 projections'!B:AZ,27,FALSE)</f>
        <v>0.92127976488127628</v>
      </c>
      <c r="H17" s="7">
        <f>VLOOKUP(A17,'2026-2027 projections'!B:AZ,28,FALSE)</f>
        <v>1.2653723426763865</v>
      </c>
      <c r="I17" s="7">
        <f>VLOOKUP(A17,'2026-2027 projections'!B:AZ,29,FALSE)</f>
        <v>1.4193620299491441</v>
      </c>
      <c r="J17" s="7">
        <f>VLOOKUP(A17,'2026-2027 projections'!B:AZ,30,FALSE)</f>
        <v>1.2616238464618952</v>
      </c>
      <c r="K17" s="7">
        <f>VLOOKUP(A17,'2026-2027 projections'!B:AZ,31,FALSE)</f>
        <v>-1.3021697898277191</v>
      </c>
    </row>
    <row r="18" spans="1:11">
      <c r="A18" t="s">
        <v>118</v>
      </c>
      <c r="B18">
        <f>VLOOKUP(A18,'2026-2027 adp'!A:C,3,FALSE)</f>
        <v>30.3</v>
      </c>
      <c r="C18" s="7">
        <f>VLOOKUP(A18,'2026-2027 projections'!B:X,23,FALSE)</f>
        <v>0.17410327580483809</v>
      </c>
      <c r="D18" s="7">
        <f>VLOOKUP(A18,'2026-2027 projections'!B:AZ,24,FALSE)</f>
        <v>-0.52673722889176278</v>
      </c>
      <c r="E18" s="7">
        <f>VLOOKUP(A18,'2026-2027 projections'!B:AZ,25,FALSE)</f>
        <v>3.4548398972747453E-2</v>
      </c>
      <c r="F18" s="7">
        <f>VLOOKUP(A18,'2026-2027 projections'!B:AZ,26,FALSE)</f>
        <v>1.2688088061536631</v>
      </c>
      <c r="G18" s="7">
        <f>VLOOKUP(A18,'2026-2027 projections'!B:AZ,27,FALSE)</f>
        <v>5.7968164981294073E-3</v>
      </c>
      <c r="H18" s="7">
        <f>VLOOKUP(A18,'2026-2027 projections'!B:AZ,28,FALSE)</f>
        <v>-0.1286949946570988</v>
      </c>
      <c r="I18" s="7">
        <f>VLOOKUP(A18,'2026-2027 projections'!B:AZ,29,FALSE)</f>
        <v>0.24532183233688692</v>
      </c>
      <c r="J18" s="7">
        <f>VLOOKUP(A18,'2026-2027 projections'!B:AZ,30,FALSE)</f>
        <v>-0.36262847148104194</v>
      </c>
      <c r="K18" s="7">
        <f>VLOOKUP(A18,'2026-2027 projections'!B:AZ,31,FALSE)</f>
        <v>-0.89278064318219519</v>
      </c>
    </row>
    <row r="19" spans="1:11">
      <c r="A19" t="s">
        <v>171</v>
      </c>
      <c r="B19">
        <f>VLOOKUP(A19,'2026-2027 adp'!A:C,3,FALSE)</f>
        <v>23</v>
      </c>
      <c r="C19" s="7">
        <f>VLOOKUP(A19,'2026-2027 projections'!B:X,23,FALSE)</f>
        <v>-0.60744281366986197</v>
      </c>
      <c r="D19" s="7">
        <f>VLOOKUP(A19,'2026-2027 projections'!B:AZ,24,FALSE)</f>
        <v>-0.41950894379425363</v>
      </c>
      <c r="E19" s="7">
        <f>VLOOKUP(A19,'2026-2027 projections'!B:AZ,25,FALSE)</f>
        <v>0.13976397766247983</v>
      </c>
      <c r="F19" s="7">
        <f>VLOOKUP(A19,'2026-2027 projections'!B:AZ,26,FALSE)</f>
        <v>7.6281090550321687E-2</v>
      </c>
      <c r="G19" s="7">
        <f>VLOOKUP(A19,'2026-2027 projections'!B:AZ,27,FALSE)</f>
        <v>1.1709569326221343</v>
      </c>
      <c r="H19" s="7">
        <f>VLOOKUP(A19,'2026-2027 projections'!B:AZ,28,FALSE)</f>
        <v>2.4529111855900969</v>
      </c>
      <c r="I19" s="7">
        <f>VLOOKUP(A19,'2026-2027 projections'!B:AZ,29,FALSE)</f>
        <v>0.53883188173995089</v>
      </c>
      <c r="J19" s="7">
        <f>VLOOKUP(A19,'2026-2027 projections'!B:AZ,30,FALSE)</f>
        <v>-0.15959693173817482</v>
      </c>
      <c r="K19" s="7">
        <f>VLOOKUP(A19,'2026-2027 projections'!B:AZ,31,FALSE)</f>
        <v>-1.984485034236926</v>
      </c>
    </row>
    <row r="20" spans="1:11">
      <c r="A20" t="s">
        <v>122</v>
      </c>
      <c r="B20">
        <f>VLOOKUP(A20,'2026-2027 adp'!A:C,3,FALSE)</f>
        <v>50.2</v>
      </c>
      <c r="C20" s="7">
        <f>VLOOKUP(A20,'2026-2027 projections'!B:X,23,FALSE)</f>
        <v>0.65669969487619095</v>
      </c>
      <c r="D20" s="7">
        <f>VLOOKUP(A20,'2026-2027 projections'!B:AZ,24,FALSE)</f>
        <v>-1.2308764490005988</v>
      </c>
      <c r="E20" s="7">
        <f>VLOOKUP(A20,'2026-2027 projections'!B:AZ,25,FALSE)</f>
        <v>0.13976397766247983</v>
      </c>
      <c r="F20" s="7">
        <f>VLOOKUP(A20,'2026-2027 projections'!B:AZ,26,FALSE)</f>
        <v>1.3823828743063618</v>
      </c>
      <c r="G20" s="7">
        <f>VLOOKUP(A20,'2026-2027 projections'!B:AZ,27,FALSE)</f>
        <v>0.62998973585027496</v>
      </c>
      <c r="H20" s="7">
        <f>VLOOKUP(A20,'2026-2027 projections'!B:AZ,28,FALSE)</f>
        <v>7.7833499762676783E-2</v>
      </c>
      <c r="I20" s="7">
        <f>VLOOKUP(A20,'2026-2027 projections'!B:AZ,29,FALSE)</f>
        <v>0.24532183233688692</v>
      </c>
      <c r="J20" s="7">
        <f>VLOOKUP(A20,'2026-2027 projections'!B:AZ,30,FALSE)</f>
        <v>-0.36262847148104194</v>
      </c>
      <c r="K20" s="7">
        <f>VLOOKUP(A20,'2026-2027 projections'!B:AZ,31,FALSE)</f>
        <v>-7.4002349891146874E-2</v>
      </c>
    </row>
    <row r="21" spans="1:11">
      <c r="A21" t="s">
        <v>96</v>
      </c>
      <c r="B21">
        <f>VLOOKUP(A21,'2026-2027 adp'!A:C,3,FALSE)</f>
        <v>26.7</v>
      </c>
      <c r="C21" s="7">
        <f>VLOOKUP(A21,'2026-2027 projections'!B:X,23,FALSE)</f>
        <v>-0.53088057070012307</v>
      </c>
      <c r="D21" s="7">
        <f>VLOOKUP(A21,'2026-2027 projections'!B:AZ,24,FALSE)</f>
        <v>-0.25922872355317922</v>
      </c>
      <c r="E21" s="7">
        <f>VLOOKUP(A21,'2026-2027 projections'!B:AZ,25,FALSE)</f>
        <v>-0.28109833709644944</v>
      </c>
      <c r="F21" s="7">
        <f>VLOOKUP(A21,'2026-2027 projections'!B:AZ,26,FALSE)</f>
        <v>0.64415143131381747</v>
      </c>
      <c r="G21" s="7">
        <f>VLOOKUP(A21,'2026-2027 projections'!B:AZ,27,FALSE)</f>
        <v>1.7535369906841372</v>
      </c>
      <c r="H21" s="7">
        <f>VLOOKUP(A21,'2026-2027 projections'!B:AZ,28,FALSE)</f>
        <v>7.7833499762676783E-2</v>
      </c>
      <c r="I21" s="7">
        <f>VLOOKUP(A21,'2026-2027 projections'!B:AZ,29,FALSE)</f>
        <v>0.53883188173995089</v>
      </c>
      <c r="J21" s="7">
        <f>VLOOKUP(A21,'2026-2027 projections'!B:AZ,30,FALSE)</f>
        <v>4.3434608004692253E-2</v>
      </c>
      <c r="K21" s="7">
        <f>VLOOKUP(A21,'2026-2027 projections'!B:AZ,31,FALSE)</f>
        <v>-7.4002349891146874E-2</v>
      </c>
    </row>
    <row r="22" spans="1:11">
      <c r="A22" t="s">
        <v>84</v>
      </c>
      <c r="B22">
        <f>VLOOKUP(A22,'2026-2027 adp'!A:C,3,FALSE)</f>
        <v>45.1</v>
      </c>
      <c r="C22" s="7">
        <f>VLOOKUP(A22,'2026-2027 projections'!B:X,23,FALSE)</f>
        <v>-1.5913166552742719</v>
      </c>
      <c r="D22" s="7">
        <f>VLOOKUP(A22,'2026-2027 projections'!B:AZ,24,FALSE)</f>
        <v>0.66820905594127111</v>
      </c>
      <c r="E22" s="7">
        <f>VLOOKUP(A22,'2026-2027 projections'!B:AZ,25,FALSE)</f>
        <v>1.5075665006289996</v>
      </c>
      <c r="F22" s="7">
        <f>VLOOKUP(A22,'2026-2027 projections'!B:AZ,26,FALSE)</f>
        <v>0.11413911326788793</v>
      </c>
      <c r="G22" s="7">
        <f>VLOOKUP(A22,'2026-2027 projections'!B:AZ,27,FALSE)</f>
        <v>-0.49355751898358713</v>
      </c>
      <c r="H22" s="7">
        <f>VLOOKUP(A22,'2026-2027 projections'!B:AZ,28,FALSE)</f>
        <v>0.74905110662694752</v>
      </c>
      <c r="I22" s="7">
        <f>VLOOKUP(A22,'2026-2027 projections'!B:AZ,29,FALSE)</f>
        <v>0.24532183233688692</v>
      </c>
      <c r="J22" s="7">
        <f>VLOOKUP(A22,'2026-2027 projections'!B:AZ,30,FALSE)</f>
        <v>1.0585923067190279</v>
      </c>
      <c r="K22" s="7">
        <f>VLOOKUP(A22,'2026-2027 projections'!B:AZ,31,FALSE)</f>
        <v>0.19892374787253581</v>
      </c>
    </row>
    <row r="23" spans="1:11">
      <c r="A23" t="s">
        <v>111</v>
      </c>
      <c r="B23">
        <f>VLOOKUP(A23,'2026-2027 adp'!A:C,3,FALSE)</f>
        <v>51.8</v>
      </c>
      <c r="C23" s="7">
        <f>VLOOKUP(A23,'2026-2027 projections'!B:X,23,FALSE)</f>
        <v>-0.53042101341939263</v>
      </c>
      <c r="D23" s="7">
        <f>VLOOKUP(A23,'2026-2027 projections'!B:AZ,24,FALSE)</f>
        <v>1.1402077274739006</v>
      </c>
      <c r="E23" s="7">
        <f>VLOOKUP(A23,'2026-2027 projections'!B:AZ,25,FALSE)</f>
        <v>-7.066717971698469E-2</v>
      </c>
      <c r="F23" s="7">
        <f>VLOOKUP(A23,'2026-2027 projections'!B:AZ,26,FALSE)</f>
        <v>1.3823828743063618</v>
      </c>
      <c r="G23" s="7">
        <f>VLOOKUP(A23,'2026-2027 projections'!B:AZ,27,FALSE)</f>
        <v>-3.5816044792013849E-2</v>
      </c>
      <c r="H23" s="7">
        <f>VLOOKUP(A23,'2026-2027 projections'!B:AZ,28,FALSE)</f>
        <v>0.3359941177873963</v>
      </c>
      <c r="I23" s="7">
        <f>VLOOKUP(A23,'2026-2027 projections'!B:AZ,29,FALSE)</f>
        <v>0.53883188173995089</v>
      </c>
      <c r="J23" s="7">
        <f>VLOOKUP(A23,'2026-2027 projections'!B:AZ,30,FALSE)</f>
        <v>-0.56566001122390897</v>
      </c>
      <c r="K23" s="7">
        <f>VLOOKUP(A23,'2026-2027 projections'!B:AZ,31,FALSE)</f>
        <v>-0.34692844765482989</v>
      </c>
    </row>
    <row r="24" spans="1:11">
      <c r="A24" t="s">
        <v>237</v>
      </c>
      <c r="B24">
        <f>VLOOKUP(A24,'2026-2027 adp'!A:C,3,FALSE)</f>
        <v>65.2</v>
      </c>
      <c r="C24" s="7">
        <f>VLOOKUP(A24,'2026-2027 projections'!B:X,23,FALSE)</f>
        <v>0.41425259213868509</v>
      </c>
      <c r="D24" s="7">
        <f>VLOOKUP(A24,'2026-2027 projections'!B:AZ,24,FALSE)</f>
        <v>-0.94512175787563835</v>
      </c>
      <c r="E24" s="7">
        <f>VLOOKUP(A24,'2026-2027 projections'!B:AZ,25,FALSE)</f>
        <v>-1.1228229666143075</v>
      </c>
      <c r="F24" s="7">
        <f>VLOOKUP(A24,'2026-2027 projections'!B:AZ,26,FALSE)</f>
        <v>-0.77552442059492199</v>
      </c>
      <c r="G24" s="7">
        <f>VLOOKUP(A24,'2026-2027 projections'!B:AZ,27,FALSE)</f>
        <v>0.17224826165870133</v>
      </c>
      <c r="H24" s="7">
        <f>VLOOKUP(A24,'2026-2027 projections'!B:AZ,28,FALSE)</f>
        <v>0.54252261220717213</v>
      </c>
      <c r="I24" s="7">
        <f>VLOOKUP(A24,'2026-2027 projections'!B:AZ,29,FALSE)</f>
        <v>3.4739323757705947</v>
      </c>
      <c r="J24" s="7">
        <f>VLOOKUP(A24,'2026-2027 projections'!B:AZ,30,FALSE)</f>
        <v>-0.15959693173817482</v>
      </c>
      <c r="K24" s="7">
        <f>VLOOKUP(A24,'2026-2027 projections'!B:AZ,31,FALSE)</f>
        <v>0.19892374787253581</v>
      </c>
    </row>
    <row r="25" spans="1:11">
      <c r="A25" t="s">
        <v>80</v>
      </c>
      <c r="B25">
        <f>VLOOKUP(A25,'2026-2027 adp'!A:C,3,FALSE)</f>
        <v>20.8</v>
      </c>
      <c r="C25" s="7">
        <f>VLOOKUP(A25,'2026-2027 projections'!B:X,23,FALSE)</f>
        <v>-0.18772914917849662</v>
      </c>
      <c r="D25" s="7">
        <f>VLOOKUP(A25,'2026-2027 projections'!B:AZ,24,FALSE)</f>
        <v>1.3988742436218877</v>
      </c>
      <c r="E25" s="7">
        <f>VLOOKUP(A25,'2026-2027 projections'!B:AZ,25,FALSE)</f>
        <v>1.1919197645598023</v>
      </c>
      <c r="F25" s="7">
        <f>VLOOKUP(A25,'2026-2027 projections'!B:AZ,26,FALSE)</f>
        <v>1.3823828743063618</v>
      </c>
      <c r="G25" s="7">
        <f>VLOOKUP(A25,'2026-2027 projections'!B:AZ,27,FALSE)</f>
        <v>-0.66000896414415944</v>
      </c>
      <c r="H25" s="7">
        <f>VLOOKUP(A25,'2026-2027 projections'!B:AZ,28,FALSE)</f>
        <v>1.4719008370961624</v>
      </c>
      <c r="I25" s="7">
        <f>VLOOKUP(A25,'2026-2027 projections'!B:AZ,29,FALSE)</f>
        <v>0.24532183233688692</v>
      </c>
      <c r="J25" s="7">
        <f>VLOOKUP(A25,'2026-2027 projections'!B:AZ,30,FALSE)</f>
        <v>-0.56566001122390897</v>
      </c>
      <c r="K25" s="7">
        <f>VLOOKUP(A25,'2026-2027 projections'!B:AZ,31,FALSE)</f>
        <v>-0.34692844765482989</v>
      </c>
    </row>
    <row r="26" spans="1:11">
      <c r="A26" t="s">
        <v>520</v>
      </c>
      <c r="B26">
        <f>VLOOKUP(A26,'2026-2027 adp'!A:C,3,FALSE)</f>
        <v>10.199999999999999</v>
      </c>
      <c r="C26" s="7">
        <f>VLOOKUP(A26,'2026-2027 projections'!B:X,23,FALSE)</f>
        <v>-0.23831108721092201</v>
      </c>
      <c r="D26" s="7">
        <f>VLOOKUP(A26,'2026-2027 projections'!B:AZ,24,FALSE)</f>
        <v>0.64996287015489496</v>
      </c>
      <c r="E26" s="7">
        <f>VLOOKUP(A26,'2026-2027 projections'!B:AZ,25,FALSE)</f>
        <v>-0.38631391578618157</v>
      </c>
      <c r="F26" s="7">
        <f>VLOOKUP(A26,'2026-2027 projections'!B:AZ,26,FALSE)</f>
        <v>1.4013118856651452</v>
      </c>
      <c r="G26" s="7">
        <f>VLOOKUP(A26,'2026-2027 projections'!B:AZ,27,FALSE)</f>
        <v>0.67160259714041781</v>
      </c>
      <c r="H26" s="7">
        <f>VLOOKUP(A26,'2026-2027 projections'!B:AZ,28,FALSE)</f>
        <v>0.64578685941706004</v>
      </c>
      <c r="I26" s="7">
        <f>VLOOKUP(A26,'2026-2027 projections'!B:AZ,29,FALSE)</f>
        <v>0.83234193114301547</v>
      </c>
      <c r="J26" s="7">
        <f>VLOOKUP(A26,'2026-2027 projections'!B:AZ,30,FALSE)</f>
        <v>0.65252922723329376</v>
      </c>
      <c r="K26" s="7">
        <f>VLOOKUP(A26,'2026-2027 projections'!B:AZ,31,FALSE)</f>
        <v>-0.48339149653667135</v>
      </c>
    </row>
    <row r="27" spans="1:11">
      <c r="A27" t="s">
        <v>152</v>
      </c>
      <c r="B27">
        <f>VLOOKUP(A27,'2026-2027 adp'!A:C,3,FALSE)</f>
        <v>36.700000000000003</v>
      </c>
      <c r="C27" s="7">
        <f>VLOOKUP(A27,'2026-2027 projections'!B:X,23,FALSE)</f>
        <v>-0.59422288256084077</v>
      </c>
      <c r="D27" s="7">
        <f>VLOOKUP(A27,'2026-2027 projections'!B:AZ,24,FALSE)</f>
        <v>1.4613303753612388</v>
      </c>
      <c r="E27" s="7">
        <f>VLOOKUP(A27,'2026-2027 projections'!B:AZ,25,FALSE)</f>
        <v>1.6127820793187317</v>
      </c>
      <c r="F27" s="7">
        <f>VLOOKUP(A27,'2026-2027 projections'!B:AZ,26,FALSE)</f>
        <v>1.0795186925658311</v>
      </c>
      <c r="G27" s="7">
        <f>VLOOKUP(A27,'2026-2027 projections'!B:AZ,27,FALSE)</f>
        <v>-7.7428906082156745E-2</v>
      </c>
      <c r="H27" s="7">
        <f>VLOOKUP(A27,'2026-2027 projections'!B:AZ,28,FALSE)</f>
        <v>2.6201376157733058E-2</v>
      </c>
      <c r="I27" s="7">
        <f>VLOOKUP(A27,'2026-2027 projections'!B:AZ,29,FALSE)</f>
        <v>0.83234193114301547</v>
      </c>
      <c r="J27" s="7">
        <f>VLOOKUP(A27,'2026-2027 projections'!B:AZ,30,FALSE)</f>
        <v>-0.36262847148104194</v>
      </c>
      <c r="K27" s="7">
        <f>VLOOKUP(A27,'2026-2027 projections'!B:AZ,31,FALSE)</f>
        <v>-7.4002349891146874E-2</v>
      </c>
    </row>
    <row r="28" spans="1:11">
      <c r="A28" t="s">
        <v>78</v>
      </c>
      <c r="B28">
        <f>VLOOKUP(A28,'2026-2027 adp'!A:C,3,FALSE)</f>
        <v>53</v>
      </c>
      <c r="C28" s="7">
        <f>VLOOKUP(A28,'2026-2027 projections'!B:X,23,FALSE)</f>
        <v>2.2977864036572591E-3</v>
      </c>
      <c r="D28" s="7">
        <f>VLOOKUP(A28,'2026-2027 projections'!B:AZ,24,FALSE)</f>
        <v>1.452488386170645</v>
      </c>
      <c r="E28" s="7">
        <f>VLOOKUP(A28,'2026-2027 projections'!B:AZ,25,FALSE)</f>
        <v>0.56062629242140904</v>
      </c>
      <c r="F28" s="7">
        <f>VLOOKUP(A28,'2026-2027 projections'!B:AZ,26,FALSE)</f>
        <v>0.66308044267260025</v>
      </c>
      <c r="G28" s="7">
        <f>VLOOKUP(A28,'2026-2027 projections'!B:AZ,27,FALSE)</f>
        <v>-0.32710607382301482</v>
      </c>
      <c r="H28" s="7">
        <f>VLOOKUP(A28,'2026-2027 projections'!B:AZ,28,FALSE)</f>
        <v>0.49089048860222795</v>
      </c>
      <c r="I28" s="7">
        <f>VLOOKUP(A28,'2026-2027 projections'!B:AZ,29,FALSE)</f>
        <v>0.24532183233688692</v>
      </c>
      <c r="J28" s="7">
        <f>VLOOKUP(A28,'2026-2027 projections'!B:AZ,30,FALSE)</f>
        <v>-0.56566001122390897</v>
      </c>
      <c r="K28" s="7">
        <f>VLOOKUP(A28,'2026-2027 projections'!B:AZ,31,FALSE)</f>
        <v>-0.48339149653667135</v>
      </c>
    </row>
    <row r="29" spans="1:11">
      <c r="A29" t="s">
        <v>99</v>
      </c>
      <c r="B29">
        <f>VLOOKUP(A29,'2026-2027 adp'!A:C,3,FALSE)</f>
        <v>103.1</v>
      </c>
      <c r="C29" s="7">
        <f>VLOOKUP(A29,'2026-2027 projections'!B:X,23,FALSE)</f>
        <v>-0.32855281857041485</v>
      </c>
      <c r="D29" s="7">
        <f>VLOOKUP(A29,'2026-2027 projections'!B:AZ,24,FALSE)</f>
        <v>-0.43719292217544137</v>
      </c>
      <c r="E29" s="7">
        <f>VLOOKUP(A29,'2026-2027 projections'!B:AZ,25,FALSE)</f>
        <v>0.45541071373167669</v>
      </c>
      <c r="F29" s="7">
        <f>VLOOKUP(A29,'2026-2027 projections'!B:AZ,26,FALSE)</f>
        <v>-0.49158925021317412</v>
      </c>
      <c r="G29" s="7">
        <f>VLOOKUP(A29,'2026-2027 projections'!B:AZ,27,FALSE)</f>
        <v>4.7409677788272299E-2</v>
      </c>
      <c r="H29" s="7">
        <f>VLOOKUP(A29,'2026-2027 projections'!B:AZ,28,FALSE)</f>
        <v>-1.1097053431510329</v>
      </c>
      <c r="I29" s="7">
        <f>VLOOKUP(A29,'2026-2027 projections'!B:AZ,29,FALSE)</f>
        <v>-0.92871836527537077</v>
      </c>
      <c r="J29" s="7">
        <f>VLOOKUP(A29,'2026-2027 projections'!B:AZ,30,FALSE)</f>
        <v>2.276781545176231</v>
      </c>
      <c r="K29" s="7">
        <f>VLOOKUP(A29,'2026-2027 projections'!B:AZ,31,FALSE)</f>
        <v>0.60831289451805992</v>
      </c>
    </row>
    <row r="30" spans="1:11">
      <c r="A30" t="s">
        <v>123</v>
      </c>
      <c r="B30">
        <f>VLOOKUP(A30,'2026-2027 adp'!A:C,3,FALSE)</f>
        <v>23.6</v>
      </c>
      <c r="C30" s="7">
        <f>VLOOKUP(A30,'2026-2027 projections'!B:X,23,FALSE)</f>
        <v>-0.29573276943822469</v>
      </c>
      <c r="D30" s="7">
        <f>VLOOKUP(A30,'2026-2027 projections'!B:AZ,24,FALSE)</f>
        <v>1.9333290468938691</v>
      </c>
      <c r="E30" s="7">
        <f>VLOOKUP(A30,'2026-2027 projections'!B:AZ,25,FALSE)</f>
        <v>0.98148860718033804</v>
      </c>
      <c r="F30" s="7">
        <f>VLOOKUP(A30,'2026-2027 projections'!B:AZ,26,FALSE)</f>
        <v>1.6284600219705434</v>
      </c>
      <c r="G30" s="7">
        <f>VLOOKUP(A30,'2026-2027 projections'!B:AZ,27,FALSE)</f>
        <v>-0.45194465769344422</v>
      </c>
      <c r="H30" s="7">
        <f>VLOOKUP(A30,'2026-2027 projections'!B:AZ,28,FALSE)</f>
        <v>1.0588438482566112</v>
      </c>
      <c r="I30" s="7">
        <f>VLOOKUP(A30,'2026-2027 projections'!B:AZ,29,FALSE)</f>
        <v>0.24532183233688692</v>
      </c>
      <c r="J30" s="7">
        <f>VLOOKUP(A30,'2026-2027 projections'!B:AZ,30,FALSE)</f>
        <v>-0.76869155096677622</v>
      </c>
      <c r="K30" s="7">
        <f>VLOOKUP(A30,'2026-2027 projections'!B:AZ,31,FALSE)</f>
        <v>-1.5750958875914021</v>
      </c>
    </row>
    <row r="31" spans="1:11">
      <c r="A31" t="s">
        <v>165</v>
      </c>
      <c r="B31">
        <f>VLOOKUP(A31,'2026-2027 adp'!A:C,3,FALSE)</f>
        <v>40.299999999999997</v>
      </c>
      <c r="C31" s="7">
        <f>VLOOKUP(A31,'2026-2027 projections'!B:X,23,FALSE)</f>
        <v>-0.4041959469786901</v>
      </c>
      <c r="D31" s="7">
        <f>VLOOKUP(A31,'2026-2027 projections'!B:AZ,24,FALSE)</f>
        <v>-1.8808393191566408E-2</v>
      </c>
      <c r="E31" s="7">
        <f>VLOOKUP(A31,'2026-2027 projections'!B:AZ,25,FALSE)</f>
        <v>3.4548398972747453E-2</v>
      </c>
      <c r="F31" s="7">
        <f>VLOOKUP(A31,'2026-2027 projections'!B:AZ,26,FALSE)</f>
        <v>0.70093846539016724</v>
      </c>
      <c r="G31" s="7">
        <f>VLOOKUP(A31,'2026-2027 projections'!B:AZ,27,FALSE)</f>
        <v>0.46353829068970265</v>
      </c>
      <c r="H31" s="7">
        <f>VLOOKUP(A31,'2026-2027 projections'!B:AZ,28,FALSE)</f>
        <v>0.69741898302200378</v>
      </c>
      <c r="I31" s="7">
        <f>VLOOKUP(A31,'2026-2027 projections'!B:AZ,29,FALSE)</f>
        <v>-0.34169826646924195</v>
      </c>
      <c r="J31" s="7">
        <f>VLOOKUP(A31,'2026-2027 projections'!B:AZ,30,FALSE)</f>
        <v>-0.36262847148104194</v>
      </c>
      <c r="K31" s="7">
        <f>VLOOKUP(A31,'2026-2027 projections'!B:AZ,31,FALSE)</f>
        <v>-1.7115589364732435</v>
      </c>
    </row>
    <row r="32" spans="1:11">
      <c r="A32" t="s">
        <v>163</v>
      </c>
      <c r="B32">
        <f>VLOOKUP(A32,'2026-2027 adp'!A:C,3,FALSE)</f>
        <v>44.1</v>
      </c>
      <c r="C32" s="7">
        <f>VLOOKUP(A32,'2026-2027 projections'!B:X,23,FALSE)</f>
        <v>-1.6733399705966934</v>
      </c>
      <c r="D32" s="7">
        <f>VLOOKUP(A32,'2026-2027 projections'!B:AZ,24,FALSE)</f>
        <v>0.96224352885163678</v>
      </c>
      <c r="E32" s="7">
        <f>VLOOKUP(A32,'2026-2027 projections'!B:AZ,25,FALSE)</f>
        <v>1.8232132366981961</v>
      </c>
      <c r="F32" s="7">
        <f>VLOOKUP(A32,'2026-2027 projections'!B:AZ,26,FALSE)</f>
        <v>0.89022857897799912</v>
      </c>
      <c r="G32" s="7">
        <f>VLOOKUP(A32,'2026-2027 projections'!B:AZ,27,FALSE)</f>
        <v>-0.32710607382301482</v>
      </c>
      <c r="H32" s="7">
        <f>VLOOKUP(A32,'2026-2027 projections'!B:AZ,28,FALSE)</f>
        <v>-7.7062871052154841E-2</v>
      </c>
      <c r="I32" s="7">
        <f>VLOOKUP(A32,'2026-2027 projections'!B:AZ,29,FALSE)</f>
        <v>-4.818821706617768E-2</v>
      </c>
      <c r="J32" s="7">
        <f>VLOOKUP(A32,'2026-2027 projections'!B:AZ,30,FALSE)</f>
        <v>4.3434608004692253E-2</v>
      </c>
      <c r="K32" s="7">
        <f>VLOOKUP(A32,'2026-2027 projections'!B:AZ,31,FALSE)</f>
        <v>-1.0292436920640367</v>
      </c>
    </row>
    <row r="33" spans="1:11">
      <c r="A33" s="15" t="s">
        <v>56</v>
      </c>
      <c r="B33">
        <f>VLOOKUP(A33,'2026-2027 adp'!A:C,3,FALSE)</f>
        <v>36.799999999999997</v>
      </c>
      <c r="C33" s="7">
        <f>VLOOKUP(A33,'2026-2027 projections'!B:X,23,FALSE)</f>
        <v>-1.0891201181797536</v>
      </c>
      <c r="D33" s="7">
        <f>VLOOKUP(A33,'2026-2027 projections'!B:AZ,24,FALSE)</f>
        <v>1.4165582220030775</v>
      </c>
      <c r="E33" s="7">
        <f>VLOOKUP(A33,'2026-2027 projections'!B:AZ,25,FALSE)</f>
        <v>1.4023509219392671</v>
      </c>
      <c r="F33" s="7">
        <f>VLOOKUP(A33,'2026-2027 projections'!B:AZ,26,FALSE)</f>
        <v>1.4959569424590613</v>
      </c>
      <c r="G33" s="7">
        <f>VLOOKUP(A33,'2026-2027 projections'!B:AZ,27,FALSE)</f>
        <v>0.42192542939955979</v>
      </c>
      <c r="H33" s="7">
        <f>VLOOKUP(A33,'2026-2027 projections'!B:AZ,28,FALSE)</f>
        <v>-0.90317684873125736</v>
      </c>
      <c r="I33" s="7">
        <f>VLOOKUP(A33,'2026-2027 projections'!B:AZ,29,FALSE)</f>
        <v>-0.34169826646924195</v>
      </c>
      <c r="J33" s="7">
        <f>VLOOKUP(A33,'2026-2027 projections'!B:AZ,30,FALSE)</f>
        <v>-0.36262847148104194</v>
      </c>
      <c r="K33" s="7">
        <f>VLOOKUP(A33,'2026-2027 projections'!B:AZ,31,FALSE)</f>
        <v>0.47184984563621846</v>
      </c>
    </row>
    <row r="34" spans="1:11">
      <c r="A34" t="s">
        <v>48</v>
      </c>
      <c r="B34">
        <f>VLOOKUP(A34,'2026-2027 adp'!A:C,3,FALSE)</f>
        <v>103.8</v>
      </c>
      <c r="C34" s="7">
        <f>VLOOKUP(A34,'2026-2027 projections'!B:X,23,FALSE)</f>
        <v>-0.35999419586040721</v>
      </c>
      <c r="D34" s="7">
        <f>VLOOKUP(A34,'2026-2027 projections'!B:AZ,24,FALSE)</f>
        <v>0.35592839724452474</v>
      </c>
      <c r="E34" s="7">
        <f>VLOOKUP(A34,'2026-2027 projections'!B:AZ,25,FALSE)</f>
        <v>0.24497955635221194</v>
      </c>
      <c r="F34" s="7">
        <f>VLOOKUP(A34,'2026-2027 projections'!B:AZ,26,FALSE)</f>
        <v>0.11413911326788793</v>
      </c>
      <c r="G34" s="7">
        <f>VLOOKUP(A34,'2026-2027 projections'!B:AZ,27,FALSE)</f>
        <v>-7.7428906082156745E-2</v>
      </c>
      <c r="H34" s="7">
        <f>VLOOKUP(A34,'2026-2027 projections'!B:AZ,28,FALSE)</f>
        <v>-0.79991260152136945</v>
      </c>
      <c r="I34" s="7">
        <f>VLOOKUP(A34,'2026-2027 projections'!B:AZ,29,FALSE)</f>
        <v>-1.222228414678435</v>
      </c>
      <c r="J34" s="7">
        <f>VLOOKUP(A34,'2026-2027 projections'!B:AZ,30,FALSE)</f>
        <v>1.0585923067190279</v>
      </c>
      <c r="K34" s="7">
        <f>VLOOKUP(A34,'2026-2027 projections'!B:AZ,31,FALSE)</f>
        <v>0.88123899228174263</v>
      </c>
    </row>
    <row r="35" spans="1:11">
      <c r="A35" t="s">
        <v>88</v>
      </c>
      <c r="B35">
        <f>VLOOKUP(A35,'2026-2027 adp'!A:C,3,FALSE)</f>
        <v>70.099999999999994</v>
      </c>
      <c r="C35" s="7">
        <f>VLOOKUP(A35,'2026-2027 projections'!B:X,23,FALSE)</f>
        <v>2.8390759467622786</v>
      </c>
      <c r="D35" s="7">
        <f>VLOOKUP(A35,'2026-2027 projections'!B:AZ,24,FALSE)</f>
        <v>-1.1148061747124953</v>
      </c>
      <c r="E35" s="7">
        <f>VLOOKUP(A35,'2026-2027 projections'!B:AZ,25,FALSE)</f>
        <v>-1.7541164387527013</v>
      </c>
      <c r="F35" s="7">
        <f>VLOOKUP(A35,'2026-2027 projections'!B:AZ,26,FALSE)</f>
        <v>-0.39694419341925813</v>
      </c>
      <c r="G35" s="7">
        <f>VLOOKUP(A35,'2026-2027 projections'!B:AZ,27,FALSE)</f>
        <v>1.3374083777827066</v>
      </c>
      <c r="H35" s="7">
        <f>VLOOKUP(A35,'2026-2027 projections'!B:AZ,28,FALSE)</f>
        <v>-0.95480897233620121</v>
      </c>
      <c r="I35" s="7">
        <f>VLOOKUP(A35,'2026-2027 projections'!B:AZ,29,FALSE)</f>
        <v>-0.34169826646924195</v>
      </c>
      <c r="J35" s="7">
        <f>VLOOKUP(A35,'2026-2027 projections'!B:AZ,30,FALSE)</f>
        <v>0.24646614774755957</v>
      </c>
      <c r="K35" s="7">
        <f>VLOOKUP(A35,'2026-2027 projections'!B:AZ,31,FALSE)</f>
        <v>0.88123899228174263</v>
      </c>
    </row>
    <row r="36" spans="1:11">
      <c r="A36" t="s">
        <v>110</v>
      </c>
      <c r="B36">
        <f>VLOOKUP(A36,'2026-2027 adp'!A:C,3,FALSE)</f>
        <v>35.700000000000003</v>
      </c>
      <c r="C36" s="7">
        <f>VLOOKUP(A36,'2026-2027 projections'!B:X,23,FALSE)</f>
        <v>3.1949877421121982</v>
      </c>
      <c r="D36" s="7">
        <f>VLOOKUP(A36,'2026-2027 projections'!B:AZ,24,FALSE)</f>
        <v>-0.81192971261153613</v>
      </c>
      <c r="E36" s="7">
        <f>VLOOKUP(A36,'2026-2027 projections'!B:AZ,25,FALSE)</f>
        <v>-1.7541164387527013</v>
      </c>
      <c r="F36" s="7">
        <f>VLOOKUP(A36,'2026-2027 projections'!B:AZ,26,FALSE)</f>
        <v>0.34128724957328616</v>
      </c>
      <c r="G36" s="7">
        <f>VLOOKUP(A36,'2026-2027 projections'!B:AZ,27,FALSE)</f>
        <v>2.2528913261658534</v>
      </c>
      <c r="H36" s="7">
        <f>VLOOKUP(A36,'2026-2027 projections'!B:AZ,28,FALSE)</f>
        <v>-0.59338410710159395</v>
      </c>
      <c r="I36" s="7">
        <f>VLOOKUP(A36,'2026-2027 projections'!B:AZ,29,FALSE)</f>
        <v>-0.6352083158723062</v>
      </c>
      <c r="J36" s="7">
        <f>VLOOKUP(A36,'2026-2027 projections'!B:AZ,30,FALSE)</f>
        <v>0.44949768749042662</v>
      </c>
      <c r="K36" s="7">
        <f>VLOOKUP(A36,'2026-2027 projections'!B:AZ,31,FALSE)</f>
        <v>-7.4002349891146874E-2</v>
      </c>
    </row>
    <row r="37" spans="1:11">
      <c r="A37" t="s">
        <v>146</v>
      </c>
      <c r="B37">
        <f>VLOOKUP(A37,'2026-2027 adp'!A:C,3,FALSE)</f>
        <v>90.2</v>
      </c>
      <c r="C37" s="7">
        <f>VLOOKUP(A37,'2026-2027 projections'!B:X,23,FALSE)</f>
        <v>-0.92461393025418048</v>
      </c>
      <c r="D37" s="7">
        <f>VLOOKUP(A37,'2026-2027 projections'!B:AZ,24,FALSE)</f>
        <v>1.1225237490927118</v>
      </c>
      <c r="E37" s="7">
        <f>VLOOKUP(A37,'2026-2027 projections'!B:AZ,25,FALSE)</f>
        <v>1.0867041858700703</v>
      </c>
      <c r="F37" s="7">
        <f>VLOOKUP(A37,'2026-2027 projections'!B:AZ,26,FALSE)</f>
        <v>0.6820094540313838</v>
      </c>
      <c r="G37" s="7">
        <f>VLOOKUP(A37,'2026-2027 projections'!B:AZ,27,FALSE)</f>
        <v>-0.86807327059487438</v>
      </c>
      <c r="H37" s="7">
        <f>VLOOKUP(A37,'2026-2027 projections'!B:AZ,28,FALSE)</f>
        <v>0.54252261220717213</v>
      </c>
      <c r="I37" s="7">
        <f>VLOOKUP(A37,'2026-2027 projections'!B:AZ,29,FALSE)</f>
        <v>-0.6352083158723062</v>
      </c>
      <c r="J37" s="7">
        <f>VLOOKUP(A37,'2026-2027 projections'!B:AZ,30,FALSE)</f>
        <v>-0.97172309070964324</v>
      </c>
      <c r="K37" s="7">
        <f>VLOOKUP(A37,'2026-2027 projections'!B:AZ,31,FALSE)</f>
        <v>-0.89278064318219519</v>
      </c>
    </row>
    <row r="38" spans="1:11">
      <c r="A38" t="s">
        <v>929</v>
      </c>
      <c r="B38">
        <f>VLOOKUP(A38,'2026-2027 adp'!A:C,3,FALSE)</f>
        <v>101.8</v>
      </c>
      <c r="C38" s="7">
        <f>VLOOKUP(A38,'2026-2027 projections'!B:X,23,FALSE)</f>
        <v>0.57375726499230717</v>
      </c>
      <c r="D38" s="7">
        <f>VLOOKUP(A38,'2026-2027 projections'!B:AZ,24,FALSE)</f>
        <v>0.55213878165316654</v>
      </c>
      <c r="E38" s="7">
        <f>VLOOKUP(A38,'2026-2027 projections'!B:AZ,25,FALSE)</f>
        <v>1.2971353432495347</v>
      </c>
      <c r="F38" s="7">
        <f>VLOOKUP(A38,'2026-2027 projections'!B:AZ,26,FALSE)</f>
        <v>0.98487363577191511</v>
      </c>
      <c r="G38" s="7">
        <f>VLOOKUP(A38,'2026-2027 projections'!B:AZ,27,FALSE)</f>
        <v>-0.86807327059487438</v>
      </c>
      <c r="H38" s="7">
        <f>VLOOKUP(A38,'2026-2027 projections'!B:AZ,28,FALSE)</f>
        <v>-0.1286949946570988</v>
      </c>
      <c r="I38" s="7">
        <f>VLOOKUP(A38,'2026-2027 projections'!B:AZ,29,FALSE)</f>
        <v>-0.92871836527537077</v>
      </c>
      <c r="J38" s="7">
        <f>VLOOKUP(A38,'2026-2027 projections'!B:AZ,30,FALSE)</f>
        <v>-0.97172309070964324</v>
      </c>
      <c r="K38" s="7">
        <f>VLOOKUP(A38,'2026-2027 projections'!B:AZ,31,FALSE)</f>
        <v>-0.75631759430035372</v>
      </c>
    </row>
    <row r="39" spans="1:11">
      <c r="A39" t="s">
        <v>107</v>
      </c>
      <c r="B39">
        <f>VLOOKUP(A39,'2026-2027 adp'!A:C,3,FALSE)</f>
        <v>100.1</v>
      </c>
      <c r="C39" s="7">
        <f>VLOOKUP(A39,'2026-2027 projections'!B:X,23,FALSE)</f>
        <v>-1.0959598623746278</v>
      </c>
      <c r="D39" s="7">
        <f>VLOOKUP(A39,'2026-2027 projections'!B:AZ,24,FALSE)</f>
        <v>0.75719115525240099</v>
      </c>
      <c r="E39" s="7">
        <f>VLOOKUP(A39,'2026-2027 projections'!B:AZ,25,FALSE)</f>
        <v>0.35019513504194433</v>
      </c>
      <c r="F39" s="7">
        <f>VLOOKUP(A39,'2026-2027 projections'!B:AZ,26,FALSE)</f>
        <v>0.39807428364963587</v>
      </c>
      <c r="G39" s="7">
        <f>VLOOKUP(A39,'2026-2027 projections'!B:AZ,27,FALSE)</f>
        <v>0.29708684552913073</v>
      </c>
      <c r="H39" s="7">
        <f>VLOOKUP(A39,'2026-2027 projections'!B:AZ,28,FALSE)</f>
        <v>-0.1286949946570988</v>
      </c>
      <c r="I39" s="7">
        <f>VLOOKUP(A39,'2026-2027 projections'!B:AZ,29,FALSE)</f>
        <v>-1.222228414678435</v>
      </c>
      <c r="J39" s="7">
        <f>VLOOKUP(A39,'2026-2027 projections'!B:AZ,30,FALSE)</f>
        <v>-0.36262847148104194</v>
      </c>
      <c r="K39" s="7">
        <f>VLOOKUP(A39,'2026-2027 projections'!B:AZ,31,FALSE)</f>
        <v>0.19892374787253581</v>
      </c>
    </row>
    <row r="40" spans="1:11">
      <c r="A40" t="s">
        <v>385</v>
      </c>
      <c r="B40">
        <f>VLOOKUP(A40,'2026-2027 adp'!A:C,3,FALSE)</f>
        <v>108.1</v>
      </c>
      <c r="C40" s="7">
        <f>VLOOKUP(A40,'2026-2027 projections'!B:X,23,FALSE)</f>
        <v>0.27480759458896115</v>
      </c>
      <c r="D40" s="7">
        <f>VLOOKUP(A40,'2026-2027 projections'!B:AZ,24,FALSE)</f>
        <v>1.0512256281627668</v>
      </c>
      <c r="E40" s="7">
        <f>VLOOKUP(A40,'2026-2027 projections'!B:AZ,25,FALSE)</f>
        <v>-0.80717623054511067</v>
      </c>
      <c r="F40" s="7">
        <f>VLOOKUP(A40,'2026-2027 projections'!B:AZ,26,FALSE)</f>
        <v>5.7352079191538223E-2</v>
      </c>
      <c r="G40" s="7">
        <f>VLOOKUP(A40,'2026-2027 projections'!B:AZ,27,FALSE)</f>
        <v>-1.2425890222061617</v>
      </c>
      <c r="H40" s="7">
        <f>VLOOKUP(A40,'2026-2027 projections'!B:AZ,28,FALSE)</f>
        <v>-0.69664835431148175</v>
      </c>
      <c r="I40" s="7">
        <f>VLOOKUP(A40,'2026-2027 projections'!B:AZ,29,FALSE)</f>
        <v>-0.34169826646924195</v>
      </c>
      <c r="J40" s="7">
        <f>VLOOKUP(A40,'2026-2027 projections'!B:AZ,30,FALSE)</f>
        <v>-0.56566001122390897</v>
      </c>
      <c r="K40" s="7">
        <f>VLOOKUP(A40,'2026-2027 projections'!B:AZ,31,FALSE)</f>
        <v>1.1541650900454252</v>
      </c>
    </row>
    <row r="41" spans="1:11">
      <c r="A41" t="s">
        <v>119</v>
      </c>
      <c r="B41">
        <f>VLOOKUP(A41,'2026-2027 adp'!A:C,3,FALSE)</f>
        <v>68.599999999999994</v>
      </c>
      <c r="C41" s="7">
        <f>VLOOKUP(A41,'2026-2027 projections'!B:X,23,FALSE)</f>
        <v>-0.1754283326309361</v>
      </c>
      <c r="D41" s="7">
        <f>VLOOKUP(A41,'2026-2027 projections'!B:AZ,24,FALSE)</f>
        <v>-3.6492371572757892E-2</v>
      </c>
      <c r="E41" s="7">
        <f>VLOOKUP(A41,'2026-2027 projections'!B:AZ,25,FALSE)</f>
        <v>-0.17588275840671705</v>
      </c>
      <c r="F41" s="7">
        <f>VLOOKUP(A41,'2026-2027 projections'!B:AZ,26,FALSE)</f>
        <v>0.77665451082529968</v>
      </c>
      <c r="G41" s="7">
        <f>VLOOKUP(A41,'2026-2027 projections'!B:AZ,27,FALSE)</f>
        <v>0.50515115197984595</v>
      </c>
      <c r="H41" s="7">
        <f>VLOOKUP(A41,'2026-2027 projections'!B:AZ,28,FALSE)</f>
        <v>0.49089048860222795</v>
      </c>
      <c r="I41" s="7">
        <f>VLOOKUP(A41,'2026-2027 projections'!B:AZ,29,FALSE)</f>
        <v>-0.34169826646924195</v>
      </c>
      <c r="J41" s="7">
        <f>VLOOKUP(A41,'2026-2027 projections'!B:AZ,30,FALSE)</f>
        <v>-0.97172309070964324</v>
      </c>
      <c r="K41" s="7">
        <f>VLOOKUP(A41,'2026-2027 projections'!B:AZ,31,FALSE)</f>
        <v>-1.3021697898277191</v>
      </c>
    </row>
    <row r="42" spans="1:11">
      <c r="A42" t="s">
        <v>143</v>
      </c>
      <c r="B42">
        <f>VLOOKUP(A42,'2026-2027 adp'!A:C,3,FALSE)</f>
        <v>67.7</v>
      </c>
      <c r="C42" s="7">
        <f>VLOOKUP(A42,'2026-2027 projections'!B:X,23,FALSE)</f>
        <v>-6.1504082737792391E-2</v>
      </c>
      <c r="D42" s="7">
        <f>VLOOKUP(A42,'2026-2027 projections'!B:AZ,24,FALSE)</f>
        <v>0.40070055060268667</v>
      </c>
      <c r="E42" s="7">
        <f>VLOOKUP(A42,'2026-2027 projections'!B:AZ,25,FALSE)</f>
        <v>0.56062629242140904</v>
      </c>
      <c r="F42" s="7">
        <f>VLOOKUP(A42,'2026-2027 projections'!B:AZ,26,FALSE)</f>
        <v>0.1519971359854542</v>
      </c>
      <c r="G42" s="7">
        <f>VLOOKUP(A42,'2026-2027 projections'!B:AZ,27,FALSE)</f>
        <v>-0.36871893511315806</v>
      </c>
      <c r="H42" s="7">
        <f>VLOOKUP(A42,'2026-2027 projections'!B:AZ,28,FALSE)</f>
        <v>-0.79991260152136945</v>
      </c>
      <c r="I42" s="7">
        <f>VLOOKUP(A42,'2026-2027 projections'!B:AZ,29,FALSE)</f>
        <v>1.4193620299491441</v>
      </c>
      <c r="J42" s="7">
        <f>VLOOKUP(A42,'2026-2027 projections'!B:AZ,30,FALSE)</f>
        <v>0.24646614774755957</v>
      </c>
      <c r="K42" s="7">
        <f>VLOOKUP(A42,'2026-2027 projections'!B:AZ,31,FALSE)</f>
        <v>0.47184984563621846</v>
      </c>
    </row>
    <row r="43" spans="1:11">
      <c r="A43" t="s">
        <v>186</v>
      </c>
      <c r="B43">
        <f>VLOOKUP(A43,'2026-2027 adp'!A:C,3,FALSE)</f>
        <v>96</v>
      </c>
      <c r="C43" s="7">
        <f>VLOOKUP(A43,'2026-2027 projections'!B:X,23,FALSE)</f>
        <v>0.38235165756796036</v>
      </c>
      <c r="D43" s="7">
        <f>VLOOKUP(A43,'2026-2027 projections'!B:AZ,24,FALSE)</f>
        <v>-0.5173330322959796</v>
      </c>
      <c r="E43" s="7">
        <f>VLOOKUP(A43,'2026-2027 projections'!B:AZ,25,FALSE)</f>
        <v>-0.49152949447591393</v>
      </c>
      <c r="F43" s="7">
        <f>VLOOKUP(A43,'2026-2027 projections'!B:AZ,26,FALSE)</f>
        <v>-0.73766639787735577</v>
      </c>
      <c r="G43" s="7">
        <f>VLOOKUP(A43,'2026-2027 projections'!B:AZ,27,FALSE)</f>
        <v>0.96289262617141924</v>
      </c>
      <c r="H43" s="7">
        <f>VLOOKUP(A43,'2026-2027 projections'!B:AZ,28,FALSE)</f>
        <v>0.69741898302200378</v>
      </c>
      <c r="I43" s="7">
        <f>VLOOKUP(A43,'2026-2027 projections'!B:AZ,29,FALSE)</f>
        <v>0.83234193114301547</v>
      </c>
      <c r="J43" s="7">
        <f>VLOOKUP(A43,'2026-2027 projections'!B:AZ,30,FALSE)</f>
        <v>-0.76869155096677622</v>
      </c>
      <c r="K43" s="7">
        <f>VLOOKUP(A43,'2026-2027 projections'!B:AZ,31,FALSE)</f>
        <v>-7.4002349891146874E-2</v>
      </c>
    </row>
    <row r="44" spans="1:11">
      <c r="A44" t="s">
        <v>101</v>
      </c>
      <c r="B44">
        <f>VLOOKUP(A44,'2026-2027 adp'!A:C,3,FALSE)</f>
        <v>73.8</v>
      </c>
      <c r="C44" s="7">
        <f>VLOOKUP(A44,'2026-2027 projections'!B:X,23,FALSE)</f>
        <v>2.3309587800343445</v>
      </c>
      <c r="D44" s="7">
        <f>VLOOKUP(A44,'2026-2027 projections'!B:AZ,24,FALSE)</f>
        <v>-2</v>
      </c>
      <c r="E44" s="7">
        <f>VLOOKUP(A44,'2026-2027 projections'!B:AZ,25,FALSE)</f>
        <v>-1.7541164387527013</v>
      </c>
      <c r="F44" s="7">
        <f>VLOOKUP(A44,'2026-2027 projections'!B:AZ,26,FALSE)</f>
        <v>-0.87016947738883799</v>
      </c>
      <c r="G44" s="7">
        <f>VLOOKUP(A44,'2026-2027 projections'!B:AZ,27,FALSE)</f>
        <v>2.2528913261658534</v>
      </c>
      <c r="H44" s="7">
        <f>VLOOKUP(A44,'2026-2027 projections'!B:AZ,28,FALSE)</f>
        <v>-1.0064410959411452</v>
      </c>
      <c r="I44" s="7">
        <f>VLOOKUP(A44,'2026-2027 projections'!B:AZ,29,FALSE)</f>
        <v>-0.6352083158723062</v>
      </c>
      <c r="J44" s="7">
        <f>VLOOKUP(A44,'2026-2027 projections'!B:AZ,30,FALSE)</f>
        <v>1.6676869259476295</v>
      </c>
      <c r="K44" s="7">
        <f>VLOOKUP(A44,'2026-2027 projections'!B:AZ,31,FALSE)</f>
        <v>0.74477594339990116</v>
      </c>
    </row>
    <row r="45" spans="1:11">
      <c r="A45" t="s">
        <v>90</v>
      </c>
      <c r="B45">
        <f>VLOOKUP(A45,'2026-2027 adp'!A:C,3,FALSE)</f>
        <v>110.5</v>
      </c>
      <c r="C45" s="7" t="e">
        <f>VLOOKUP(A45,'2026-2027 projections'!B:X,23,FALSE)</f>
        <v>#N/A</v>
      </c>
      <c r="D45" s="7" t="e">
        <f>VLOOKUP(A45,'2026-2027 projections'!B:AZ,24,FALSE)</f>
        <v>#N/A</v>
      </c>
      <c r="E45" s="7" t="e">
        <f>VLOOKUP(A45,'2026-2027 projections'!B:AZ,25,FALSE)</f>
        <v>#N/A</v>
      </c>
      <c r="F45" s="7" t="e">
        <f>VLOOKUP(A45,'2026-2027 projections'!B:AZ,26,FALSE)</f>
        <v>#N/A</v>
      </c>
      <c r="G45" s="7" t="e">
        <f>VLOOKUP(A45,'2026-2027 projections'!B:AZ,27,FALSE)</f>
        <v>#N/A</v>
      </c>
      <c r="H45" s="7" t="e">
        <f>VLOOKUP(A45,'2026-2027 projections'!B:AZ,28,FALSE)</f>
        <v>#N/A</v>
      </c>
      <c r="I45" s="7" t="e">
        <f>VLOOKUP(A45,'2026-2027 projections'!B:AZ,29,FALSE)</f>
        <v>#N/A</v>
      </c>
      <c r="J45" s="7" t="e">
        <f>VLOOKUP(A45,'2026-2027 projections'!B:AZ,30,FALSE)</f>
        <v>#N/A</v>
      </c>
      <c r="K45" s="7" t="e">
        <f>VLOOKUP(A45,'2026-2027 projections'!B:AZ,31,FALSE)</f>
        <v>#N/A</v>
      </c>
    </row>
    <row r="46" spans="1:11">
      <c r="A46" t="s">
        <v>293</v>
      </c>
      <c r="B46">
        <f>VLOOKUP(A46,'2026-2027 adp'!A:C,3,FALSE)</f>
        <v>82.2</v>
      </c>
      <c r="C46" s="7">
        <f>VLOOKUP(A46,'2026-2027 projections'!B:X,23,FALSE)</f>
        <v>-0.4041959469786901</v>
      </c>
      <c r="D46" s="7">
        <f>VLOOKUP(A46,'2026-2027 projections'!B:AZ,24,FALSE)</f>
        <v>0.37417458303090395</v>
      </c>
      <c r="E46" s="7">
        <f>VLOOKUP(A46,'2026-2027 projections'!B:AZ,25,FALSE)</f>
        <v>1.6127820793187317</v>
      </c>
      <c r="F46" s="7">
        <f>VLOOKUP(A46,'2026-2027 projections'!B:AZ,26,FALSE)</f>
        <v>0.18985515870302044</v>
      </c>
      <c r="G46" s="7">
        <f>VLOOKUP(A46,'2026-2027 projections'!B:AZ,27,FALSE)</f>
        <v>-0.95129899317516053</v>
      </c>
      <c r="H46" s="7">
        <f>VLOOKUP(A46,'2026-2027 projections'!B:AZ,28,FALSE)</f>
        <v>0.54252261220717213</v>
      </c>
      <c r="I46" s="7">
        <f>VLOOKUP(A46,'2026-2027 projections'!B:AZ,29,FALSE)</f>
        <v>-0.6352083158723062</v>
      </c>
      <c r="J46" s="7">
        <f>VLOOKUP(A46,'2026-2027 projections'!B:AZ,30,FALSE)</f>
        <v>-0.97172309070964324</v>
      </c>
      <c r="K46" s="7">
        <f>VLOOKUP(A46,'2026-2027 projections'!B:AZ,31,FALSE)</f>
        <v>0.74477594339990116</v>
      </c>
    </row>
    <row r="47" spans="1:11">
      <c r="A47" t="s">
        <v>109</v>
      </c>
      <c r="B47">
        <f>VLOOKUP(A47,'2026-2027 adp'!A:C,3,FALSE)</f>
        <v>71.8</v>
      </c>
      <c r="C47" s="7">
        <f>VLOOKUP(A47,'2026-2027 projections'!B:X,23,FALSE)</f>
        <v>-0.28935258252408086</v>
      </c>
      <c r="D47" s="7">
        <f>VLOOKUP(A47,'2026-2027 projections'!B:AZ,24,FALSE)</f>
        <v>0.28463027631458254</v>
      </c>
      <c r="E47" s="7">
        <f>VLOOKUP(A47,'2026-2027 projections'!B:AZ,25,FALSE)</f>
        <v>0.24497955635221194</v>
      </c>
      <c r="F47" s="7">
        <f>VLOOKUP(A47,'2026-2027 projections'!B:AZ,26,FALSE)</f>
        <v>1.0416606698482642</v>
      </c>
      <c r="G47" s="7">
        <f>VLOOKUP(A47,'2026-2027 projections'!B:AZ,27,FALSE)</f>
        <v>-7.7428906082156745E-2</v>
      </c>
      <c r="H47" s="7">
        <f>VLOOKUP(A47,'2026-2027 projections'!B:AZ,28,FALSE)</f>
        <v>0.12946562336762074</v>
      </c>
      <c r="I47" s="7">
        <f>VLOOKUP(A47,'2026-2027 projections'!B:AZ,29,FALSE)</f>
        <v>-0.6352083158723062</v>
      </c>
      <c r="J47" s="7">
        <f>VLOOKUP(A47,'2026-2027 projections'!B:AZ,30,FALSE)</f>
        <v>4.3434608004692253E-2</v>
      </c>
      <c r="K47" s="7">
        <f>VLOOKUP(A47,'2026-2027 projections'!B:AZ,31,FALSE)</f>
        <v>-1.1657067409458781</v>
      </c>
    </row>
    <row r="48" spans="1:11">
      <c r="A48" t="s">
        <v>131</v>
      </c>
      <c r="B48">
        <f>VLOOKUP(A48,'2026-2027 adp'!A:C,3,FALSE)</f>
        <v>62.2</v>
      </c>
      <c r="C48" s="7">
        <f>VLOOKUP(A48,'2026-2027 projections'!B:X,23,FALSE)</f>
        <v>-0.16266795880264584</v>
      </c>
      <c r="D48" s="7">
        <f>VLOOKUP(A48,'2026-2027 projections'!B:AZ,24,FALSE)</f>
        <v>0.61459491339251571</v>
      </c>
      <c r="E48" s="7">
        <f>VLOOKUP(A48,'2026-2027 projections'!B:AZ,25,FALSE)</f>
        <v>1.2971353432495347</v>
      </c>
      <c r="F48" s="7">
        <f>VLOOKUP(A48,'2026-2027 projections'!B:AZ,26,FALSE)</f>
        <v>0.79558352218408324</v>
      </c>
      <c r="G48" s="7">
        <f>VLOOKUP(A48,'2026-2027 projections'!B:AZ,27,FALSE)</f>
        <v>0.46353829068970265</v>
      </c>
      <c r="H48" s="7">
        <f>VLOOKUP(A48,'2026-2027 projections'!B:AZ,28,FALSE)</f>
        <v>-0.64501623070653791</v>
      </c>
      <c r="I48" s="7">
        <f>VLOOKUP(A48,'2026-2027 projections'!B:AZ,29,FALSE)</f>
        <v>-0.6352083158723062</v>
      </c>
      <c r="J48" s="7">
        <f>VLOOKUP(A48,'2026-2027 projections'!B:AZ,30,FALSE)</f>
        <v>-0.56566001122390897</v>
      </c>
      <c r="K48" s="7">
        <f>VLOOKUP(A48,'2026-2027 projections'!B:AZ,31,FALSE)</f>
        <v>-7.4002349891146874E-2</v>
      </c>
    </row>
    <row r="49" spans="1:11">
      <c r="A49" t="s">
        <v>169</v>
      </c>
      <c r="B49">
        <f>VLOOKUP(A49,'2026-2027 adp'!A:C,3,FALSE)</f>
        <v>110.7</v>
      </c>
      <c r="C49" s="7" t="e">
        <f>VLOOKUP(A49,'2026-2027 projections'!B:X,23,FALSE)</f>
        <v>#N/A</v>
      </c>
      <c r="D49" s="7" t="e">
        <f>VLOOKUP(A49,'2026-2027 projections'!B:AZ,24,FALSE)</f>
        <v>#N/A</v>
      </c>
      <c r="E49" s="7" t="e">
        <f>VLOOKUP(A49,'2026-2027 projections'!B:AZ,25,FALSE)</f>
        <v>#N/A</v>
      </c>
      <c r="F49" s="7" t="e">
        <f>VLOOKUP(A49,'2026-2027 projections'!B:AZ,26,FALSE)</f>
        <v>#N/A</v>
      </c>
      <c r="G49" s="7" t="e">
        <f>VLOOKUP(A49,'2026-2027 projections'!B:AZ,27,FALSE)</f>
        <v>#N/A</v>
      </c>
      <c r="H49" s="7" t="e">
        <f>VLOOKUP(A49,'2026-2027 projections'!B:AZ,28,FALSE)</f>
        <v>#N/A</v>
      </c>
      <c r="I49" s="7" t="e">
        <f>VLOOKUP(A49,'2026-2027 projections'!B:AZ,29,FALSE)</f>
        <v>#N/A</v>
      </c>
      <c r="J49" s="7" t="e">
        <f>VLOOKUP(A49,'2026-2027 projections'!B:AZ,30,FALSE)</f>
        <v>#N/A</v>
      </c>
      <c r="K49" s="7" t="e">
        <f>VLOOKUP(A49,'2026-2027 projections'!B:AZ,31,FALSE)</f>
        <v>#N/A</v>
      </c>
    </row>
    <row r="50" spans="1:11">
      <c r="A50" t="s">
        <v>241</v>
      </c>
      <c r="B50">
        <f>VLOOKUP(A50,'2026-2027 adp'!A:C,3,FALSE)</f>
        <v>115.4</v>
      </c>
      <c r="C50" s="7">
        <f>VLOOKUP(A50,'2026-2027 projections'!B:X,23,FALSE)</f>
        <v>-0.57600143637986922</v>
      </c>
      <c r="D50" s="7">
        <f>VLOOKUP(A50,'2026-2027 projections'!B:AZ,24,FALSE)</f>
        <v>0.12435005607350751</v>
      </c>
      <c r="E50" s="7">
        <f>VLOOKUP(A50,'2026-2027 projections'!B:AZ,25,FALSE)</f>
        <v>-0.38631391578618157</v>
      </c>
      <c r="F50" s="7">
        <f>VLOOKUP(A50,'2026-2027 projections'!B:AZ,26,FALSE)</f>
        <v>-0.43480221613682474</v>
      </c>
      <c r="G50" s="7">
        <f>VLOOKUP(A50,'2026-2027 projections'!B:AZ,27,FALSE)</f>
        <v>-1.0345247157554465</v>
      </c>
      <c r="H50" s="7">
        <f>VLOOKUP(A50,'2026-2027 projections'!B:AZ,28,FALSE)</f>
        <v>1.4202687134912186</v>
      </c>
      <c r="I50" s="7">
        <f>VLOOKUP(A50,'2026-2027 projections'!B:AZ,29,FALSE)</f>
        <v>0.24532183233688692</v>
      </c>
      <c r="J50" s="7">
        <f>VLOOKUP(A50,'2026-2027 projections'!B:AZ,30,FALSE)</f>
        <v>-0.97172309070964324</v>
      </c>
      <c r="K50" s="7">
        <f>VLOOKUP(A50,'2026-2027 projections'!B:AZ,31,FALSE)</f>
        <v>-0.34692844765482989</v>
      </c>
    </row>
    <row r="51" spans="1:11">
      <c r="A51" t="s">
        <v>159</v>
      </c>
      <c r="B51">
        <f>VLOOKUP(A51,'2026-2027 adp'!A:C,3,FALSE)</f>
        <v>96.1</v>
      </c>
      <c r="C51" s="7">
        <f>VLOOKUP(A51,'2026-2027 projections'!B:X,23,FALSE)</f>
        <v>-1.2167238564626508</v>
      </c>
      <c r="D51" s="7">
        <f>VLOOKUP(A51,'2026-2027 projections'!B:AZ,24,FALSE)</f>
        <v>0.68589303432245807</v>
      </c>
      <c r="E51" s="7">
        <f>VLOOKUP(A51,'2026-2027 projections'!B:AZ,25,FALSE)</f>
        <v>1.0867041858700703</v>
      </c>
      <c r="F51" s="7">
        <f>VLOOKUP(A51,'2026-2027 projections'!B:AZ,26,FALSE)</f>
        <v>0.32235823821450332</v>
      </c>
      <c r="G51" s="7">
        <f>VLOOKUP(A51,'2026-2027 projections'!B:AZ,27,FALSE)</f>
        <v>-0.66000896414415944</v>
      </c>
      <c r="H51" s="7">
        <f>VLOOKUP(A51,'2026-2027 projections'!B:AZ,28,FALSE)</f>
        <v>1.3170044662813307</v>
      </c>
      <c r="I51" s="7">
        <f>VLOOKUP(A51,'2026-2027 projections'!B:AZ,29,FALSE)</f>
        <v>0.53883188173995089</v>
      </c>
      <c r="J51" s="7">
        <f>VLOOKUP(A51,'2026-2027 projections'!B:AZ,30,FALSE)</f>
        <v>-1.1747546304525105</v>
      </c>
      <c r="K51" s="7">
        <f>VLOOKUP(A51,'2026-2027 projections'!B:AZ,31,FALSE)</f>
        <v>0.33538679675437699</v>
      </c>
    </row>
    <row r="52" spans="1:11">
      <c r="A52" t="s">
        <v>150</v>
      </c>
      <c r="B52">
        <f>VLOOKUP(A52,'2026-2027 adp'!A:C,3,FALSE)</f>
        <v>121.9</v>
      </c>
      <c r="C52" s="7">
        <f>VLOOKUP(A52,'2026-2027 projections'!B:X,23,FALSE)</f>
        <v>2.6613498277276846</v>
      </c>
      <c r="D52" s="7">
        <f>VLOOKUP(A52,'2026-2027 projections'!B:AZ,24,FALSE)</f>
        <v>-1.1413321422842793</v>
      </c>
      <c r="E52" s="7">
        <f>VLOOKUP(A52,'2026-2027 projections'!B:AZ,25,FALSE)</f>
        <v>-1.7541164387527013</v>
      </c>
      <c r="F52" s="7">
        <f>VLOOKUP(A52,'2026-2027 projections'!B:AZ,26,FALSE)</f>
        <v>-0.66195035244222289</v>
      </c>
      <c r="G52" s="7">
        <f>VLOOKUP(A52,'2026-2027 projections'!B:AZ,27,FALSE)</f>
        <v>1.046118348751705</v>
      </c>
      <c r="H52" s="7">
        <f>VLOOKUP(A52,'2026-2027 projections'!B:AZ,28,FALSE)</f>
        <v>-0.64501623070653791</v>
      </c>
      <c r="I52" s="7">
        <f>VLOOKUP(A52,'2026-2027 projections'!B:AZ,29,FALSE)</f>
        <v>-4.818821706617768E-2</v>
      </c>
      <c r="J52" s="7">
        <f>VLOOKUP(A52,'2026-2027 projections'!B:AZ,30,FALSE)</f>
        <v>0.65252922723329376</v>
      </c>
      <c r="K52" s="7">
        <f>VLOOKUP(A52,'2026-2027 projections'!B:AZ,31,FALSE)</f>
        <v>0.33538679675437699</v>
      </c>
    </row>
    <row r="53" spans="1:11">
      <c r="A53" t="s">
        <v>142</v>
      </c>
      <c r="B53">
        <f>VLOOKUP(A53,'2026-2027 adp'!A:C,3,FALSE)</f>
        <v>104.9</v>
      </c>
      <c r="C53" s="7">
        <f>VLOOKUP(A53,'2026-2027 projections'!B:X,23,FALSE)</f>
        <v>1.531191244378675</v>
      </c>
      <c r="D53" s="7">
        <f>VLOOKUP(A53,'2026-2027 projections'!B:AZ,24,FALSE)</f>
        <v>-1.2126302632142234</v>
      </c>
      <c r="E53" s="7">
        <f>VLOOKUP(A53,'2026-2027 projections'!B:AZ,25,FALSE)</f>
        <v>-1.7541164387527013</v>
      </c>
      <c r="F53" s="7">
        <f>VLOOKUP(A53,'2026-2027 projections'!B:AZ,26,FALSE)</f>
        <v>-1.0216015682591038</v>
      </c>
      <c r="G53" s="7">
        <f>VLOOKUP(A53,'2026-2027 projections'!B:AZ,27,FALSE)</f>
        <v>1.9199884358447095</v>
      </c>
      <c r="H53" s="7">
        <f>VLOOKUP(A53,'2026-2027 projections'!B:AZ,28,FALSE)</f>
        <v>7.7833499762676783E-2</v>
      </c>
      <c r="I53" s="7">
        <f>VLOOKUP(A53,'2026-2027 projections'!B:AZ,29,FALSE)</f>
        <v>-0.34169826646924195</v>
      </c>
      <c r="J53" s="7">
        <f>VLOOKUP(A53,'2026-2027 projections'!B:AZ,30,FALSE)</f>
        <v>0.65252922723329376</v>
      </c>
      <c r="K53" s="7">
        <f>VLOOKUP(A53,'2026-2027 projections'!B:AZ,31,FALSE)</f>
        <v>0.19892374787253581</v>
      </c>
    </row>
    <row r="54" spans="1:11">
      <c r="A54" t="s">
        <v>148</v>
      </c>
      <c r="B54">
        <f>VLOOKUP(A54,'2026-2027 adp'!A:C,3,FALSE)</f>
        <v>81.400000000000006</v>
      </c>
      <c r="C54" s="7">
        <f>VLOOKUP(A54,'2026-2027 projections'!B:X,23,FALSE)</f>
        <v>0.30032834224553839</v>
      </c>
      <c r="D54" s="7">
        <f>VLOOKUP(A54,'2026-2027 projections'!B:AZ,24,FALSE)</f>
        <v>0.16028022024107463</v>
      </c>
      <c r="E54" s="7">
        <f>VLOOKUP(A54,'2026-2027 projections'!B:AZ,25,FALSE)</f>
        <v>0.13976397766247983</v>
      </c>
      <c r="F54" s="7">
        <f>VLOOKUP(A54,'2026-2027 projections'!B:AZ,26,FALSE)</f>
        <v>-0.16979605711385998</v>
      </c>
      <c r="G54" s="7">
        <f>VLOOKUP(A54,'2026-2027 projections'!B:AZ,27,FALSE)</f>
        <v>-0.99291185446530361</v>
      </c>
      <c r="H54" s="7">
        <f>VLOOKUP(A54,'2026-2027 projections'!B:AZ,28,FALSE)</f>
        <v>-7.7062871052154841E-2</v>
      </c>
      <c r="I54" s="7">
        <f>VLOOKUP(A54,'2026-2027 projections'!B:AZ,29,FALSE)</f>
        <v>-4.818821706617768E-2</v>
      </c>
      <c r="J54" s="7">
        <f>VLOOKUP(A54,'2026-2027 projections'!B:AZ,30,FALSE)</f>
        <v>-0.15959693173817482</v>
      </c>
      <c r="K54" s="7">
        <f>VLOOKUP(A54,'2026-2027 projections'!B:AZ,31,FALSE)</f>
        <v>0.88123899228174263</v>
      </c>
    </row>
    <row r="55" spans="1:11">
      <c r="A55" t="s">
        <v>221</v>
      </c>
      <c r="B55">
        <f>VLOOKUP(A55,'2026-2027 adp'!A:C,3,FALSE)</f>
        <v>80.7</v>
      </c>
      <c r="C55" s="7">
        <f>VLOOKUP(A55,'2026-2027 projections'!B:X,23,FALSE)</f>
        <v>0.84580751589687997</v>
      </c>
      <c r="D55" s="7">
        <f>VLOOKUP(A55,'2026-2027 projections'!B:AZ,24,FALSE)</f>
        <v>-1.7564892630819844</v>
      </c>
      <c r="E55" s="7">
        <f>VLOOKUP(A55,'2026-2027 projections'!B:AZ,25,FALSE)</f>
        <v>-1.5436852813732367</v>
      </c>
      <c r="F55" s="7">
        <f>VLOOKUP(A55,'2026-2027 projections'!B:AZ,26,FALSE)</f>
        <v>-0.81338244331248866</v>
      </c>
      <c r="G55" s="7">
        <f>VLOOKUP(A55,'2026-2027 projections'!B:AZ,27,FALSE)</f>
        <v>0.29708684552913073</v>
      </c>
      <c r="H55" s="7">
        <f>VLOOKUP(A55,'2026-2027 projections'!B:AZ,28,FALSE)</f>
        <v>-0.23195924186698647</v>
      </c>
      <c r="I55" s="7">
        <f>VLOOKUP(A55,'2026-2027 projections'!B:AZ,29,FALSE)</f>
        <v>3.4739323757705947</v>
      </c>
      <c r="J55" s="7">
        <f>VLOOKUP(A55,'2026-2027 projections'!B:AZ,30,FALSE)</f>
        <v>0.65252922723329376</v>
      </c>
      <c r="K55" s="7">
        <f>VLOOKUP(A55,'2026-2027 projections'!B:AZ,31,FALSE)</f>
        <v>0.19892374787253581</v>
      </c>
    </row>
    <row r="56" spans="1:11">
      <c r="A56" s="15" t="s">
        <v>269</v>
      </c>
      <c r="B56">
        <f>VLOOKUP(A56,'2026-2027 adp'!A:C,3,FALSE)</f>
        <v>68.8</v>
      </c>
      <c r="C56" s="7">
        <f>VLOOKUP(A56,'2026-2027 projections'!B:X,23,FALSE)</f>
        <v>-1.2167238564626508</v>
      </c>
      <c r="D56" s="7">
        <f>VLOOKUP(A56,'2026-2027 projections'!B:AZ,24,FALSE)</f>
        <v>-1.0611920321637416</v>
      </c>
      <c r="E56" s="7">
        <f>VLOOKUP(A56,'2026-2027 projections'!B:AZ,25,FALSE)</f>
        <v>-0.17588275840671705</v>
      </c>
      <c r="F56" s="7">
        <f>VLOOKUP(A56,'2026-2027 projections'!B:AZ,26,FALSE)</f>
        <v>-9.4080011678727121E-2</v>
      </c>
      <c r="G56" s="7">
        <f>VLOOKUP(A56,'2026-2027 projections'!B:AZ,27,FALSE)</f>
        <v>0.71321545843056111</v>
      </c>
      <c r="H56" s="7">
        <f>VLOOKUP(A56,'2026-2027 projections'!B:AZ,28,FALSE)</f>
        <v>-0.49011985989170598</v>
      </c>
      <c r="I56" s="7">
        <f>VLOOKUP(A56,'2026-2027 projections'!B:AZ,29,FALSE)</f>
        <v>-0.6352083158723062</v>
      </c>
      <c r="J56" s="7">
        <f>VLOOKUP(A56,'2026-2027 projections'!B:AZ,30,FALSE)</f>
        <v>2.276781545176231</v>
      </c>
      <c r="K56" s="7">
        <f>VLOOKUP(A56,'2026-2027 projections'!B:AZ,31,FALSE)</f>
        <v>6.2460698990694306E-2</v>
      </c>
    </row>
    <row r="57" spans="1:11">
      <c r="A57" t="s">
        <v>289</v>
      </c>
      <c r="B57">
        <f>VLOOKUP(A57,'2026-2027 adp'!A:C,3,FALSE)</f>
        <v>76.2</v>
      </c>
      <c r="C57" s="7">
        <f>VLOOKUP(A57,'2026-2027 projections'!B:X,23,FALSE)</f>
        <v>1.0554345695021978</v>
      </c>
      <c r="D57" s="7">
        <f>VLOOKUP(A57,'2026-2027 projections'!B:AZ,24,FALSE)</f>
        <v>-0.32112264788733852</v>
      </c>
      <c r="E57" s="7">
        <f>VLOOKUP(A57,'2026-2027 projections'!B:AZ,25,FALSE)</f>
        <v>-0.59674507316564607</v>
      </c>
      <c r="F57" s="7">
        <f>VLOOKUP(A57,'2026-2027 projections'!B:AZ,26,FALSE)</f>
        <v>-0.54837628428952379</v>
      </c>
      <c r="G57" s="7">
        <f>VLOOKUP(A57,'2026-2027 projections'!B:AZ,27,FALSE)</f>
        <v>2.0032141584249952</v>
      </c>
      <c r="H57" s="7">
        <f>VLOOKUP(A57,'2026-2027 projections'!B:AZ,28,FALSE)</f>
        <v>-1.3162338375708085</v>
      </c>
      <c r="I57" s="7">
        <f>VLOOKUP(A57,'2026-2027 projections'!B:AZ,29,FALSE)</f>
        <v>-0.34169826646924195</v>
      </c>
      <c r="J57" s="7">
        <f>VLOOKUP(A57,'2026-2027 projections'!B:AZ,30,FALSE)</f>
        <v>1.464655386204762</v>
      </c>
      <c r="K57" s="7">
        <f>VLOOKUP(A57,'2026-2027 projections'!B:AZ,31,FALSE)</f>
        <v>1.0177020411635838</v>
      </c>
    </row>
    <row r="58" spans="1:11">
      <c r="A58" t="s">
        <v>272</v>
      </c>
      <c r="B58">
        <f>VLOOKUP(A58,'2026-2027 adp'!A:C,3,FALSE)</f>
        <v>43.5</v>
      </c>
      <c r="C58" s="7">
        <f>VLOOKUP(A58,'2026-2027 projections'!B:X,23,FALSE)</f>
        <v>0.62980027537741679</v>
      </c>
      <c r="D58" s="7">
        <f>VLOOKUP(A58,'2026-2027 projections'!B:AZ,24,FALSE)</f>
        <v>-1.0700340213543353</v>
      </c>
      <c r="E58" s="7">
        <f>VLOOKUP(A58,'2026-2027 projections'!B:AZ,25,FALSE)</f>
        <v>-0.59674507316564607</v>
      </c>
      <c r="F58" s="7">
        <f>VLOOKUP(A58,'2026-2027 projections'!B:AZ,26,FALSE)</f>
        <v>-0.85124046603005488</v>
      </c>
      <c r="G58" s="7">
        <f>VLOOKUP(A58,'2026-2027 projections'!B:AZ,27,FALSE)</f>
        <v>2.3777299100362828</v>
      </c>
      <c r="H58" s="7">
        <f>VLOOKUP(A58,'2026-2027 projections'!B:AZ,28,FALSE)</f>
        <v>-0.90317684873125736</v>
      </c>
      <c r="I58" s="7">
        <f>VLOOKUP(A58,'2026-2027 projections'!B:AZ,29,FALSE)</f>
        <v>-1.222228414678435</v>
      </c>
      <c r="J58" s="7">
        <f>VLOOKUP(A58,'2026-2027 projections'!B:AZ,30,FALSE)</f>
        <v>2.276781545176231</v>
      </c>
      <c r="K58" s="7">
        <f>VLOOKUP(A58,'2026-2027 projections'!B:AZ,31,FALSE)</f>
        <v>0.74477594339990116</v>
      </c>
    </row>
    <row r="59" spans="1:11">
      <c r="A59" t="s">
        <v>288</v>
      </c>
      <c r="B59">
        <f>VLOOKUP(A59,'2026-2027 adp'!A:C,3,FALSE)</f>
        <v>65.7</v>
      </c>
      <c r="C59" s="7">
        <f>VLOOKUP(A59,'2026-2027 projections'!B:X,23,FALSE)</f>
        <v>-0.58192206601328311</v>
      </c>
      <c r="D59" s="7">
        <f>VLOOKUP(A59,'2026-2027 projections'!B:AZ,24,FALSE)</f>
        <v>-0.22329855938561347</v>
      </c>
      <c r="E59" s="7">
        <f>VLOOKUP(A59,'2026-2027 projections'!B:AZ,25,FALSE)</f>
        <v>0.87627302849060573</v>
      </c>
      <c r="F59" s="7">
        <f>VLOOKUP(A59,'2026-2027 projections'!B:AZ,26,FALSE)</f>
        <v>0.2655712041381536</v>
      </c>
      <c r="G59" s="7">
        <f>VLOOKUP(A59,'2026-2027 projections'!B:AZ,27,FALSE)</f>
        <v>0.42192542939955979</v>
      </c>
      <c r="H59" s="7">
        <f>VLOOKUP(A59,'2026-2027 projections'!B:AZ,28,FALSE)</f>
        <v>-0.64501623070653791</v>
      </c>
      <c r="I59" s="7">
        <f>VLOOKUP(A59,'2026-2027 projections'!B:AZ,29,FALSE)</f>
        <v>-0.6352083158723062</v>
      </c>
      <c r="J59" s="7">
        <f>VLOOKUP(A59,'2026-2027 projections'!B:AZ,30,FALSE)</f>
        <v>2.073750005433364</v>
      </c>
      <c r="K59" s="7">
        <f>VLOOKUP(A59,'2026-2027 projections'!B:AZ,31,FALSE)</f>
        <v>-0.34692844765482989</v>
      </c>
    </row>
    <row r="60" spans="1:11">
      <c r="A60" t="s">
        <v>192</v>
      </c>
      <c r="B60">
        <f>VLOOKUP(A60,'2026-2027 adp'!A:C,3,FALSE)</f>
        <v>113.3</v>
      </c>
      <c r="C60" s="7">
        <f>VLOOKUP(A60,'2026-2027 projections'!B:X,23,FALSE)</f>
        <v>-1.7302331619509365E-2</v>
      </c>
      <c r="D60" s="7">
        <f>VLOOKUP(A60,'2026-2027 projections'!B:AZ,24,FALSE)</f>
        <v>1.095997781520929</v>
      </c>
      <c r="E60" s="7">
        <f>VLOOKUP(A60,'2026-2027 projections'!B:AZ,25,FALSE)</f>
        <v>0.77105744980087332</v>
      </c>
      <c r="F60" s="7">
        <f>VLOOKUP(A60,'2026-2027 projections'!B:AZ,26,FALSE)</f>
        <v>-5.6221988961160867E-2</v>
      </c>
      <c r="G60" s="7">
        <f>VLOOKUP(A60,'2026-2027 projections'!B:AZ,27,FALSE)</f>
        <v>-0.66000896414415944</v>
      </c>
      <c r="H60" s="7">
        <f>VLOOKUP(A60,'2026-2027 projections'!B:AZ,28,FALSE)</f>
        <v>-0.38685561268181834</v>
      </c>
      <c r="I60" s="7">
        <f>VLOOKUP(A60,'2026-2027 projections'!B:AZ,29,FALSE)</f>
        <v>-0.6352083158723062</v>
      </c>
      <c r="J60" s="7">
        <f>VLOOKUP(A60,'2026-2027 projections'!B:AZ,30,FALSE)</f>
        <v>-0.56566001122390897</v>
      </c>
      <c r="K60" s="7">
        <f>VLOOKUP(A60,'2026-2027 projections'!B:AZ,31,FALSE)</f>
        <v>0.74477594339990116</v>
      </c>
    </row>
    <row r="61" spans="1:11">
      <c r="A61" t="s">
        <v>276</v>
      </c>
      <c r="B61">
        <f>VLOOKUP(A61,'2026-2027 adp'!A:C,3,FALSE)</f>
        <v>119.6</v>
      </c>
      <c r="C61" s="7">
        <f>VLOOKUP(A61,'2026-2027 projections'!B:X,23,FALSE)</f>
        <v>1.315643561139942</v>
      </c>
      <c r="D61" s="7">
        <f>VLOOKUP(A61,'2026-2027 projections'!B:AZ,24,FALSE)</f>
        <v>4.4209945952971175E-2</v>
      </c>
      <c r="E61" s="7">
        <f>VLOOKUP(A61,'2026-2027 projections'!B:AZ,25,FALSE)</f>
        <v>-0.70196065185537848</v>
      </c>
      <c r="F61" s="7">
        <f>VLOOKUP(A61,'2026-2027 projections'!B:AZ,26,FALSE)</f>
        <v>-0.39694419341925813</v>
      </c>
      <c r="G61" s="7">
        <f>VLOOKUP(A61,'2026-2027 projections'!B:AZ,27,FALSE)</f>
        <v>-0.32710607382301482</v>
      </c>
      <c r="H61" s="7">
        <f>VLOOKUP(A61,'2026-2027 projections'!B:AZ,28,FALSE)</f>
        <v>-0.54175198349664999</v>
      </c>
      <c r="I61" s="7">
        <f>VLOOKUP(A61,'2026-2027 projections'!B:AZ,29,FALSE)</f>
        <v>-0.34169826646924195</v>
      </c>
      <c r="J61" s="7">
        <f>VLOOKUP(A61,'2026-2027 projections'!B:AZ,30,FALSE)</f>
        <v>-0.56566001122390897</v>
      </c>
      <c r="K61" s="7">
        <f>VLOOKUP(A61,'2026-2027 projections'!B:AZ,31,FALSE)</f>
        <v>1.1541650900454252</v>
      </c>
    </row>
    <row r="62" spans="1:11">
      <c r="A62" t="s">
        <v>197</v>
      </c>
      <c r="B62">
        <f>VLOOKUP(A62,'2026-2027 adp'!A:C,3,FALSE)</f>
        <v>140</v>
      </c>
      <c r="C62" s="7" t="e">
        <f>VLOOKUP(A62,'2026-2027 projections'!B:X,23,FALSE)</f>
        <v>#N/A</v>
      </c>
      <c r="D62" s="7" t="e">
        <f>VLOOKUP(A62,'2026-2027 projections'!B:AZ,24,FALSE)</f>
        <v>#N/A</v>
      </c>
      <c r="E62" s="7" t="e">
        <f>VLOOKUP(A62,'2026-2027 projections'!B:AZ,25,FALSE)</f>
        <v>#N/A</v>
      </c>
      <c r="F62" s="7" t="e">
        <f>VLOOKUP(A62,'2026-2027 projections'!B:AZ,26,FALSE)</f>
        <v>#N/A</v>
      </c>
      <c r="G62" s="7" t="e">
        <f>VLOOKUP(A62,'2026-2027 projections'!B:AZ,27,FALSE)</f>
        <v>#N/A</v>
      </c>
      <c r="H62" s="7" t="e">
        <f>VLOOKUP(A62,'2026-2027 projections'!B:AZ,28,FALSE)</f>
        <v>#N/A</v>
      </c>
      <c r="I62" s="7" t="e">
        <f>VLOOKUP(A62,'2026-2027 projections'!B:AZ,29,FALSE)</f>
        <v>#N/A</v>
      </c>
      <c r="J62" s="7" t="e">
        <f>VLOOKUP(A62,'2026-2027 projections'!B:AZ,30,FALSE)</f>
        <v>#N/A</v>
      </c>
      <c r="K62" s="7" t="e">
        <f>VLOOKUP(A62,'2026-2027 projections'!B:AZ,31,FALSE)</f>
        <v>#N/A</v>
      </c>
    </row>
    <row r="63" spans="1:11">
      <c r="A63" t="s">
        <v>238</v>
      </c>
      <c r="B63">
        <f>VLOOKUP(A63,'2026-2027 adp'!A:C,3,FALSE)</f>
        <v>116</v>
      </c>
      <c r="C63" s="7" t="e">
        <f>VLOOKUP(A63,'2026-2027 projections'!B:X,23,FALSE)</f>
        <v>#N/A</v>
      </c>
      <c r="D63" s="7" t="e">
        <f>VLOOKUP(A63,'2026-2027 projections'!B:AZ,24,FALSE)</f>
        <v>#N/A</v>
      </c>
      <c r="E63" s="7" t="e">
        <f>VLOOKUP(A63,'2026-2027 projections'!B:AZ,25,FALSE)</f>
        <v>#N/A</v>
      </c>
      <c r="F63" s="7" t="e">
        <f>VLOOKUP(A63,'2026-2027 projections'!B:AZ,26,FALSE)</f>
        <v>#N/A</v>
      </c>
      <c r="G63" s="7" t="e">
        <f>VLOOKUP(A63,'2026-2027 projections'!B:AZ,27,FALSE)</f>
        <v>#N/A</v>
      </c>
      <c r="H63" s="7" t="e">
        <f>VLOOKUP(A63,'2026-2027 projections'!B:AZ,28,FALSE)</f>
        <v>#N/A</v>
      </c>
      <c r="I63" s="7" t="e">
        <f>VLOOKUP(A63,'2026-2027 projections'!B:AZ,29,FALSE)</f>
        <v>#N/A</v>
      </c>
      <c r="J63" s="7" t="e">
        <f>VLOOKUP(A63,'2026-2027 projections'!B:AZ,30,FALSE)</f>
        <v>#N/A</v>
      </c>
      <c r="K63" s="7" t="e">
        <f>VLOOKUP(A63,'2026-2027 projections'!B:AZ,31,FALSE)</f>
        <v>#N/A</v>
      </c>
    </row>
    <row r="64" spans="1:11">
      <c r="A64" t="s">
        <v>928</v>
      </c>
      <c r="B64">
        <f>VLOOKUP(A64,'2026-2027 adp'!A:C,3,FALSE)</f>
        <v>109.1</v>
      </c>
      <c r="C64" s="7">
        <f>VLOOKUP(A64,'2026-2027 projections'!B:X,23,FALSE)</f>
        <v>-0.87357243494102133</v>
      </c>
      <c r="D64" s="7">
        <f>VLOOKUP(A64,'2026-2027 projections'!B:AZ,24,FALSE)</f>
        <v>-0.29459668031555697</v>
      </c>
      <c r="E64" s="7">
        <f>VLOOKUP(A64,'2026-2027 projections'!B:AZ,25,FALSE)</f>
        <v>1.0867041858700703</v>
      </c>
      <c r="F64" s="7">
        <f>VLOOKUP(A64,'2026-2027 projections'!B:AZ,26,FALSE)</f>
        <v>0.64415143131381747</v>
      </c>
      <c r="G64" s="7">
        <f>VLOOKUP(A64,'2026-2027 projections'!B:AZ,27,FALSE)</f>
        <v>-0.95129899317516053</v>
      </c>
      <c r="H64" s="7">
        <f>VLOOKUP(A64,'2026-2027 projections'!B:AZ,28,FALSE)</f>
        <v>0.12946562336762074</v>
      </c>
      <c r="I64" s="7">
        <f>VLOOKUP(A64,'2026-2027 projections'!B:AZ,29,FALSE)</f>
        <v>-0.6352083158723062</v>
      </c>
      <c r="J64" s="7">
        <f>VLOOKUP(A64,'2026-2027 projections'!B:AZ,30,FALSE)</f>
        <v>-0.56566001122390897</v>
      </c>
      <c r="K64" s="7">
        <f>VLOOKUP(A64,'2026-2027 projections'!B:AZ,31,FALSE)</f>
        <v>6.2460698990694306E-2</v>
      </c>
    </row>
    <row r="65" spans="1:11">
      <c r="A65" t="s">
        <v>167</v>
      </c>
      <c r="B65">
        <f>VLOOKUP(A65,'2026-2027 adp'!A:C,3,FALSE)</f>
        <v>106.9</v>
      </c>
      <c r="C65" s="7">
        <f>VLOOKUP(A65,'2026-2027 projections'!B:X,23,FALSE)</f>
        <v>-1.4391112838962579</v>
      </c>
      <c r="D65" s="7">
        <f>VLOOKUP(A65,'2026-2027 projections'!B:AZ,24,FALSE)</f>
        <v>0.73950717687121426</v>
      </c>
      <c r="E65" s="7">
        <f>VLOOKUP(A65,'2026-2027 projections'!B:AZ,25,FALSE)</f>
        <v>0.56062629242140904</v>
      </c>
      <c r="F65" s="7">
        <f>VLOOKUP(A65,'2026-2027 projections'!B:AZ,26,FALSE)</f>
        <v>-0.15086704575507684</v>
      </c>
      <c r="G65" s="7">
        <f>VLOOKUP(A65,'2026-2027 projections'!B:AZ,27,FALSE)</f>
        <v>-0.70162182543430229</v>
      </c>
      <c r="H65" s="7">
        <f>VLOOKUP(A65,'2026-2027 projections'!B:AZ,28,FALSE)</f>
        <v>0.64578685941706004</v>
      </c>
      <c r="I65" s="7">
        <f>VLOOKUP(A65,'2026-2027 projections'!B:AZ,29,FALSE)</f>
        <v>2.0063821287552726</v>
      </c>
      <c r="J65" s="7">
        <f>VLOOKUP(A65,'2026-2027 projections'!B:AZ,30,FALSE)</f>
        <v>0.24646614774755957</v>
      </c>
      <c r="K65" s="7">
        <f>VLOOKUP(A65,'2026-2027 projections'!B:AZ,31,FALSE)</f>
        <v>-1.3021697898277191</v>
      </c>
    </row>
    <row r="66" spans="1:11">
      <c r="A66" t="s">
        <v>325</v>
      </c>
      <c r="B66">
        <f>VLOOKUP(A66,'2026-2027 adp'!A:C,3,FALSE)</f>
        <v>112.7</v>
      </c>
      <c r="C66" s="7">
        <f>VLOOKUP(A66,'2026-2027 projections'!B:X,23,FALSE)</f>
        <v>-0.59514199712230398</v>
      </c>
      <c r="D66" s="7">
        <f>VLOOKUP(A66,'2026-2027 projections'!B:AZ,24,FALSE)</f>
        <v>-0.52617502148657358</v>
      </c>
      <c r="E66" s="7">
        <f>VLOOKUP(A66,'2026-2027 projections'!B:AZ,25,FALSE)</f>
        <v>0.56062629242140904</v>
      </c>
      <c r="F66" s="7">
        <f>VLOOKUP(A66,'2026-2027 projections'!B:AZ,26,FALSE)</f>
        <v>-0.62409232972465667</v>
      </c>
      <c r="G66" s="7">
        <f>VLOOKUP(A66,'2026-2027 projections'!B:AZ,27,FALSE)</f>
        <v>-7.7428906082156745E-2</v>
      </c>
      <c r="H66" s="7">
        <f>VLOOKUP(A66,'2026-2027 projections'!B:AZ,28,FALSE)</f>
        <v>-0.64501623070653791</v>
      </c>
      <c r="I66" s="7">
        <f>VLOOKUP(A66,'2026-2027 projections'!B:AZ,29,FALSE)</f>
        <v>0.83234193114301547</v>
      </c>
      <c r="J66" s="7">
        <f>VLOOKUP(A66,'2026-2027 projections'!B:AZ,30,FALSE)</f>
        <v>-0.36262847148104194</v>
      </c>
      <c r="K66" s="7">
        <f>VLOOKUP(A66,'2026-2027 projections'!B:AZ,31,FALSE)</f>
        <v>0.33538679675437699</v>
      </c>
    </row>
    <row r="67" spans="1:11">
      <c r="A67" t="s">
        <v>172</v>
      </c>
      <c r="B67">
        <f>VLOOKUP(A67,'2026-2027 adp'!A:C,3,FALSE)</f>
        <v>140</v>
      </c>
      <c r="C67" s="7">
        <f>VLOOKUP(A67,'2026-2027 projections'!B:X,23,FALSE)</f>
        <v>1.797320865649833</v>
      </c>
      <c r="D67" s="7">
        <f>VLOOKUP(A67,'2026-2027 projections'!B:AZ,24,FALSE)</f>
        <v>-1.150174131474873</v>
      </c>
      <c r="E67" s="7">
        <f>VLOOKUP(A67,'2026-2027 projections'!B:AZ,25,FALSE)</f>
        <v>-1.7541164387527013</v>
      </c>
      <c r="F67" s="7">
        <f>VLOOKUP(A67,'2026-2027 projections'!B:AZ,26,FALSE)</f>
        <v>-1.6273299317401657</v>
      </c>
      <c r="G67" s="7">
        <f>VLOOKUP(A67,'2026-2027 projections'!B:AZ,27,FALSE)</f>
        <v>0.33869970681927364</v>
      </c>
      <c r="H67" s="7">
        <f>VLOOKUP(A67,'2026-2027 projections'!B:AZ,28,FALSE)</f>
        <v>-0.79991260152136945</v>
      </c>
      <c r="I67" s="7">
        <f>VLOOKUP(A67,'2026-2027 projections'!B:AZ,29,FALSE)</f>
        <v>-1.5157384640814993</v>
      </c>
      <c r="J67" s="7">
        <f>VLOOKUP(A67,'2026-2027 projections'!B:AZ,30,FALSE)</f>
        <v>1.464655386204762</v>
      </c>
      <c r="K67" s="7">
        <f>VLOOKUP(A67,'2026-2027 projections'!B:AZ,31,FALSE)</f>
        <v>1.0177020411635838</v>
      </c>
    </row>
    <row r="68" spans="1:11">
      <c r="A68" t="s">
        <v>190</v>
      </c>
      <c r="B68">
        <f>VLOOKUP(A68,'2026-2027 adp'!A:C,3,FALSE)</f>
        <v>111</v>
      </c>
      <c r="C68" s="7">
        <f>VLOOKUP(A68,'2026-2027 projections'!B:X,23,FALSE)</f>
        <v>0.60473908500156837</v>
      </c>
      <c r="D68" s="7">
        <f>VLOOKUP(A68,'2026-2027 projections'!B:AZ,24,FALSE)</f>
        <v>-5.6220740518896767E-4</v>
      </c>
      <c r="E68" s="7">
        <f>VLOOKUP(A68,'2026-2027 projections'!B:AZ,25,FALSE)</f>
        <v>-7.066717971698469E-2</v>
      </c>
      <c r="F68" s="7">
        <f>VLOOKUP(A68,'2026-2027 projections'!B:AZ,26,FALSE)</f>
        <v>-0.11300902303751025</v>
      </c>
      <c r="G68" s="7">
        <f>VLOOKUP(A68,'2026-2027 projections'!B:AZ,27,FALSE)</f>
        <v>-0.20226748995258578</v>
      </c>
      <c r="H68" s="7">
        <f>VLOOKUP(A68,'2026-2027 projections'!B:AZ,28,FALSE)</f>
        <v>-0.33522348907687438</v>
      </c>
      <c r="I68" s="7">
        <f>VLOOKUP(A68,'2026-2027 projections'!B:AZ,29,FALSE)</f>
        <v>-1.5157384640814993</v>
      </c>
      <c r="J68" s="7">
        <f>VLOOKUP(A68,'2026-2027 projections'!B:AZ,30,FALSE)</f>
        <v>-0.76869155096677622</v>
      </c>
      <c r="K68" s="7">
        <f>VLOOKUP(A68,'2026-2027 projections'!B:AZ,31,FALSE)</f>
        <v>0.74477594339990116</v>
      </c>
    </row>
    <row r="69" spans="1:11">
      <c r="A69" t="s">
        <v>185</v>
      </c>
      <c r="B69">
        <f>VLOOKUP(A69,'2026-2027 adp'!A:C,3,FALSE)</f>
        <v>115.7</v>
      </c>
      <c r="C69" s="7">
        <f>VLOOKUP(A69,'2026-2027 projections'!B:X,23,FALSE)</f>
        <v>-0.62066274477888395</v>
      </c>
      <c r="D69" s="7">
        <f>VLOOKUP(A69,'2026-2027 projections'!B:AZ,24,FALSE)</f>
        <v>-4.4772153358160142E-2</v>
      </c>
      <c r="E69" s="7">
        <f>VLOOKUP(A69,'2026-2027 projections'!B:AZ,25,FALSE)</f>
        <v>-0.38631391578618157</v>
      </c>
      <c r="F69" s="7">
        <f>VLOOKUP(A69,'2026-2027 projections'!B:AZ,26,FALSE)</f>
        <v>-0.96481453418275398</v>
      </c>
      <c r="G69" s="7">
        <f>VLOOKUP(A69,'2026-2027 projections'!B:AZ,27,FALSE)</f>
        <v>0.17224826165870133</v>
      </c>
      <c r="H69" s="7">
        <f>VLOOKUP(A69,'2026-2027 projections'!B:AZ,28,FALSE)</f>
        <v>-1.1613374667559768</v>
      </c>
      <c r="I69" s="7">
        <f>VLOOKUP(A69,'2026-2027 projections'!B:AZ,29,FALSE)</f>
        <v>1.1258519805460794</v>
      </c>
      <c r="J69" s="7">
        <f>VLOOKUP(A69,'2026-2027 projections'!B:AZ,30,FALSE)</f>
        <v>-0.15959693173817482</v>
      </c>
      <c r="K69" s="7">
        <f>VLOOKUP(A69,'2026-2027 projections'!B:AZ,31,FALSE)</f>
        <v>0.88123899228174263</v>
      </c>
    </row>
    <row r="70" spans="1:11">
      <c r="A70" s="1" t="s">
        <v>279</v>
      </c>
      <c r="B70">
        <f>VLOOKUP(A70,'2026-2027 adp'!A:C,3,FALSE)</f>
        <v>120.7</v>
      </c>
      <c r="C70" s="7">
        <f>VLOOKUP(A70,'2026-2027 projections'!B:X,23,FALSE)</f>
        <v>-1.3060464732606789</v>
      </c>
      <c r="D70" s="7">
        <f>VLOOKUP(A70,'2026-2027 projections'!B:AZ,24,FALSE)</f>
        <v>1.7683978381188473E-2</v>
      </c>
      <c r="E70" s="7">
        <f>VLOOKUP(A70,'2026-2027 projections'!B:AZ,25,FALSE)</f>
        <v>0.98148860718033804</v>
      </c>
      <c r="F70" s="7">
        <f>VLOOKUP(A70,'2026-2027 projections'!B:AZ,26,FALSE)</f>
        <v>-0.64302134108343978</v>
      </c>
      <c r="G70" s="7">
        <f>VLOOKUP(A70,'2026-2027 projections'!B:AZ,27,FALSE)</f>
        <v>-1.1593632996258758</v>
      </c>
      <c r="H70" s="7">
        <f>VLOOKUP(A70,'2026-2027 projections'!B:AZ,28,FALSE)</f>
        <v>-0.18032711826204276</v>
      </c>
      <c r="I70" s="7">
        <f>VLOOKUP(A70,'2026-2027 projections'!B:AZ,29,FALSE)</f>
        <v>1.4193620299491441</v>
      </c>
      <c r="J70" s="7">
        <f>VLOOKUP(A70,'2026-2027 projections'!B:AZ,30,FALSE)</f>
        <v>4.3434608004692253E-2</v>
      </c>
      <c r="K70" s="7">
        <f>VLOOKUP(A70,'2026-2027 projections'!B:AZ,31,FALSE)</f>
        <v>0.47184984563621846</v>
      </c>
    </row>
    <row r="71" spans="1:11">
      <c r="A71" t="s">
        <v>104</v>
      </c>
      <c r="B71">
        <f>VLOOKUP(A71,'2026-2027 adp'!A:C,3,FALSE)</f>
        <v>111.8</v>
      </c>
      <c r="C71" s="7">
        <f>VLOOKUP(A71,'2026-2027 projections'!B:X,23,FALSE)</f>
        <v>-0.24606994596726178</v>
      </c>
      <c r="D71" s="7">
        <f>VLOOKUP(A71,'2026-2027 projections'!B:AZ,24,FALSE)</f>
        <v>0.45431469315144063</v>
      </c>
      <c r="E71" s="7">
        <f>VLOOKUP(A71,'2026-2027 projections'!B:AZ,25,FALSE)</f>
        <v>-0.59674507316564607</v>
      </c>
      <c r="F71" s="7">
        <f>VLOOKUP(A71,'2026-2027 projections'!B:AZ,26,FALSE)</f>
        <v>-0.73766639787735577</v>
      </c>
      <c r="G71" s="7">
        <f>VLOOKUP(A71,'2026-2027 projections'!B:AZ,27,FALSE)</f>
        <v>-0.32710607382301482</v>
      </c>
      <c r="H71" s="7">
        <f>VLOOKUP(A71,'2026-2027 projections'!B:AZ,28,FALSE)</f>
        <v>-0.79991260152136945</v>
      </c>
      <c r="I71" s="7">
        <f>VLOOKUP(A71,'2026-2027 projections'!B:AZ,29,FALSE)</f>
        <v>-0.34169826646924195</v>
      </c>
      <c r="J71" s="7">
        <f>VLOOKUP(A71,'2026-2027 projections'!B:AZ,30,FALSE)</f>
        <v>-0.36262847148104194</v>
      </c>
      <c r="K71" s="7">
        <f>VLOOKUP(A71,'2026-2027 projections'!B:AZ,31,FALSE)</f>
        <v>1.1541650900454252</v>
      </c>
    </row>
    <row r="72" spans="1:11">
      <c r="A72" t="s">
        <v>129</v>
      </c>
      <c r="B72">
        <f>VLOOKUP(A72,'2026-2027 adp'!A:C,3,FALSE)</f>
        <v>140</v>
      </c>
      <c r="C72" s="7">
        <f>VLOOKUP(A72,'2026-2027 projections'!B:X,23,FALSE)</f>
        <v>-1.2937456567131207</v>
      </c>
      <c r="D72" s="7">
        <f>VLOOKUP(A72,'2026-2027 projections'!B:AZ,24,FALSE)</f>
        <v>0.23157834117101753</v>
      </c>
      <c r="E72" s="7">
        <f>VLOOKUP(A72,'2026-2027 projections'!B:AZ,25,FALSE)</f>
        <v>-0.38631391578618157</v>
      </c>
      <c r="F72" s="7">
        <f>VLOOKUP(A72,'2026-2027 projections'!B:AZ,26,FALSE)</f>
        <v>-1.2676787159232854</v>
      </c>
      <c r="G72" s="7">
        <f>VLOOKUP(A72,'2026-2027 projections'!B:AZ,27,FALSE)</f>
        <v>-0.90968613188501746</v>
      </c>
      <c r="H72" s="7">
        <f>VLOOKUP(A72,'2026-2027 projections'!B:AZ,28,FALSE)</f>
        <v>-0.38685561268181834</v>
      </c>
      <c r="I72" s="7">
        <f>VLOOKUP(A72,'2026-2027 projections'!B:AZ,29,FALSE)</f>
        <v>1.7128720793522085</v>
      </c>
      <c r="J72" s="7">
        <f>VLOOKUP(A72,'2026-2027 projections'!B:AZ,30,FALSE)</f>
        <v>-0.36262847148104194</v>
      </c>
      <c r="K72" s="7">
        <f>VLOOKUP(A72,'2026-2027 projections'!B:AZ,31,FALSE)</f>
        <v>0.60831289451805992</v>
      </c>
    </row>
    <row r="73" spans="1:11">
      <c r="A73" t="s">
        <v>156</v>
      </c>
      <c r="B73">
        <f>VLOOKUP(A73,'2026-2027 adp'!A:C,3,FALSE)</f>
        <v>93.1</v>
      </c>
      <c r="C73" s="7">
        <f>VLOOKUP(A73,'2026-2027 projections'!B:X,23,FALSE)</f>
        <v>-0.89317255296418774</v>
      </c>
      <c r="D73" s="7">
        <f>VLOOKUP(A73,'2026-2027 projections'!B:AZ,24,FALSE)</f>
        <v>-0.16084242764626422</v>
      </c>
      <c r="E73" s="7">
        <f>VLOOKUP(A73,'2026-2027 projections'!B:AZ,25,FALSE)</f>
        <v>0.56062629242140904</v>
      </c>
      <c r="F73" s="7">
        <f>VLOOKUP(A73,'2026-2027 projections'!B:AZ,26,FALSE)</f>
        <v>-9.4080011678727121E-2</v>
      </c>
      <c r="G73" s="7">
        <f>VLOOKUP(A73,'2026-2027 projections'!B:AZ,27,FALSE)</f>
        <v>0.75482831972070397</v>
      </c>
      <c r="H73" s="7">
        <f>VLOOKUP(A73,'2026-2027 projections'!B:AZ,28,FALSE)</f>
        <v>-1.0580732195460889</v>
      </c>
      <c r="I73" s="7">
        <f>VLOOKUP(A73,'2026-2027 projections'!B:AZ,29,FALSE)</f>
        <v>-0.92871836527537077</v>
      </c>
      <c r="J73" s="7">
        <f>VLOOKUP(A73,'2026-2027 projections'!B:AZ,30,FALSE)</f>
        <v>0.44949768749042662</v>
      </c>
      <c r="K73" s="7">
        <f>VLOOKUP(A73,'2026-2027 projections'!B:AZ,31,FALSE)</f>
        <v>0.74477594339990116</v>
      </c>
    </row>
    <row r="74" spans="1:11">
      <c r="A74" t="s">
        <v>386</v>
      </c>
      <c r="B74" t="e">
        <f>VLOOKUP(A74,'2026-2027 adp'!A:C,3,FALSE)</f>
        <v>#N/A</v>
      </c>
      <c r="C74" s="7" t="e">
        <f>VLOOKUP(A74,'2026-2027 projections'!B:X,23,FALSE)</f>
        <v>#N/A</v>
      </c>
      <c r="D74" s="7" t="e">
        <f>VLOOKUP(A74,'2026-2027 projections'!B:AZ,24,FALSE)</f>
        <v>#N/A</v>
      </c>
      <c r="E74" s="7" t="e">
        <f>VLOOKUP(A74,'2026-2027 projections'!B:AZ,25,FALSE)</f>
        <v>#N/A</v>
      </c>
      <c r="F74" s="7" t="e">
        <f>VLOOKUP(A74,'2026-2027 projections'!B:AZ,26,FALSE)</f>
        <v>#N/A</v>
      </c>
      <c r="G74" s="7" t="e">
        <f>VLOOKUP(A74,'2026-2027 projections'!B:AZ,27,FALSE)</f>
        <v>#N/A</v>
      </c>
      <c r="H74" s="7" t="e">
        <f>VLOOKUP(A74,'2026-2027 projections'!B:AZ,28,FALSE)</f>
        <v>#N/A</v>
      </c>
      <c r="I74" s="7" t="e">
        <f>VLOOKUP(A74,'2026-2027 projections'!B:AZ,29,FALSE)</f>
        <v>#N/A</v>
      </c>
      <c r="J74" s="7" t="e">
        <f>VLOOKUP(A74,'2026-2027 projections'!B:AZ,30,FALSE)</f>
        <v>#N/A</v>
      </c>
      <c r="K74" s="7" t="e">
        <f>VLOOKUP(A74,'2026-2027 projections'!B:AZ,31,FALSE)</f>
        <v>#N/A</v>
      </c>
    </row>
    <row r="75" spans="1:11">
      <c r="A75" t="s">
        <v>821</v>
      </c>
      <c r="B75">
        <f>VLOOKUP(A75,'2026-2027 adp'!A:C,3,FALSE)</f>
        <v>116.9</v>
      </c>
      <c r="C75" s="7">
        <f>VLOOKUP(A75,'2026-2027 projections'!B:X,23,FALSE)</f>
        <v>-0.88679236605004319</v>
      </c>
      <c r="D75" s="7">
        <f>VLOOKUP(A75,'2026-2027 projections'!B:AZ,24,FALSE)</f>
        <v>-0.46371888974722508</v>
      </c>
      <c r="E75" s="7">
        <f>VLOOKUP(A75,'2026-2027 projections'!B:AZ,25,FALSE)</f>
        <v>0.24497955635221194</v>
      </c>
      <c r="F75" s="7">
        <f>VLOOKUP(A75,'2026-2027 projections'!B:AZ,26,FALSE)</f>
        <v>-0.3401571593429088</v>
      </c>
      <c r="G75" s="7">
        <f>VLOOKUP(A75,'2026-2027 projections'!B:AZ,27,FALSE)</f>
        <v>-0.57678324156387328</v>
      </c>
      <c r="H75" s="7">
        <f>VLOOKUP(A75,'2026-2027 projections'!B:AZ,28,FALSE)</f>
        <v>-0.90317684873125736</v>
      </c>
      <c r="I75" s="7">
        <f>VLOOKUP(A75,'2026-2027 projections'!B:AZ,29,FALSE)</f>
        <v>-0.34169826646924195</v>
      </c>
      <c r="J75" s="7">
        <f>VLOOKUP(A75,'2026-2027 projections'!B:AZ,30,FALSE)</f>
        <v>4.3434608004692253E-2</v>
      </c>
      <c r="K75" s="7">
        <f>VLOOKUP(A75,'2026-2027 projections'!B:AZ,31,FALSE)</f>
        <v>0.47184984563621846</v>
      </c>
    </row>
    <row r="76" spans="1:11">
      <c r="A76" t="s">
        <v>181</v>
      </c>
      <c r="B76">
        <f>VLOOKUP(A76,'2026-2027 adp'!A:C,3,FALSE)</f>
        <v>110.4</v>
      </c>
      <c r="C76" s="7">
        <f>VLOOKUP(A76,'2026-2027 projections'!B:X,23,FALSE)</f>
        <v>-0.47437800303428357</v>
      </c>
      <c r="D76" s="7">
        <f>VLOOKUP(A76,'2026-2027 projections'!B:AZ,24,FALSE)</f>
        <v>0.66820905594127111</v>
      </c>
      <c r="E76" s="7">
        <f>VLOOKUP(A76,'2026-2027 projections'!B:AZ,25,FALSE)</f>
        <v>0.77105744980087332</v>
      </c>
      <c r="F76" s="7">
        <f>VLOOKUP(A76,'2026-2027 projections'!B:AZ,26,FALSE)</f>
        <v>-0.26444111390777592</v>
      </c>
      <c r="G76" s="7">
        <f>VLOOKUP(A76,'2026-2027 projections'!B:AZ,27,FALSE)</f>
        <v>-0.45194465769344422</v>
      </c>
      <c r="H76" s="7">
        <f>VLOOKUP(A76,'2026-2027 projections'!B:AZ,28,FALSE)</f>
        <v>-0.95480897233620121</v>
      </c>
      <c r="I76" s="7">
        <f>VLOOKUP(A76,'2026-2027 projections'!B:AZ,29,FALSE)</f>
        <v>-0.6352083158723062</v>
      </c>
      <c r="J76" s="7">
        <f>VLOOKUP(A76,'2026-2027 projections'!B:AZ,30,FALSE)</f>
        <v>-0.36262847148104194</v>
      </c>
      <c r="K76" s="7">
        <f>VLOOKUP(A76,'2026-2027 projections'!B:AZ,31,FALSE)</f>
        <v>0.74477594339990116</v>
      </c>
    </row>
    <row r="77" spans="1:11">
      <c r="A77" t="s">
        <v>245</v>
      </c>
      <c r="B77">
        <f>VLOOKUP(A77,'2026-2027 adp'!A:C,3,FALSE)</f>
        <v>108.4</v>
      </c>
      <c r="C77" s="7">
        <f>VLOOKUP(A77,'2026-2027 projections'!B:X,23,FALSE)</f>
        <v>1.6956974323042473</v>
      </c>
      <c r="D77" s="7">
        <f>VLOOKUP(A77,'2026-2027 projections'!B:AZ,24,FALSE)</f>
        <v>-2</v>
      </c>
      <c r="E77" s="7">
        <f>VLOOKUP(A77,'2026-2027 projections'!B:AZ,25,FALSE)</f>
        <v>-1.7541164387527013</v>
      </c>
      <c r="F77" s="7">
        <f>VLOOKUP(A77,'2026-2027 projections'!B:AZ,26,FALSE)</f>
        <v>-1.7409039998928653</v>
      </c>
      <c r="G77" s="7">
        <f>VLOOKUP(A77,'2026-2027 projections'!B:AZ,27,FALSE)</f>
        <v>1.7119241293939942</v>
      </c>
      <c r="H77" s="7">
        <f>VLOOKUP(A77,'2026-2027 projections'!B:AZ,28,FALSE)</f>
        <v>-1.3678659611757524</v>
      </c>
      <c r="I77" s="7">
        <f>VLOOKUP(A77,'2026-2027 projections'!B:AZ,29,FALSE)</f>
        <v>0.24532183233688692</v>
      </c>
      <c r="J77" s="7">
        <f>VLOOKUP(A77,'2026-2027 projections'!B:AZ,30,FALSE)</f>
        <v>1.464655386204762</v>
      </c>
      <c r="K77" s="7">
        <f>VLOOKUP(A77,'2026-2027 projections'!B:AZ,31,FALSE)</f>
        <v>1.4270911878091079</v>
      </c>
    </row>
    <row r="78" spans="1:11">
      <c r="A78" t="s">
        <v>235</v>
      </c>
      <c r="B78">
        <f>VLOOKUP(A78,'2026-2027 adp'!A:C,3,FALSE)</f>
        <v>140</v>
      </c>
      <c r="C78" s="7">
        <f>VLOOKUP(A78,'2026-2027 projections'!B:X,23,FALSE)</f>
        <v>1.6578758681001093</v>
      </c>
      <c r="D78" s="7">
        <f>VLOOKUP(A78,'2026-2027 projections'!B:AZ,24,FALSE)</f>
        <v>-1.5514368894827504</v>
      </c>
      <c r="E78" s="7">
        <f>VLOOKUP(A78,'2026-2027 projections'!B:AZ,25,FALSE)</f>
        <v>-1.7541164387527013</v>
      </c>
      <c r="F78" s="7">
        <f>VLOOKUP(A78,'2026-2027 projections'!B:AZ,26,FALSE)</f>
        <v>-1.3055367386408516</v>
      </c>
      <c r="G78" s="7">
        <f>VLOOKUP(A78,'2026-2027 projections'!B:AZ,27,FALSE)</f>
        <v>0.58837687456013166</v>
      </c>
      <c r="H78" s="7">
        <f>VLOOKUP(A78,'2026-2027 projections'!B:AZ,28,FALSE)</f>
        <v>-1.2129695903609206</v>
      </c>
      <c r="I78" s="7">
        <f>VLOOKUP(A78,'2026-2027 projections'!B:AZ,29,FALSE)</f>
        <v>-0.34169826646924195</v>
      </c>
      <c r="J78" s="7">
        <f>VLOOKUP(A78,'2026-2027 projections'!B:AZ,30,FALSE)</f>
        <v>1.2616238464618952</v>
      </c>
      <c r="K78" s="7">
        <f>VLOOKUP(A78,'2026-2027 projections'!B:AZ,31,FALSE)</f>
        <v>0.60831289451805992</v>
      </c>
    </row>
    <row r="79" spans="1:11">
      <c r="A79" t="s">
        <v>780</v>
      </c>
      <c r="B79">
        <f>VLOOKUP(A79,'2026-2027 adp'!A:C,3,FALSE)</f>
        <v>114.6</v>
      </c>
      <c r="C79" s="7">
        <f>VLOOKUP(A79,'2026-2027 projections'!B:X,23,FALSE)</f>
        <v>1.3657659418916388</v>
      </c>
      <c r="D79" s="7">
        <f>VLOOKUP(A79,'2026-2027 projections'!B:AZ,24,FALSE)</f>
        <v>-1.4176826368134574</v>
      </c>
      <c r="E79" s="7">
        <f>VLOOKUP(A79,'2026-2027 projections'!B:AZ,25,FALSE)</f>
        <v>-1.7541164387527013</v>
      </c>
      <c r="F79" s="7">
        <f>VLOOKUP(A79,'2026-2027 projections'!B:AZ,26,FALSE)</f>
        <v>-1.4948268522286836</v>
      </c>
      <c r="G79" s="7">
        <f>VLOOKUP(A79,'2026-2027 projections'!B:AZ,27,FALSE)</f>
        <v>1.2957955164925639</v>
      </c>
      <c r="H79" s="7">
        <f>VLOOKUP(A79,'2026-2027 projections'!B:AZ,28,FALSE)</f>
        <v>-1.0580732195460889</v>
      </c>
      <c r="I79" s="7">
        <f>VLOOKUP(A79,'2026-2027 projections'!B:AZ,29,FALSE)</f>
        <v>-0.6352083158723062</v>
      </c>
      <c r="J79" s="7">
        <f>VLOOKUP(A79,'2026-2027 projections'!B:AZ,30,FALSE)</f>
        <v>0.44949768749042662</v>
      </c>
      <c r="K79" s="7">
        <f>VLOOKUP(A79,'2026-2027 projections'!B:AZ,31,FALSE)</f>
        <v>1.0177020411635838</v>
      </c>
    </row>
    <row r="80" spans="1:11">
      <c r="A80" s="15" t="s">
        <v>260</v>
      </c>
      <c r="B80" t="e">
        <f>VLOOKUP(A80,'2026-2027 adp'!A:C,3,FALSE)</f>
        <v>#N/A</v>
      </c>
      <c r="C80" s="7" t="e">
        <f>VLOOKUP(A80,'2026-2027 projections'!B:X,23,FALSE)</f>
        <v>#N/A</v>
      </c>
      <c r="D80" s="7" t="e">
        <f>VLOOKUP(A80,'2026-2027 projections'!B:AZ,24,FALSE)</f>
        <v>#N/A</v>
      </c>
      <c r="E80" s="7" t="e">
        <f>VLOOKUP(A80,'2026-2027 projections'!B:AZ,25,FALSE)</f>
        <v>#N/A</v>
      </c>
      <c r="F80" s="7" t="e">
        <f>VLOOKUP(A80,'2026-2027 projections'!B:AZ,26,FALSE)</f>
        <v>#N/A</v>
      </c>
      <c r="G80" s="7" t="e">
        <f>VLOOKUP(A80,'2026-2027 projections'!B:AZ,27,FALSE)</f>
        <v>#N/A</v>
      </c>
      <c r="H80" s="7" t="e">
        <f>VLOOKUP(A80,'2026-2027 projections'!B:AZ,28,FALSE)</f>
        <v>#N/A</v>
      </c>
      <c r="I80" s="7" t="e">
        <f>VLOOKUP(A80,'2026-2027 projections'!B:AZ,29,FALSE)</f>
        <v>#N/A</v>
      </c>
      <c r="J80" s="7" t="e">
        <f>VLOOKUP(A80,'2026-2027 projections'!B:AZ,30,FALSE)</f>
        <v>#N/A</v>
      </c>
      <c r="K80" s="7" t="e">
        <f>VLOOKUP(A80,'2026-2027 projections'!B:AZ,31,FALSE)</f>
        <v>#N/A</v>
      </c>
    </row>
    <row r="81" spans="1:11">
      <c r="A81" t="s">
        <v>694</v>
      </c>
      <c r="B81">
        <f>VLOOKUP(A81,'2026-2027 adp'!A:C,3,FALSE)</f>
        <v>49.8</v>
      </c>
      <c r="C81" s="7">
        <f>VLOOKUP(A81,'2026-2027 projections'!B:X,23,FALSE)</f>
        <v>-0.20732926720166048</v>
      </c>
      <c r="D81" s="7">
        <f>VLOOKUP(A81,'2026-2027 projections'!B:AZ,24,FALSE)</f>
        <v>0.67705104513186498</v>
      </c>
      <c r="E81" s="7">
        <f>VLOOKUP(A81,'2026-2027 projections'!B:AZ,25,FALSE)</f>
        <v>1.9284288153879285</v>
      </c>
      <c r="F81" s="7">
        <f>VLOOKUP(A81,'2026-2027 projections'!B:AZ,26,FALSE)</f>
        <v>0.58736439723746781</v>
      </c>
      <c r="G81" s="7">
        <f>VLOOKUP(A81,'2026-2027 projections'!B:AZ,27,FALSE)</f>
        <v>-7.7428906082156745E-2</v>
      </c>
      <c r="H81" s="7">
        <f>VLOOKUP(A81,'2026-2027 projections'!B:AZ,28,FALSE)</f>
        <v>-7.7062871052154841E-2</v>
      </c>
      <c r="I81" s="7">
        <f>VLOOKUP(A81,'2026-2027 projections'!B:AZ,29,FALSE)</f>
        <v>-0.92871836527537077</v>
      </c>
      <c r="J81" s="7">
        <f>VLOOKUP(A81,'2026-2027 projections'!B:AZ,30,FALSE)</f>
        <v>-0.97172309070964324</v>
      </c>
      <c r="K81" s="7">
        <f>VLOOKUP(A81,'2026-2027 projections'!B:AZ,31,FALSE)</f>
        <v>-0.21046539877298837</v>
      </c>
    </row>
    <row r="82" spans="1:11">
      <c r="A82" t="s">
        <v>341</v>
      </c>
      <c r="B82">
        <f>VLOOKUP(A82,'2026-2027 adp'!A:C,3,FALSE)</f>
        <v>119.7</v>
      </c>
      <c r="C82" s="7">
        <f>VLOOKUP(A82,'2026-2027 projections'!B:X,23,FALSE)</f>
        <v>-1.4204302804345552</v>
      </c>
      <c r="D82" s="7">
        <f>VLOOKUP(A82,'2026-2027 projections'!B:AZ,24,FALSE)</f>
        <v>-0.24098253776680187</v>
      </c>
      <c r="E82" s="7">
        <f>VLOOKUP(A82,'2026-2027 projections'!B:AZ,25,FALSE)</f>
        <v>0.35019513504194433</v>
      </c>
      <c r="F82" s="7">
        <f>VLOOKUP(A82,'2026-2027 projections'!B:AZ,26,FALSE)</f>
        <v>-0.75659540923613888</v>
      </c>
      <c r="G82" s="7">
        <f>VLOOKUP(A82,'2026-2027 projections'!B:AZ,27,FALSE)</f>
        <v>-0.32710607382301482</v>
      </c>
      <c r="H82" s="7">
        <f>VLOOKUP(A82,'2026-2027 projections'!B:AZ,28,FALSE)</f>
        <v>-7.7062871052154841E-2</v>
      </c>
      <c r="I82" s="7">
        <f>VLOOKUP(A82,'2026-2027 projections'!B:AZ,29,FALSE)</f>
        <v>0.24532183233688692</v>
      </c>
      <c r="J82" s="7">
        <f>VLOOKUP(A82,'2026-2027 projections'!B:AZ,30,FALSE)</f>
        <v>0.44949768749042662</v>
      </c>
      <c r="K82" s="7">
        <f>VLOOKUP(A82,'2026-2027 projections'!B:AZ,31,FALSE)</f>
        <v>-0.21046539877298837</v>
      </c>
    </row>
    <row r="83" spans="1:11">
      <c r="A83" t="s">
        <v>308</v>
      </c>
      <c r="B83">
        <f>VLOOKUP(A83,'2026-2027 adp'!A:C,3,FALSE)</f>
        <v>114.6</v>
      </c>
      <c r="C83" s="7" t="e">
        <f>VLOOKUP(A83,'2026-2027 projections'!B:X,23,FALSE)</f>
        <v>#N/A</v>
      </c>
      <c r="D83" s="7" t="e">
        <f>VLOOKUP(A83,'2026-2027 projections'!B:AZ,24,FALSE)</f>
        <v>#N/A</v>
      </c>
      <c r="E83" s="7" t="e">
        <f>VLOOKUP(A83,'2026-2027 projections'!B:AZ,25,FALSE)</f>
        <v>#N/A</v>
      </c>
      <c r="F83" s="7" t="e">
        <f>VLOOKUP(A83,'2026-2027 projections'!B:AZ,26,FALSE)</f>
        <v>#N/A</v>
      </c>
      <c r="G83" s="7" t="e">
        <f>VLOOKUP(A83,'2026-2027 projections'!B:AZ,27,FALSE)</f>
        <v>#N/A</v>
      </c>
      <c r="H83" s="7" t="e">
        <f>VLOOKUP(A83,'2026-2027 projections'!B:AZ,28,FALSE)</f>
        <v>#N/A</v>
      </c>
      <c r="I83" s="7" t="e">
        <f>VLOOKUP(A83,'2026-2027 projections'!B:AZ,29,FALSE)</f>
        <v>#N/A</v>
      </c>
      <c r="J83" s="7" t="e">
        <f>VLOOKUP(A83,'2026-2027 projections'!B:AZ,30,FALSE)</f>
        <v>#N/A</v>
      </c>
      <c r="K83" s="7" t="e">
        <f>VLOOKUP(A83,'2026-2027 projections'!B:AZ,31,FALSE)</f>
        <v>#N/A</v>
      </c>
    </row>
    <row r="84" spans="1:11">
      <c r="A84" t="s">
        <v>265</v>
      </c>
      <c r="B84">
        <f>VLOOKUP(A84,'2026-2027 adp'!A:C,3,FALSE)</f>
        <v>140</v>
      </c>
      <c r="C84" s="7" t="e">
        <f>VLOOKUP(A84,'2026-2027 projections'!B:X,23,FALSE)</f>
        <v>#N/A</v>
      </c>
      <c r="D84" s="7" t="e">
        <f>VLOOKUP(A84,'2026-2027 projections'!B:AZ,24,FALSE)</f>
        <v>#N/A</v>
      </c>
      <c r="E84" s="7" t="e">
        <f>VLOOKUP(A84,'2026-2027 projections'!B:AZ,25,FALSE)</f>
        <v>#N/A</v>
      </c>
      <c r="F84" s="7" t="e">
        <f>VLOOKUP(A84,'2026-2027 projections'!B:AZ,26,FALSE)</f>
        <v>#N/A</v>
      </c>
      <c r="G84" s="7" t="e">
        <f>VLOOKUP(A84,'2026-2027 projections'!B:AZ,27,FALSE)</f>
        <v>#N/A</v>
      </c>
      <c r="H84" s="7" t="e">
        <f>VLOOKUP(A84,'2026-2027 projections'!B:AZ,28,FALSE)</f>
        <v>#N/A</v>
      </c>
      <c r="I84" s="7" t="e">
        <f>VLOOKUP(A84,'2026-2027 projections'!B:AZ,29,FALSE)</f>
        <v>#N/A</v>
      </c>
      <c r="J84" s="7" t="e">
        <f>VLOOKUP(A84,'2026-2027 projections'!B:AZ,30,FALSE)</f>
        <v>#N/A</v>
      </c>
      <c r="K84" s="7" t="e">
        <f>VLOOKUP(A84,'2026-2027 projections'!B:AZ,31,FALSE)</f>
        <v>#N/A</v>
      </c>
    </row>
    <row r="85" spans="1:11">
      <c r="A85" t="s">
        <v>295</v>
      </c>
      <c r="B85">
        <f>VLOOKUP(A85,'2026-2027 adp'!A:C,3,FALSE)</f>
        <v>114</v>
      </c>
      <c r="C85" s="7" t="e">
        <f>VLOOKUP(A85,'2026-2027 projections'!B:X,23,FALSE)</f>
        <v>#N/A</v>
      </c>
      <c r="D85" s="7" t="e">
        <f>VLOOKUP(A85,'2026-2027 projections'!B:AZ,24,FALSE)</f>
        <v>#N/A</v>
      </c>
      <c r="E85" s="7" t="e">
        <f>VLOOKUP(A85,'2026-2027 projections'!B:AZ,25,FALSE)</f>
        <v>#N/A</v>
      </c>
      <c r="F85" s="7" t="e">
        <f>VLOOKUP(A85,'2026-2027 projections'!B:AZ,26,FALSE)</f>
        <v>#N/A</v>
      </c>
      <c r="G85" s="7" t="e">
        <f>VLOOKUP(A85,'2026-2027 projections'!B:AZ,27,FALSE)</f>
        <v>#N/A</v>
      </c>
      <c r="H85" s="7" t="e">
        <f>VLOOKUP(A85,'2026-2027 projections'!B:AZ,28,FALSE)</f>
        <v>#N/A</v>
      </c>
      <c r="I85" s="7" t="e">
        <f>VLOOKUP(A85,'2026-2027 projections'!B:AZ,29,FALSE)</f>
        <v>#N/A</v>
      </c>
      <c r="J85" s="7" t="e">
        <f>VLOOKUP(A85,'2026-2027 projections'!B:AZ,30,FALSE)</f>
        <v>#N/A</v>
      </c>
      <c r="K85" s="7" t="e">
        <f>VLOOKUP(A85,'2026-2027 projections'!B:AZ,31,FALSE)</f>
        <v>#N/A</v>
      </c>
    </row>
    <row r="86" spans="1:11">
      <c r="A86" t="s">
        <v>941</v>
      </c>
      <c r="B86">
        <f>VLOOKUP(A86,'2026-2027 adp'!A:C,3,FALSE)</f>
        <v>92.1</v>
      </c>
      <c r="C86" s="7">
        <f>VLOOKUP(A86,'2026-2027 projections'!B:X,23,FALSE)</f>
        <v>0.29394815533139551</v>
      </c>
      <c r="D86" s="7">
        <f>VLOOKUP(A86,'2026-2027 projections'!B:AZ,24,FALSE)</f>
        <v>0.17796419862226237</v>
      </c>
      <c r="E86" s="7">
        <f>VLOOKUP(A86,'2026-2027 projections'!B:AZ,25,FALSE)</f>
        <v>-0.17588275840671705</v>
      </c>
      <c r="F86" s="7">
        <f>VLOOKUP(A86,'2026-2027 projections'!B:AZ,26,FALSE)</f>
        <v>-0.11300902303751025</v>
      </c>
      <c r="G86" s="7">
        <f>VLOOKUP(A86,'2026-2027 projections'!B:AZ,27,FALSE)</f>
        <v>4.7409677788272299E-2</v>
      </c>
      <c r="H86" s="7">
        <f>VLOOKUP(A86,'2026-2027 projections'!B:AZ,28,FALSE)</f>
        <v>-0.49011985989170598</v>
      </c>
      <c r="I86" s="7">
        <f>VLOOKUP(A86,'2026-2027 projections'!B:AZ,29,FALSE)</f>
        <v>0.24532183233688692</v>
      </c>
      <c r="J86" s="7">
        <f>VLOOKUP(A86,'2026-2027 projections'!B:AZ,30,FALSE)</f>
        <v>0.65252922723329376</v>
      </c>
      <c r="K86" s="7">
        <f>VLOOKUP(A86,'2026-2027 projections'!B:AZ,31,FALSE)</f>
        <v>0.19892374787253581</v>
      </c>
    </row>
    <row r="87" spans="1:11">
      <c r="A87" t="s">
        <v>340</v>
      </c>
      <c r="B87">
        <f>VLOOKUP(A87,'2026-2027 adp'!A:C,3,FALSE)</f>
        <v>118.4</v>
      </c>
      <c r="C87" s="7">
        <f>VLOOKUP(A87,'2026-2027 projections'!B:X,23,FALSE)</f>
        <v>5.8340796788767454E-2</v>
      </c>
      <c r="D87" s="7">
        <f>VLOOKUP(A87,'2026-2027 projections'!B:AZ,24,FALSE)</f>
        <v>-0.2586665161479898</v>
      </c>
      <c r="E87" s="7">
        <f>VLOOKUP(A87,'2026-2027 projections'!B:AZ,25,FALSE)</f>
        <v>-0.38631391578618157</v>
      </c>
      <c r="F87" s="7">
        <f>VLOOKUP(A87,'2026-2027 projections'!B:AZ,26,FALSE)</f>
        <v>-1.2298206932057187</v>
      </c>
      <c r="G87" s="7">
        <f>VLOOKUP(A87,'2026-2027 projections'!B:AZ,27,FALSE)</f>
        <v>-1.2425890222061617</v>
      </c>
      <c r="H87" s="7">
        <f>VLOOKUP(A87,'2026-2027 projections'!B:AZ,28,FALSE)</f>
        <v>1.3170044662813307</v>
      </c>
      <c r="I87" s="7">
        <f>VLOOKUP(A87,'2026-2027 projections'!B:AZ,29,FALSE)</f>
        <v>0.24532183233688692</v>
      </c>
      <c r="J87" s="7">
        <f>VLOOKUP(A87,'2026-2027 projections'!B:AZ,30,FALSE)</f>
        <v>-0.97172309070964324</v>
      </c>
      <c r="K87" s="7">
        <f>VLOOKUP(A87,'2026-2027 projections'!B:AZ,31,FALSE)</f>
        <v>6.2460698990694306E-2</v>
      </c>
    </row>
    <row r="88" spans="1:11">
      <c r="A88" t="s">
        <v>230</v>
      </c>
      <c r="B88">
        <f>VLOOKUP(A88,'2026-2027 adp'!A:C,3,FALSE)</f>
        <v>115.9</v>
      </c>
      <c r="C88" s="7">
        <f>VLOOKUP(A88,'2026-2027 projections'!B:X,23,FALSE)</f>
        <v>-0.73458699467202826</v>
      </c>
      <c r="D88" s="7">
        <f>VLOOKUP(A88,'2026-2027 projections'!B:AZ,24,FALSE)</f>
        <v>-0.23214054857620806</v>
      </c>
      <c r="E88" s="7">
        <f>VLOOKUP(A88,'2026-2027 projections'!B:AZ,25,FALSE)</f>
        <v>0.45541071373167669</v>
      </c>
      <c r="F88" s="7">
        <f>VLOOKUP(A88,'2026-2027 projections'!B:AZ,26,FALSE)</f>
        <v>-0.26444111390777592</v>
      </c>
      <c r="G88" s="7">
        <f>VLOOKUP(A88,'2026-2027 projections'!B:AZ,27,FALSE)</f>
        <v>4.7409677788272299E-2</v>
      </c>
      <c r="H88" s="7">
        <f>VLOOKUP(A88,'2026-2027 projections'!B:AZ,28,FALSE)</f>
        <v>0.23272987057750841</v>
      </c>
      <c r="I88" s="7">
        <f>VLOOKUP(A88,'2026-2027 projections'!B:AZ,29,FALSE)</f>
        <v>0.53883188173995089</v>
      </c>
      <c r="J88" s="7">
        <f>VLOOKUP(A88,'2026-2027 projections'!B:AZ,30,FALSE)</f>
        <v>-0.97172309070964324</v>
      </c>
      <c r="K88" s="7">
        <f>VLOOKUP(A88,'2026-2027 projections'!B:AZ,31,FALSE)</f>
        <v>0.33538679675437699</v>
      </c>
    </row>
    <row r="89" spans="1:11">
      <c r="A89" t="s">
        <v>103</v>
      </c>
      <c r="B89">
        <f>VLOOKUP(A89,'2026-2027 adp'!A:C,3,FALSE)</f>
        <v>113.3</v>
      </c>
      <c r="C89" s="7">
        <f>VLOOKUP(A89,'2026-2027 projections'!B:X,23,FALSE)</f>
        <v>0.19824535161922258</v>
      </c>
      <c r="D89" s="7">
        <f>VLOOKUP(A89,'2026-2027 projections'!B:AZ,24,FALSE)</f>
        <v>0.16028022024107463</v>
      </c>
      <c r="E89" s="7">
        <f>VLOOKUP(A89,'2026-2027 projections'!B:AZ,25,FALSE)</f>
        <v>-0.59674507316564607</v>
      </c>
      <c r="F89" s="7">
        <f>VLOOKUP(A89,'2026-2027 projections'!B:AZ,26,FALSE)</f>
        <v>-0.92695651146518776</v>
      </c>
      <c r="G89" s="7">
        <f>VLOOKUP(A89,'2026-2027 projections'!B:AZ,27,FALSE)</f>
        <v>0.25547398423898748</v>
      </c>
      <c r="H89" s="7">
        <f>VLOOKUP(A89,'2026-2027 projections'!B:AZ,28,FALSE)</f>
        <v>-0.69664835431148175</v>
      </c>
      <c r="I89" s="7">
        <f>VLOOKUP(A89,'2026-2027 projections'!B:AZ,29,FALSE)</f>
        <v>-1.5157384640814993</v>
      </c>
      <c r="J89" s="7">
        <f>VLOOKUP(A89,'2026-2027 projections'!B:AZ,30,FALSE)</f>
        <v>-0.36262847148104194</v>
      </c>
      <c r="K89" s="7">
        <f>VLOOKUP(A89,'2026-2027 projections'!B:AZ,31,FALSE)</f>
        <v>1.1541650900454252</v>
      </c>
    </row>
  </sheetData>
  <autoFilter ref="A1:B1" xr:uid="{0531B5B3-1045-3E4F-900C-A5E7AB3001F1}">
    <sortState xmlns:xlrd2="http://schemas.microsoft.com/office/spreadsheetml/2017/richdata2" ref="A2:B83">
      <sortCondition ref="B1:B83"/>
    </sortState>
  </autoFilter>
  <conditionalFormatting sqref="C2:C89">
    <cfRule type="cellIs" dxfId="19" priority="7" operator="between">
      <formula>0.3</formula>
      <formula>1.2</formula>
    </cfRule>
    <cfRule type="cellIs" dxfId="18" priority="21" operator="greaterThan">
      <formula>1.1</formula>
    </cfRule>
  </conditionalFormatting>
  <conditionalFormatting sqref="C2:K89">
    <cfRule type="cellIs" dxfId="17" priority="1" operator="lessThan">
      <formula>-0.5</formula>
    </cfRule>
  </conditionalFormatting>
  <conditionalFormatting sqref="D2:E89">
    <cfRule type="cellIs" dxfId="16" priority="19" operator="greaterThan">
      <formula>1</formula>
    </cfRule>
  </conditionalFormatting>
  <conditionalFormatting sqref="E2:E89">
    <cfRule type="cellIs" dxfId="15" priority="6" operator="between">
      <formula>0.5</formula>
      <formula>1</formula>
    </cfRule>
  </conditionalFormatting>
  <conditionalFormatting sqref="F2:F89">
    <cfRule type="cellIs" dxfId="14" priority="5" operator="between">
      <formula>0.2</formula>
      <formula>0.6</formula>
    </cfRule>
    <cfRule type="cellIs" dxfId="13" priority="16" operator="greaterThan">
      <formula>0.6</formula>
    </cfRule>
  </conditionalFormatting>
  <conditionalFormatting sqref="G2:G89">
    <cfRule type="cellIs" dxfId="12" priority="4" operator="between">
      <formula>0.5</formula>
      <formula>0.8</formula>
    </cfRule>
    <cfRule type="cellIs" dxfId="11" priority="13" operator="greaterThan">
      <formula>0.79</formula>
    </cfRule>
  </conditionalFormatting>
  <conditionalFormatting sqref="H2:H89">
    <cfRule type="cellIs" dxfId="10" priority="3" operator="between">
      <formula>0.35</formula>
      <formula>0.6</formula>
    </cfRule>
    <cfRule type="cellIs" dxfId="9" priority="12" operator="greaterThan">
      <formula>0.6</formula>
    </cfRule>
  </conditionalFormatting>
  <conditionalFormatting sqref="I2:I89">
    <cfRule type="cellIs" dxfId="8" priority="20" operator="greaterThan">
      <formula>1</formula>
    </cfRule>
  </conditionalFormatting>
  <conditionalFormatting sqref="J2:J89">
    <cfRule type="cellIs" dxfId="7" priority="2" operator="between">
      <formula>0.01</formula>
      <formula>0.49</formula>
    </cfRule>
    <cfRule type="cellIs" dxfId="6" priority="9" operator="greaterThan">
      <formula>0.5</formula>
    </cfRule>
  </conditionalFormatting>
  <conditionalFormatting sqref="K2:K89">
    <cfRule type="cellIs" dxfId="5" priority="8" operator="greaterThan">
      <formula>0</formula>
    </cfRule>
  </conditionalFormatting>
  <hyperlinks>
    <hyperlink ref="A70" r:id="rId1" display="https://hashtagbasketball.com/120004/player" xr:uid="{AE2C8701-5780-8343-90BD-0D3A1FE63EDC}"/>
    <hyperlink ref="C1" r:id="rId2" display="javascript:__doPostBack('ctl00$ContentPlaceHolder1$GridView1','Sort$fgp')" xr:uid="{2181D69F-A02E-894F-A9FC-7F95FC780ECC}"/>
    <hyperlink ref="D1" r:id="rId3" display="javascript:__doPostBack('ctl00$ContentPlaceHolder1$GridView1','Sort$ftp')" xr:uid="{328F6DDD-2320-0144-BED3-424CD52756FF}"/>
    <hyperlink ref="E1" r:id="rId4" display="javascript:__doPostBack('ctl00$ContentPlaceHolder1$GridView1','Sort$tgm')" xr:uid="{AB2853F5-1469-074E-A029-F83065677067}"/>
    <hyperlink ref="F1" r:id="rId5" display="javascript:__doPostBack('ctl00$ContentPlaceHolder1$GridView1','Sort$pts')" xr:uid="{D5282E78-C9DF-3246-B36D-0017CF005D57}"/>
    <hyperlink ref="G1" r:id="rId6" display="javascript:__doPostBack('ctl00$ContentPlaceHolder1$GridView1','Sort$reb')" xr:uid="{682B56D7-2BB2-E848-919F-73844D91723D}"/>
    <hyperlink ref="H1" r:id="rId7" display="javascript:__doPostBack('ctl00$ContentPlaceHolder1$GridView1','Sort$ast')" xr:uid="{B65BE5DA-E859-374A-B02D-920CD9D1E029}"/>
    <hyperlink ref="I1" r:id="rId8" display="javascript:__doPostBack('ctl00$ContentPlaceHolder1$GridView1','Sort$stl')" xr:uid="{0FC281AE-1FCF-7046-B1CC-E657D45B85F8}"/>
    <hyperlink ref="J1" r:id="rId9" display="javascript:__doPostBack('ctl00$ContentPlaceHolder1$GridView1','Sort$blk')" xr:uid="{060CC2DF-18E7-EF45-9D1E-94840571C239}"/>
    <hyperlink ref="K1" r:id="rId10" display="javascript:__doPostBack('ctl00$ContentPlaceHolder1$GridView1','Sort$tur')" xr:uid="{BCC6B3B0-5536-E84A-B9F3-32BB94CBF62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81EF-D7EE-3542-B03A-87FC924D3F47}">
  <dimension ref="A1:T72"/>
  <sheetViews>
    <sheetView workbookViewId="0">
      <selection sqref="A1:P15"/>
    </sheetView>
  </sheetViews>
  <sheetFormatPr baseColWidth="10" defaultRowHeight="16"/>
  <sheetData>
    <row r="1" spans="1:20" ht="18">
      <c r="A1" s="2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ht="18">
      <c r="A2" s="22">
        <v>17</v>
      </c>
      <c r="B2" s="1" t="s">
        <v>62</v>
      </c>
      <c r="C2" s="22" t="s">
        <v>17</v>
      </c>
      <c r="D2" s="22" t="s">
        <v>63</v>
      </c>
      <c r="E2" s="22">
        <v>76</v>
      </c>
      <c r="F2" s="22">
        <v>35.200000000000003</v>
      </c>
      <c r="G2" s="22" t="s">
        <v>459</v>
      </c>
      <c r="H2" s="22" t="s">
        <v>460</v>
      </c>
      <c r="I2" s="22">
        <v>0.9</v>
      </c>
      <c r="J2" s="22">
        <v>19.100000000000001</v>
      </c>
      <c r="K2" s="22">
        <v>13.9</v>
      </c>
      <c r="L2" s="22">
        <v>6.6</v>
      </c>
      <c r="M2" s="22">
        <v>0.8</v>
      </c>
      <c r="N2" s="22">
        <v>0.5</v>
      </c>
      <c r="O2" s="22">
        <v>3</v>
      </c>
      <c r="P2" s="22">
        <v>7.45</v>
      </c>
      <c r="Q2">
        <f>VALUE(MID(G2, FIND("(", G2) + 1, FIND("/", G2) - FIND("(", G2) - 1))</f>
        <v>7.5</v>
      </c>
      <c r="R2">
        <f>VALUE(IFERROR(MID(G2, FIND("/", G2) + 1, FIND(")", G2) - FIND("/", G2) - 1), "Not Found"))</f>
        <v>13</v>
      </c>
      <c r="S2">
        <f>J2*E2</f>
        <v>1451.6000000000001</v>
      </c>
      <c r="T2">
        <f>R2*E2</f>
        <v>988</v>
      </c>
    </row>
    <row r="3" spans="1:20" ht="18">
      <c r="A3" s="22" t="s">
        <v>517</v>
      </c>
      <c r="B3" s="1" t="s">
        <v>124</v>
      </c>
      <c r="C3" s="22" t="s">
        <v>22</v>
      </c>
      <c r="D3" s="22" t="s">
        <v>63</v>
      </c>
      <c r="E3" s="22">
        <v>69</v>
      </c>
      <c r="F3" s="22">
        <v>34</v>
      </c>
      <c r="G3" s="22" t="s">
        <v>518</v>
      </c>
      <c r="H3" s="22" t="s">
        <v>519</v>
      </c>
      <c r="I3" s="22">
        <v>3</v>
      </c>
      <c r="J3" s="22">
        <v>21.9</v>
      </c>
      <c r="K3" s="22">
        <v>3.4</v>
      </c>
      <c r="L3" s="22">
        <v>4.0999999999999996</v>
      </c>
      <c r="M3" s="22">
        <v>0.8</v>
      </c>
      <c r="N3" s="22">
        <v>0.2</v>
      </c>
      <c r="O3" s="22">
        <v>2.6</v>
      </c>
      <c r="P3" s="22">
        <v>3.17</v>
      </c>
      <c r="Q3">
        <f t="shared" ref="Q3:Q15" si="0">VALUE(MID(G3, FIND("(", G3) + 1, FIND("/", G3) - FIND("(", G3) - 1))</f>
        <v>7.9</v>
      </c>
      <c r="R3">
        <f t="shared" ref="R3:R15" si="1">VALUE(IFERROR(MID(G3, FIND("/", G3) + 1, FIND(")", G3) - FIND("/", G3) - 1), "Not Found"))</f>
        <v>15.8</v>
      </c>
      <c r="S3">
        <f t="shared" ref="S3:S15" si="2">J3*E3</f>
        <v>1511.1</v>
      </c>
      <c r="T3">
        <f t="shared" ref="T3:T15" si="3">R3*E3</f>
        <v>1090.2</v>
      </c>
    </row>
    <row r="4" spans="1:20" ht="18">
      <c r="A4" s="22" t="s">
        <v>527</v>
      </c>
      <c r="B4" s="1" t="s">
        <v>81</v>
      </c>
      <c r="C4" s="22" t="s">
        <v>224</v>
      </c>
      <c r="D4" s="22" t="s">
        <v>63</v>
      </c>
      <c r="E4" s="22">
        <v>74</v>
      </c>
      <c r="F4" s="22">
        <v>34.9</v>
      </c>
      <c r="G4" s="22" t="s">
        <v>528</v>
      </c>
      <c r="H4" s="22" t="s">
        <v>529</v>
      </c>
      <c r="I4" s="22">
        <v>0.9</v>
      </c>
      <c r="J4" s="22">
        <v>21.5</v>
      </c>
      <c r="K4" s="22">
        <v>3.8</v>
      </c>
      <c r="L4" s="22">
        <v>4.3</v>
      </c>
      <c r="M4" s="22">
        <v>0.9</v>
      </c>
      <c r="N4" s="22">
        <v>0.5</v>
      </c>
      <c r="O4" s="22">
        <v>1.4</v>
      </c>
      <c r="P4" s="22">
        <v>3.04</v>
      </c>
      <c r="Q4">
        <f t="shared" si="0"/>
        <v>7.6</v>
      </c>
      <c r="R4">
        <f t="shared" si="1"/>
        <v>15.9</v>
      </c>
      <c r="S4">
        <f t="shared" si="2"/>
        <v>1591</v>
      </c>
      <c r="T4">
        <f t="shared" si="3"/>
        <v>1176.6000000000001</v>
      </c>
    </row>
    <row r="5" spans="1:20" ht="18">
      <c r="A5" s="22">
        <v>99</v>
      </c>
      <c r="B5" s="1" t="s">
        <v>267</v>
      </c>
      <c r="C5" s="22" t="s">
        <v>22</v>
      </c>
      <c r="D5" s="22" t="s">
        <v>63</v>
      </c>
      <c r="E5" s="22">
        <v>72</v>
      </c>
      <c r="F5" s="22">
        <v>27.2</v>
      </c>
      <c r="G5" s="22" t="s">
        <v>622</v>
      </c>
      <c r="H5" s="22" t="s">
        <v>623</v>
      </c>
      <c r="I5" s="22">
        <v>2</v>
      </c>
      <c r="J5" s="22">
        <v>9.1999999999999993</v>
      </c>
      <c r="K5" s="22">
        <v>3.2</v>
      </c>
      <c r="L5" s="22">
        <v>1.9</v>
      </c>
      <c r="M5" s="22">
        <v>1.6</v>
      </c>
      <c r="N5" s="22">
        <v>0.9</v>
      </c>
      <c r="O5" s="22">
        <v>1</v>
      </c>
      <c r="P5" s="22">
        <v>1.02</v>
      </c>
      <c r="Q5">
        <f t="shared" si="0"/>
        <v>3.1</v>
      </c>
      <c r="R5">
        <f t="shared" si="1"/>
        <v>6.5</v>
      </c>
      <c r="S5">
        <f t="shared" si="2"/>
        <v>662.4</v>
      </c>
      <c r="T5">
        <f t="shared" si="3"/>
        <v>468</v>
      </c>
    </row>
    <row r="6" spans="1:20" ht="18">
      <c r="A6" s="22">
        <v>111</v>
      </c>
      <c r="B6" s="1" t="s">
        <v>140</v>
      </c>
      <c r="C6" s="22" t="s">
        <v>33</v>
      </c>
      <c r="D6" s="22" t="s">
        <v>63</v>
      </c>
      <c r="E6" s="22">
        <v>76</v>
      </c>
      <c r="F6" s="22">
        <v>34</v>
      </c>
      <c r="G6" s="22" t="s">
        <v>645</v>
      </c>
      <c r="H6" s="22" t="s">
        <v>646</v>
      </c>
      <c r="I6" s="22">
        <v>2.2000000000000002</v>
      </c>
      <c r="J6" s="22">
        <v>13.6</v>
      </c>
      <c r="K6" s="22">
        <v>5.9</v>
      </c>
      <c r="L6" s="22">
        <v>1.5</v>
      </c>
      <c r="M6" s="22">
        <v>0.9</v>
      </c>
      <c r="N6" s="22">
        <v>0.8</v>
      </c>
      <c r="O6" s="22">
        <v>0.8</v>
      </c>
      <c r="P6" s="22">
        <v>0.51</v>
      </c>
      <c r="Q6">
        <f t="shared" si="0"/>
        <v>5.2</v>
      </c>
      <c r="R6">
        <f t="shared" si="1"/>
        <v>11.5</v>
      </c>
      <c r="S6">
        <f t="shared" si="2"/>
        <v>1033.5999999999999</v>
      </c>
      <c r="T6">
        <f t="shared" si="3"/>
        <v>874</v>
      </c>
    </row>
    <row r="7" spans="1:20" ht="18">
      <c r="A7" s="22">
        <v>122</v>
      </c>
      <c r="B7" s="1" t="s">
        <v>180</v>
      </c>
      <c r="C7" s="22" t="s">
        <v>231</v>
      </c>
      <c r="D7" s="22" t="s">
        <v>63</v>
      </c>
      <c r="E7" s="22">
        <v>68</v>
      </c>
      <c r="F7" s="22">
        <v>28.8</v>
      </c>
      <c r="G7" s="22" t="s">
        <v>667</v>
      </c>
      <c r="H7" s="22" t="s">
        <v>668</v>
      </c>
      <c r="I7" s="22">
        <v>2</v>
      </c>
      <c r="J7" s="22">
        <v>15.5</v>
      </c>
      <c r="K7" s="22">
        <v>3.2</v>
      </c>
      <c r="L7" s="22">
        <v>5.0999999999999996</v>
      </c>
      <c r="M7" s="22">
        <v>0.7</v>
      </c>
      <c r="N7" s="22">
        <v>0.5</v>
      </c>
      <c r="O7" s="22">
        <v>2.2000000000000002</v>
      </c>
      <c r="P7" s="22">
        <v>0.17</v>
      </c>
      <c r="Q7">
        <f t="shared" si="0"/>
        <v>5.6</v>
      </c>
      <c r="R7">
        <f t="shared" si="1"/>
        <v>12.7</v>
      </c>
      <c r="S7">
        <f t="shared" si="2"/>
        <v>1054</v>
      </c>
      <c r="T7">
        <f t="shared" si="3"/>
        <v>863.59999999999991</v>
      </c>
    </row>
    <row r="8" spans="1:20" ht="18">
      <c r="A8" s="22" t="s">
        <v>866</v>
      </c>
      <c r="B8" s="1" t="s">
        <v>183</v>
      </c>
      <c r="C8" s="22" t="s">
        <v>22</v>
      </c>
      <c r="D8" s="22" t="s">
        <v>63</v>
      </c>
      <c r="E8" s="22">
        <v>70</v>
      </c>
      <c r="F8" s="22">
        <v>23.6</v>
      </c>
      <c r="G8" s="22" t="s">
        <v>867</v>
      </c>
      <c r="H8" s="22" t="s">
        <v>868</v>
      </c>
      <c r="I8" s="22">
        <v>1.5</v>
      </c>
      <c r="J8" s="22">
        <v>11.1</v>
      </c>
      <c r="K8" s="22">
        <v>2.2999999999999998</v>
      </c>
      <c r="L8" s="22">
        <v>4.5999999999999996</v>
      </c>
      <c r="M8" s="22">
        <v>0.7</v>
      </c>
      <c r="N8" s="22">
        <v>0.2</v>
      </c>
      <c r="O8" s="22">
        <v>1.5</v>
      </c>
      <c r="P8" s="22">
        <v>-3.2</v>
      </c>
      <c r="Q8">
        <f t="shared" si="0"/>
        <v>3.8</v>
      </c>
      <c r="R8">
        <f t="shared" si="1"/>
        <v>9.1</v>
      </c>
      <c r="S8">
        <f t="shared" si="2"/>
        <v>777</v>
      </c>
      <c r="T8">
        <f t="shared" si="3"/>
        <v>637</v>
      </c>
    </row>
    <row r="9" spans="1:20" ht="18">
      <c r="A9" s="22" t="s">
        <v>869</v>
      </c>
      <c r="B9" s="1" t="s">
        <v>257</v>
      </c>
      <c r="C9" s="22" t="s">
        <v>17</v>
      </c>
      <c r="D9" s="22" t="s">
        <v>63</v>
      </c>
      <c r="E9" s="22">
        <v>67</v>
      </c>
      <c r="F9" s="22">
        <v>14</v>
      </c>
      <c r="G9" s="22" t="s">
        <v>870</v>
      </c>
      <c r="H9" s="22" t="s">
        <v>871</v>
      </c>
      <c r="I9" s="22">
        <v>0</v>
      </c>
      <c r="J9" s="22">
        <v>4.9000000000000004</v>
      </c>
      <c r="K9" s="22">
        <v>4.0999999999999996</v>
      </c>
      <c r="L9" s="22">
        <v>0.9</v>
      </c>
      <c r="M9" s="22">
        <v>0.3</v>
      </c>
      <c r="N9" s="22">
        <v>0.7</v>
      </c>
      <c r="O9" s="22">
        <v>0.8</v>
      </c>
      <c r="P9" s="22">
        <v>-5.71</v>
      </c>
      <c r="Q9">
        <f t="shared" si="0"/>
        <v>2</v>
      </c>
      <c r="R9">
        <f t="shared" si="1"/>
        <v>3.3</v>
      </c>
      <c r="S9">
        <f t="shared" si="2"/>
        <v>328.3</v>
      </c>
      <c r="T9">
        <f t="shared" si="3"/>
        <v>221.1</v>
      </c>
    </row>
    <row r="10" spans="1:20" ht="18">
      <c r="A10" s="22" t="s">
        <v>872</v>
      </c>
      <c r="B10" s="1" t="s">
        <v>863</v>
      </c>
      <c r="C10" s="22" t="s">
        <v>231</v>
      </c>
      <c r="D10" s="22" t="s">
        <v>63</v>
      </c>
      <c r="E10" s="22">
        <v>50</v>
      </c>
      <c r="F10" s="22">
        <v>13.8</v>
      </c>
      <c r="G10" s="22" t="s">
        <v>873</v>
      </c>
      <c r="H10" s="22" t="s">
        <v>874</v>
      </c>
      <c r="I10" s="22">
        <v>0.5</v>
      </c>
      <c r="J10" s="22">
        <v>5.5</v>
      </c>
      <c r="K10" s="22">
        <v>2.8</v>
      </c>
      <c r="L10" s="22">
        <v>1.3</v>
      </c>
      <c r="M10" s="22">
        <v>0.4</v>
      </c>
      <c r="N10" s="22">
        <v>0.2</v>
      </c>
      <c r="O10" s="22">
        <v>0.8</v>
      </c>
      <c r="P10" s="22">
        <v>-7.11</v>
      </c>
      <c r="Q10">
        <f t="shared" si="0"/>
        <v>1.9</v>
      </c>
      <c r="R10">
        <f t="shared" si="1"/>
        <v>4</v>
      </c>
      <c r="S10">
        <f t="shared" si="2"/>
        <v>275</v>
      </c>
      <c r="T10">
        <f t="shared" si="3"/>
        <v>200</v>
      </c>
    </row>
    <row r="11" spans="1:20" ht="18">
      <c r="A11" s="22" t="s">
        <v>875</v>
      </c>
      <c r="B11" s="1" t="s">
        <v>852</v>
      </c>
      <c r="C11" s="22" t="s">
        <v>17</v>
      </c>
      <c r="D11" s="22" t="s">
        <v>63</v>
      </c>
      <c r="E11" s="22">
        <v>40</v>
      </c>
      <c r="F11" s="22">
        <v>14.4</v>
      </c>
      <c r="G11" s="22" t="s">
        <v>876</v>
      </c>
      <c r="H11" s="22" t="s">
        <v>877</v>
      </c>
      <c r="I11" s="22">
        <v>0.6</v>
      </c>
      <c r="J11" s="22">
        <v>6.5</v>
      </c>
      <c r="K11" s="22">
        <v>3.4</v>
      </c>
      <c r="L11" s="22">
        <v>0.6</v>
      </c>
      <c r="M11" s="22">
        <v>0.3</v>
      </c>
      <c r="N11" s="22">
        <v>0.5</v>
      </c>
      <c r="O11" s="22">
        <v>0.8</v>
      </c>
      <c r="P11" s="22">
        <v>-8.0500000000000007</v>
      </c>
      <c r="Q11">
        <f t="shared" si="0"/>
        <v>2.4</v>
      </c>
      <c r="R11">
        <f t="shared" si="1"/>
        <v>5.2</v>
      </c>
      <c r="S11">
        <f t="shared" si="2"/>
        <v>260</v>
      </c>
      <c r="T11">
        <f t="shared" si="3"/>
        <v>208</v>
      </c>
    </row>
    <row r="12" spans="1:20" ht="18">
      <c r="A12" s="22" t="s">
        <v>878</v>
      </c>
      <c r="B12" s="1" t="s">
        <v>310</v>
      </c>
      <c r="C12" s="22" t="s">
        <v>28</v>
      </c>
      <c r="D12" s="22" t="s">
        <v>63</v>
      </c>
      <c r="E12" s="22">
        <v>60</v>
      </c>
      <c r="F12" s="22">
        <v>15</v>
      </c>
      <c r="G12" s="22" t="s">
        <v>879</v>
      </c>
      <c r="H12" s="22" t="s">
        <v>880</v>
      </c>
      <c r="I12" s="22">
        <v>0.7</v>
      </c>
      <c r="J12" s="22">
        <v>5.3</v>
      </c>
      <c r="K12" s="22">
        <v>2.9</v>
      </c>
      <c r="L12" s="22">
        <v>1.6</v>
      </c>
      <c r="M12" s="22">
        <v>0.8</v>
      </c>
      <c r="N12" s="22">
        <v>0.2</v>
      </c>
      <c r="O12" s="22">
        <v>0.7</v>
      </c>
      <c r="P12" s="22">
        <v>-8.35</v>
      </c>
      <c r="Q12">
        <f t="shared" si="0"/>
        <v>1.8</v>
      </c>
      <c r="R12">
        <f t="shared" si="1"/>
        <v>4.9000000000000004</v>
      </c>
      <c r="S12">
        <f t="shared" si="2"/>
        <v>318</v>
      </c>
      <c r="T12">
        <f t="shared" si="3"/>
        <v>294</v>
      </c>
    </row>
    <row r="13" spans="1:20" ht="18">
      <c r="A13" s="22" t="s">
        <v>881</v>
      </c>
      <c r="B13" s="1" t="s">
        <v>312</v>
      </c>
      <c r="C13" s="22" t="s">
        <v>17</v>
      </c>
      <c r="D13" s="22" t="s">
        <v>63</v>
      </c>
      <c r="E13" s="22">
        <v>20</v>
      </c>
      <c r="F13" s="22">
        <v>10.199999999999999</v>
      </c>
      <c r="G13" s="22" t="s">
        <v>882</v>
      </c>
      <c r="H13" s="22" t="s">
        <v>883</v>
      </c>
      <c r="I13" s="22">
        <v>0.6</v>
      </c>
      <c r="J13" s="22">
        <v>4.5</v>
      </c>
      <c r="K13" s="22">
        <v>2.6</v>
      </c>
      <c r="L13" s="22">
        <v>1.3</v>
      </c>
      <c r="M13" s="22">
        <v>0.3</v>
      </c>
      <c r="N13" s="22">
        <v>0.1</v>
      </c>
      <c r="O13" s="22">
        <v>0.7</v>
      </c>
      <c r="P13" s="22">
        <v>-10.52</v>
      </c>
      <c r="Q13">
        <f t="shared" si="0"/>
        <v>1.6</v>
      </c>
      <c r="R13">
        <f t="shared" si="1"/>
        <v>3.5</v>
      </c>
      <c r="S13">
        <f t="shared" si="2"/>
        <v>90</v>
      </c>
      <c r="T13">
        <f t="shared" si="3"/>
        <v>70</v>
      </c>
    </row>
    <row r="14" spans="1:20" ht="18">
      <c r="A14" s="22" t="s">
        <v>884</v>
      </c>
      <c r="B14" s="1" t="s">
        <v>885</v>
      </c>
      <c r="C14" s="22" t="s">
        <v>33</v>
      </c>
      <c r="D14" s="22" t="s">
        <v>63</v>
      </c>
      <c r="E14" s="22">
        <v>30</v>
      </c>
      <c r="F14" s="22">
        <v>11.1</v>
      </c>
      <c r="G14" s="22" t="s">
        <v>886</v>
      </c>
      <c r="H14" s="22" t="s">
        <v>887</v>
      </c>
      <c r="I14" s="22">
        <v>1.2</v>
      </c>
      <c r="J14" s="22">
        <v>4.5</v>
      </c>
      <c r="K14" s="22">
        <v>0.7</v>
      </c>
      <c r="L14" s="22">
        <v>0.7</v>
      </c>
      <c r="M14" s="22">
        <v>0.2</v>
      </c>
      <c r="N14" s="22">
        <v>0</v>
      </c>
      <c r="O14" s="22">
        <v>0.3</v>
      </c>
      <c r="P14" s="22">
        <v>-10.77</v>
      </c>
      <c r="Q14">
        <f t="shared" si="0"/>
        <v>1.6</v>
      </c>
      <c r="R14">
        <f t="shared" si="1"/>
        <v>3.6</v>
      </c>
      <c r="S14">
        <f t="shared" si="2"/>
        <v>135</v>
      </c>
      <c r="T14">
        <f t="shared" si="3"/>
        <v>108</v>
      </c>
    </row>
    <row r="15" spans="1:20" ht="18">
      <c r="A15" s="22" t="s">
        <v>888</v>
      </c>
      <c r="B15" s="1" t="s">
        <v>889</v>
      </c>
      <c r="C15" s="22" t="s">
        <v>25</v>
      </c>
      <c r="D15" s="22" t="s">
        <v>63</v>
      </c>
      <c r="E15" s="22">
        <v>40</v>
      </c>
      <c r="F15" s="22">
        <v>7.6</v>
      </c>
      <c r="G15" s="22" t="s">
        <v>890</v>
      </c>
      <c r="H15" s="22" t="s">
        <v>891</v>
      </c>
      <c r="I15" s="22">
        <v>0.1</v>
      </c>
      <c r="J15" s="22">
        <v>3.4</v>
      </c>
      <c r="K15" s="22">
        <v>1.4</v>
      </c>
      <c r="L15" s="22">
        <v>0.3</v>
      </c>
      <c r="M15" s="22">
        <v>0.1</v>
      </c>
      <c r="N15" s="22">
        <v>0.3</v>
      </c>
      <c r="O15" s="22">
        <v>0.4</v>
      </c>
      <c r="P15" s="22"/>
      <c r="Q15">
        <f t="shared" si="0"/>
        <v>1.4</v>
      </c>
      <c r="R15">
        <f t="shared" si="1"/>
        <v>2.1</v>
      </c>
      <c r="S15">
        <f t="shared" si="2"/>
        <v>136</v>
      </c>
      <c r="T15">
        <f t="shared" si="3"/>
        <v>84</v>
      </c>
    </row>
    <row r="16" spans="1:20">
      <c r="I16">
        <f>SUM(I2:I15)</f>
        <v>16.2</v>
      </c>
      <c r="J16">
        <f>SUM(J2:J15)</f>
        <v>146.50000000000003</v>
      </c>
      <c r="K16">
        <f>SUM(K2:K15)</f>
        <v>53.6</v>
      </c>
      <c r="S16">
        <f>SUM(S2:S15)/82</f>
        <v>117.35365853658534</v>
      </c>
      <c r="T16">
        <f>SUM(T2:T15)/82</f>
        <v>88.810975609756099</v>
      </c>
    </row>
    <row r="19" spans="7:15">
      <c r="L19" s="1" t="s">
        <v>1</v>
      </c>
      <c r="M19" s="1" t="s">
        <v>4</v>
      </c>
      <c r="N19" s="1" t="s">
        <v>5</v>
      </c>
      <c r="O19" s="1" t="s">
        <v>9</v>
      </c>
    </row>
    <row r="20" spans="7:15" ht="18">
      <c r="G20" s="24" t="s">
        <v>892</v>
      </c>
      <c r="L20" s="1" t="s">
        <v>62</v>
      </c>
      <c r="M20" s="22">
        <v>76</v>
      </c>
      <c r="N20" s="22">
        <v>35.200000000000003</v>
      </c>
      <c r="O20" s="22">
        <v>19.100000000000001</v>
      </c>
    </row>
    <row r="21" spans="7:15" ht="18">
      <c r="G21" s="1" t="s">
        <v>893</v>
      </c>
      <c r="L21" s="1" t="s">
        <v>124</v>
      </c>
      <c r="M21" s="22">
        <v>69</v>
      </c>
      <c r="N21" s="22">
        <v>34</v>
      </c>
      <c r="O21" s="22">
        <v>21.9</v>
      </c>
    </row>
    <row r="22" spans="7:15" ht="18">
      <c r="G22" s="1" t="s">
        <v>894</v>
      </c>
      <c r="L22" s="1" t="s">
        <v>81</v>
      </c>
      <c r="M22" s="22">
        <v>74</v>
      </c>
      <c r="N22" s="22">
        <v>34.9</v>
      </c>
      <c r="O22" s="22">
        <v>21.5</v>
      </c>
    </row>
    <row r="23" spans="7:15" ht="18">
      <c r="G23" s="1" t="s">
        <v>895</v>
      </c>
      <c r="L23" s="1" t="s">
        <v>267</v>
      </c>
      <c r="M23" s="22">
        <v>72</v>
      </c>
      <c r="N23" s="22">
        <v>27.2</v>
      </c>
      <c r="O23" s="22">
        <v>9.1999999999999993</v>
      </c>
    </row>
    <row r="24" spans="7:15" ht="18">
      <c r="G24" s="1" t="s">
        <v>896</v>
      </c>
      <c r="L24" s="1" t="s">
        <v>140</v>
      </c>
      <c r="M24" s="22">
        <v>76</v>
      </c>
      <c r="N24" s="22">
        <v>34</v>
      </c>
      <c r="O24" s="22">
        <v>13.6</v>
      </c>
    </row>
    <row r="25" spans="7:15" ht="18">
      <c r="G25" s="1" t="s">
        <v>897</v>
      </c>
      <c r="L25" s="1" t="s">
        <v>180</v>
      </c>
      <c r="M25" s="22">
        <v>68</v>
      </c>
      <c r="N25" s="22">
        <v>28.8</v>
      </c>
      <c r="O25" s="22">
        <v>15.5</v>
      </c>
    </row>
    <row r="26" spans="7:15" ht="18">
      <c r="G26" s="1" t="s">
        <v>898</v>
      </c>
      <c r="L26" s="1" t="s">
        <v>183</v>
      </c>
      <c r="M26" s="22">
        <v>70</v>
      </c>
      <c r="N26" s="22">
        <v>23.6</v>
      </c>
      <c r="O26" s="22">
        <v>11.1</v>
      </c>
    </row>
    <row r="27" spans="7:15" ht="18">
      <c r="G27" s="1" t="s">
        <v>899</v>
      </c>
      <c r="L27" s="1" t="s">
        <v>257</v>
      </c>
      <c r="M27" s="22">
        <v>67</v>
      </c>
      <c r="N27" s="22">
        <v>14</v>
      </c>
      <c r="O27" s="22">
        <v>4.9000000000000004</v>
      </c>
    </row>
    <row r="28" spans="7:15" ht="18">
      <c r="G28" s="1" t="s">
        <v>900</v>
      </c>
      <c r="L28" s="1" t="s">
        <v>863</v>
      </c>
      <c r="M28" s="22">
        <v>50</v>
      </c>
      <c r="N28" s="22">
        <v>13.8</v>
      </c>
      <c r="O28" s="22">
        <v>5.5</v>
      </c>
    </row>
    <row r="29" spans="7:15" ht="18">
      <c r="G29" s="1" t="s">
        <v>901</v>
      </c>
      <c r="L29" s="1" t="s">
        <v>852</v>
      </c>
      <c r="M29" s="22">
        <v>40</v>
      </c>
      <c r="N29" s="22">
        <v>14.4</v>
      </c>
      <c r="O29" s="22">
        <v>6.5</v>
      </c>
    </row>
    <row r="30" spans="7:15" ht="18">
      <c r="G30" s="1" t="s">
        <v>902</v>
      </c>
      <c r="L30" s="1" t="s">
        <v>310</v>
      </c>
      <c r="M30" s="22">
        <v>60</v>
      </c>
      <c r="N30" s="22">
        <v>15</v>
      </c>
      <c r="O30" s="22">
        <v>5.3</v>
      </c>
    </row>
    <row r="31" spans="7:15" ht="18">
      <c r="G31" s="1" t="s">
        <v>903</v>
      </c>
      <c r="L31" s="1" t="s">
        <v>312</v>
      </c>
      <c r="M31" s="22">
        <v>20</v>
      </c>
      <c r="N31" s="22">
        <v>10.199999999999999</v>
      </c>
      <c r="O31" s="22">
        <v>4.5</v>
      </c>
    </row>
    <row r="32" spans="7:15" ht="18">
      <c r="G32" s="1" t="s">
        <v>904</v>
      </c>
      <c r="L32" s="1" t="s">
        <v>885</v>
      </c>
      <c r="M32" s="22">
        <v>30</v>
      </c>
      <c r="N32" s="22">
        <v>11.1</v>
      </c>
      <c r="O32" s="22">
        <v>4.5</v>
      </c>
    </row>
    <row r="33" spans="7:20" ht="18">
      <c r="G33" s="1" t="s">
        <v>905</v>
      </c>
      <c r="L33" s="1" t="s">
        <v>889</v>
      </c>
      <c r="M33" s="22">
        <v>40</v>
      </c>
      <c r="N33" s="22">
        <v>7.6</v>
      </c>
      <c r="O33" s="22">
        <v>3.4</v>
      </c>
    </row>
    <row r="34" spans="7:20">
      <c r="G34" s="1" t="s">
        <v>906</v>
      </c>
    </row>
    <row r="35" spans="7:20">
      <c r="G35" s="1" t="s">
        <v>907</v>
      </c>
    </row>
    <row r="36" spans="7:20">
      <c r="G36" s="1" t="s">
        <v>908</v>
      </c>
    </row>
    <row r="37" spans="7:20">
      <c r="G37" s="1" t="s">
        <v>909</v>
      </c>
    </row>
    <row r="38" spans="7:20">
      <c r="G38" s="1" t="s">
        <v>910</v>
      </c>
    </row>
    <row r="39" spans="7:20">
      <c r="G39" s="1" t="s">
        <v>911</v>
      </c>
    </row>
    <row r="40" spans="7:20">
      <c r="G40" s="1" t="s">
        <v>912</v>
      </c>
    </row>
    <row r="41" spans="7:20">
      <c r="G41" s="1" t="s">
        <v>913</v>
      </c>
    </row>
    <row r="42" spans="7:20">
      <c r="G42" s="1" t="s">
        <v>914</v>
      </c>
    </row>
    <row r="43" spans="7:20">
      <c r="G43" s="1" t="s">
        <v>915</v>
      </c>
    </row>
    <row r="44" spans="7:20">
      <c r="G44" s="1" t="s">
        <v>916</v>
      </c>
    </row>
    <row r="45" spans="7:20">
      <c r="G45" s="1" t="s">
        <v>917</v>
      </c>
    </row>
    <row r="46" spans="7:20">
      <c r="G46" s="25" t="s">
        <v>918</v>
      </c>
    </row>
    <row r="47" spans="7:20">
      <c r="G47" s="1" t="s">
        <v>281</v>
      </c>
      <c r="H47" s="1" t="s">
        <v>282</v>
      </c>
      <c r="I47" s="1" t="s">
        <v>6</v>
      </c>
      <c r="J47" s="1" t="s">
        <v>8</v>
      </c>
      <c r="K47" s="1" t="s">
        <v>919</v>
      </c>
      <c r="L47" s="1" t="s">
        <v>920</v>
      </c>
      <c r="M47" s="1" t="s">
        <v>283</v>
      </c>
      <c r="N47" s="1" t="s">
        <v>284</v>
      </c>
      <c r="O47" s="1" t="s">
        <v>7</v>
      </c>
      <c r="P47" s="1" t="s">
        <v>921</v>
      </c>
      <c r="Q47" s="1" t="s">
        <v>922</v>
      </c>
      <c r="R47" s="1" t="s">
        <v>923</v>
      </c>
      <c r="S47" s="1" t="s">
        <v>924</v>
      </c>
      <c r="T47" s="1" t="s">
        <v>925</v>
      </c>
    </row>
    <row r="48" spans="7:20">
      <c r="G48" s="26">
        <v>8.1999999999999993</v>
      </c>
      <c r="H48" s="26">
        <v>16</v>
      </c>
      <c r="I48" s="26">
        <v>51.1</v>
      </c>
      <c r="J48" s="26">
        <v>3.2</v>
      </c>
      <c r="K48" s="26">
        <v>7.2</v>
      </c>
      <c r="L48" s="26">
        <v>44.6</v>
      </c>
      <c r="M48" s="26">
        <v>2.8</v>
      </c>
      <c r="N48" s="26">
        <v>3.2</v>
      </c>
      <c r="O48" s="26">
        <v>87.4</v>
      </c>
      <c r="P48" s="26">
        <v>5</v>
      </c>
      <c r="Q48" s="26">
        <v>8.8000000000000007</v>
      </c>
      <c r="R48" s="26">
        <v>56.4</v>
      </c>
      <c r="S48" s="26">
        <v>1.3979999999999999</v>
      </c>
      <c r="T48" s="26">
        <v>0.61</v>
      </c>
    </row>
    <row r="49" spans="7:20">
      <c r="G49" s="26">
        <v>8.1</v>
      </c>
      <c r="H49" s="26">
        <v>17</v>
      </c>
      <c r="I49" s="26">
        <v>47.7</v>
      </c>
      <c r="J49" s="26">
        <v>1.1000000000000001</v>
      </c>
      <c r="K49" s="26">
        <v>3.3</v>
      </c>
      <c r="L49" s="26">
        <v>32.799999999999997</v>
      </c>
      <c r="M49" s="26">
        <v>4.9000000000000004</v>
      </c>
      <c r="N49" s="26">
        <v>5.7</v>
      </c>
      <c r="O49" s="26">
        <v>85.7</v>
      </c>
      <c r="P49" s="26">
        <v>7</v>
      </c>
      <c r="Q49" s="26">
        <v>13.7</v>
      </c>
      <c r="R49" s="26">
        <v>51.3</v>
      </c>
      <c r="S49" s="26">
        <v>1.3069999999999999</v>
      </c>
      <c r="T49" s="26">
        <v>0.51</v>
      </c>
    </row>
    <row r="50" spans="7:20">
      <c r="G50" s="26">
        <v>7.5</v>
      </c>
      <c r="H50" s="26">
        <v>12.8</v>
      </c>
      <c r="I50" s="26">
        <v>59</v>
      </c>
      <c r="J50" s="26">
        <v>0.9</v>
      </c>
      <c r="K50" s="26">
        <v>2.2000000000000002</v>
      </c>
      <c r="L50" s="26">
        <v>41.7</v>
      </c>
      <c r="M50" s="26">
        <v>3.1</v>
      </c>
      <c r="N50" s="26">
        <v>4.0999999999999996</v>
      </c>
      <c r="O50" s="26">
        <v>75.400000000000006</v>
      </c>
      <c r="P50" s="26">
        <v>6.6</v>
      </c>
      <c r="Q50" s="26">
        <v>10.5</v>
      </c>
      <c r="R50" s="26">
        <v>62.7</v>
      </c>
      <c r="S50" s="26">
        <v>1.4970000000000001</v>
      </c>
      <c r="T50" s="26">
        <v>0.63</v>
      </c>
    </row>
    <row r="51" spans="7:20">
      <c r="G51" s="26">
        <v>6.3</v>
      </c>
      <c r="H51" s="26">
        <v>14.4</v>
      </c>
      <c r="I51" s="26">
        <v>43.9</v>
      </c>
      <c r="J51" s="26">
        <v>2.1</v>
      </c>
      <c r="K51" s="26">
        <v>6.6</v>
      </c>
      <c r="L51" s="26">
        <v>32.5</v>
      </c>
      <c r="M51" s="26">
        <v>2.4</v>
      </c>
      <c r="N51" s="26">
        <v>2.7</v>
      </c>
      <c r="O51" s="26">
        <v>86.5</v>
      </c>
      <c r="P51" s="26">
        <v>4.2</v>
      </c>
      <c r="Q51" s="26">
        <v>7.9</v>
      </c>
      <c r="R51" s="26">
        <v>53.4</v>
      </c>
      <c r="S51" s="26">
        <v>1.19</v>
      </c>
      <c r="T51" s="26">
        <v>0.51</v>
      </c>
    </row>
    <row r="52" spans="7:20">
      <c r="G52" s="26">
        <v>4.8</v>
      </c>
      <c r="H52" s="26">
        <v>10.8</v>
      </c>
      <c r="I52" s="26">
        <v>44.4</v>
      </c>
      <c r="J52" s="26">
        <v>2</v>
      </c>
      <c r="K52" s="26">
        <v>5.9</v>
      </c>
      <c r="L52" s="26">
        <v>34.299999999999997</v>
      </c>
      <c r="M52" s="26">
        <v>0.8</v>
      </c>
      <c r="N52" s="26">
        <v>0.9</v>
      </c>
      <c r="O52" s="26">
        <v>83.3</v>
      </c>
      <c r="P52" s="26">
        <v>2.8</v>
      </c>
      <c r="Q52" s="26">
        <v>4.9000000000000004</v>
      </c>
      <c r="R52" s="26">
        <v>56.6</v>
      </c>
      <c r="S52" s="26">
        <v>1.149</v>
      </c>
      <c r="T52" s="26">
        <v>0.54</v>
      </c>
    </row>
    <row r="53" spans="7:20">
      <c r="G53" s="26">
        <v>3.6</v>
      </c>
      <c r="H53" s="26">
        <v>6.4</v>
      </c>
      <c r="I53" s="26">
        <v>55.6</v>
      </c>
      <c r="J53" s="26">
        <v>0</v>
      </c>
      <c r="K53" s="26">
        <v>0.3</v>
      </c>
      <c r="L53" s="26">
        <v>10</v>
      </c>
      <c r="M53" s="26">
        <v>1.6</v>
      </c>
      <c r="N53" s="26">
        <v>1.8</v>
      </c>
      <c r="O53" s="26">
        <v>84.7</v>
      </c>
      <c r="P53" s="26">
        <v>3.5</v>
      </c>
      <c r="Q53" s="26">
        <v>6.1</v>
      </c>
      <c r="R53" s="26">
        <v>57.9</v>
      </c>
      <c r="S53" s="26">
        <v>1.361</v>
      </c>
      <c r="T53" s="26">
        <v>0.56000000000000005</v>
      </c>
    </row>
    <row r="54" spans="7:20">
      <c r="G54" s="26">
        <v>2.8</v>
      </c>
      <c r="H54" s="26">
        <v>5.8</v>
      </c>
      <c r="I54" s="26">
        <v>48.9</v>
      </c>
      <c r="J54" s="26">
        <v>1.7</v>
      </c>
      <c r="K54" s="26">
        <v>4</v>
      </c>
      <c r="L54" s="26">
        <v>43.3</v>
      </c>
      <c r="M54" s="26">
        <v>0.9</v>
      </c>
      <c r="N54" s="26">
        <v>1.1000000000000001</v>
      </c>
      <c r="O54" s="26">
        <v>84.9</v>
      </c>
      <c r="P54" s="26">
        <v>1.1000000000000001</v>
      </c>
      <c r="Q54" s="26">
        <v>1.8</v>
      </c>
      <c r="R54" s="26">
        <v>61.5</v>
      </c>
      <c r="S54" s="26">
        <v>1.4350000000000001</v>
      </c>
      <c r="T54" s="26">
        <v>0.64</v>
      </c>
    </row>
    <row r="55" spans="7:20">
      <c r="G55" s="26">
        <v>3</v>
      </c>
      <c r="H55" s="26">
        <v>7.2</v>
      </c>
      <c r="I55" s="26">
        <v>41.3</v>
      </c>
      <c r="J55" s="26">
        <v>1.4</v>
      </c>
      <c r="K55" s="26">
        <v>4.8</v>
      </c>
      <c r="L55" s="26">
        <v>30.2</v>
      </c>
      <c r="M55" s="26">
        <v>0.5</v>
      </c>
      <c r="N55" s="26">
        <v>0.7</v>
      </c>
      <c r="O55" s="26">
        <v>71.400000000000006</v>
      </c>
      <c r="P55" s="26">
        <v>1.5</v>
      </c>
      <c r="Q55" s="26">
        <v>2.4</v>
      </c>
      <c r="R55" s="26">
        <v>62.9</v>
      </c>
      <c r="S55" s="26">
        <v>1.0900000000000001</v>
      </c>
      <c r="T55" s="26">
        <v>0.51</v>
      </c>
    </row>
    <row r="56" spans="7:20">
      <c r="G56" s="26">
        <v>2.2999999999999998</v>
      </c>
      <c r="H56" s="26">
        <v>5.4</v>
      </c>
      <c r="I56" s="26">
        <v>42</v>
      </c>
      <c r="J56" s="26">
        <v>1.2</v>
      </c>
      <c r="K56" s="26">
        <v>3.4</v>
      </c>
      <c r="L56" s="26">
        <v>34</v>
      </c>
      <c r="M56" s="26">
        <v>0.8</v>
      </c>
      <c r="N56" s="26">
        <v>1.2</v>
      </c>
      <c r="O56" s="26">
        <v>70</v>
      </c>
      <c r="P56" s="26">
        <v>1.1000000000000001</v>
      </c>
      <c r="Q56" s="26">
        <v>2</v>
      </c>
      <c r="R56" s="26">
        <v>55.9</v>
      </c>
      <c r="S56" s="26">
        <v>1.206</v>
      </c>
      <c r="T56" s="26">
        <v>0.53</v>
      </c>
    </row>
    <row r="57" spans="7:20">
      <c r="G57" s="26">
        <v>2.2000000000000002</v>
      </c>
      <c r="H57" s="26">
        <v>5.0999999999999996</v>
      </c>
      <c r="I57" s="26">
        <v>43.8</v>
      </c>
      <c r="J57" s="26">
        <v>1.1000000000000001</v>
      </c>
      <c r="K57" s="26">
        <v>2.7</v>
      </c>
      <c r="L57" s="26">
        <v>38.5</v>
      </c>
      <c r="M57" s="26">
        <v>0.6</v>
      </c>
      <c r="N57" s="26">
        <v>1</v>
      </c>
      <c r="O57" s="26">
        <v>57.9</v>
      </c>
      <c r="P57" s="26">
        <v>1.2</v>
      </c>
      <c r="Q57" s="26">
        <v>2.2999999999999998</v>
      </c>
      <c r="R57" s="26">
        <v>50</v>
      </c>
      <c r="S57" s="26">
        <v>1.198</v>
      </c>
      <c r="T57" s="26">
        <v>0.54</v>
      </c>
    </row>
    <row r="58" spans="7:20">
      <c r="G58" s="26">
        <v>1.3</v>
      </c>
      <c r="H58" s="26">
        <v>3.5</v>
      </c>
      <c r="I58" s="26">
        <v>37</v>
      </c>
      <c r="J58" s="26">
        <v>0.5</v>
      </c>
      <c r="K58" s="26">
        <v>1.7</v>
      </c>
      <c r="L58" s="26">
        <v>29.5</v>
      </c>
      <c r="M58" s="26">
        <v>0.7</v>
      </c>
      <c r="N58" s="26">
        <v>1.2</v>
      </c>
      <c r="O58" s="26">
        <v>59.1</v>
      </c>
      <c r="P58" s="26">
        <v>0.8</v>
      </c>
      <c r="Q58" s="26">
        <v>1.8</v>
      </c>
      <c r="R58" s="26">
        <v>43.9</v>
      </c>
      <c r="S58" s="26">
        <v>1.087</v>
      </c>
      <c r="T58" s="26">
        <v>0.44</v>
      </c>
    </row>
    <row r="59" spans="7:20">
      <c r="G59" s="26">
        <v>1.2</v>
      </c>
      <c r="H59" s="26">
        <v>2.8</v>
      </c>
      <c r="I59" s="26">
        <v>42.7</v>
      </c>
      <c r="J59" s="26">
        <v>1</v>
      </c>
      <c r="K59" s="26">
        <v>2.4</v>
      </c>
      <c r="L59" s="26">
        <v>43.6</v>
      </c>
      <c r="M59" s="26">
        <v>0.1</v>
      </c>
      <c r="N59" s="26">
        <v>0.1</v>
      </c>
      <c r="O59" s="26">
        <v>60</v>
      </c>
      <c r="P59" s="26">
        <v>0.1</v>
      </c>
      <c r="Q59" s="26">
        <v>0.4</v>
      </c>
      <c r="R59" s="26">
        <v>37.5</v>
      </c>
      <c r="S59" s="26">
        <v>1.256</v>
      </c>
      <c r="T59" s="26">
        <v>0.62</v>
      </c>
    </row>
    <row r="60" spans="7:20">
      <c r="G60" s="26">
        <v>1.4</v>
      </c>
      <c r="H60" s="26">
        <v>2.1</v>
      </c>
      <c r="I60" s="26">
        <v>65.099999999999994</v>
      </c>
      <c r="J60" s="26">
        <v>0.1</v>
      </c>
      <c r="K60" s="26">
        <v>0.2</v>
      </c>
      <c r="L60" s="26">
        <v>37.5</v>
      </c>
      <c r="M60" s="26">
        <v>0.6</v>
      </c>
      <c r="N60" s="26">
        <v>0.9</v>
      </c>
      <c r="O60" s="26">
        <v>63.9</v>
      </c>
      <c r="P60" s="26">
        <v>1.3</v>
      </c>
      <c r="Q60" s="26">
        <v>1.9</v>
      </c>
      <c r="R60" s="26">
        <v>68</v>
      </c>
      <c r="S60" s="26">
        <v>1.6140000000000001</v>
      </c>
      <c r="T60" s="26">
        <v>0.67</v>
      </c>
    </row>
    <row r="61" spans="7:20">
      <c r="G61" s="26">
        <v>1.3</v>
      </c>
      <c r="H61" s="26">
        <v>3.2</v>
      </c>
      <c r="I61" s="26">
        <v>41.8</v>
      </c>
      <c r="J61" s="26">
        <v>0.2</v>
      </c>
      <c r="K61" s="26">
        <v>0.4</v>
      </c>
      <c r="L61" s="26">
        <v>50</v>
      </c>
      <c r="M61" s="26">
        <v>0</v>
      </c>
      <c r="N61" s="26">
        <v>0</v>
      </c>
      <c r="O61" s="26">
        <v>100</v>
      </c>
      <c r="P61" s="26">
        <v>1.1000000000000001</v>
      </c>
      <c r="Q61" s="26">
        <v>2.8</v>
      </c>
      <c r="R61" s="26">
        <v>40.700000000000003</v>
      </c>
      <c r="S61" s="26">
        <v>0.91</v>
      </c>
      <c r="T61" s="26">
        <v>0.45</v>
      </c>
    </row>
    <row r="62" spans="7:20">
      <c r="G62" s="26">
        <v>0.8</v>
      </c>
      <c r="H62" s="26">
        <v>2.4</v>
      </c>
      <c r="I62" s="26">
        <v>31.8</v>
      </c>
      <c r="J62" s="26">
        <v>0.4</v>
      </c>
      <c r="K62" s="26">
        <v>1.7</v>
      </c>
      <c r="L62" s="26">
        <v>26.7</v>
      </c>
      <c r="M62" s="26">
        <v>0.6</v>
      </c>
      <c r="N62" s="26">
        <v>0.7</v>
      </c>
      <c r="O62" s="26">
        <v>83.3</v>
      </c>
      <c r="P62" s="26">
        <v>0.3</v>
      </c>
      <c r="Q62" s="26">
        <v>0.8</v>
      </c>
      <c r="R62" s="26">
        <v>42.9</v>
      </c>
      <c r="S62" s="26">
        <v>1.0449999999999999</v>
      </c>
      <c r="T62" s="26">
        <v>0.41</v>
      </c>
    </row>
    <row r="63" spans="7:20">
      <c r="G63" s="26">
        <v>0.9</v>
      </c>
      <c r="H63" s="26">
        <v>1.8</v>
      </c>
      <c r="I63" s="26">
        <v>50</v>
      </c>
      <c r="J63" s="26">
        <v>0.1</v>
      </c>
      <c r="K63" s="26">
        <v>0.8</v>
      </c>
      <c r="L63" s="26">
        <v>12.5</v>
      </c>
      <c r="M63" s="26">
        <v>0.4</v>
      </c>
      <c r="N63" s="26">
        <v>0.5</v>
      </c>
      <c r="O63" s="26">
        <v>80</v>
      </c>
      <c r="P63" s="26">
        <v>0.8</v>
      </c>
      <c r="Q63" s="26">
        <v>1</v>
      </c>
      <c r="R63" s="26">
        <v>80</v>
      </c>
      <c r="S63" s="26">
        <v>1.278</v>
      </c>
      <c r="T63" s="26">
        <v>0.53</v>
      </c>
    </row>
    <row r="64" spans="7:20">
      <c r="G64" s="26">
        <v>0.8</v>
      </c>
      <c r="H64" s="26">
        <v>1.9</v>
      </c>
      <c r="I64" s="26">
        <v>41.2</v>
      </c>
      <c r="J64" s="26">
        <v>0.1</v>
      </c>
      <c r="K64" s="26">
        <v>0.6</v>
      </c>
      <c r="L64" s="26">
        <v>20</v>
      </c>
      <c r="M64" s="26">
        <v>0.4</v>
      </c>
      <c r="N64" s="26">
        <v>0.8</v>
      </c>
      <c r="O64" s="26">
        <v>57.1</v>
      </c>
      <c r="P64" s="26">
        <v>0.7</v>
      </c>
      <c r="Q64" s="26">
        <v>1.3</v>
      </c>
      <c r="R64" s="26">
        <v>50</v>
      </c>
      <c r="S64" s="26">
        <v>1.1180000000000001</v>
      </c>
      <c r="T64" s="26">
        <v>0.44</v>
      </c>
    </row>
    <row r="65" spans="7:20">
      <c r="G65" s="26">
        <v>0.6</v>
      </c>
      <c r="H65" s="26">
        <v>1.6</v>
      </c>
      <c r="I65" s="26">
        <v>36.4</v>
      </c>
      <c r="J65" s="26">
        <v>0.4</v>
      </c>
      <c r="K65" s="26">
        <v>0.9</v>
      </c>
      <c r="L65" s="26">
        <v>38.5</v>
      </c>
      <c r="M65" s="26">
        <v>0.4</v>
      </c>
      <c r="N65" s="26">
        <v>0.6</v>
      </c>
      <c r="O65" s="26">
        <v>68.8</v>
      </c>
      <c r="P65" s="26">
        <v>0.2</v>
      </c>
      <c r="Q65" s="26">
        <v>0.6</v>
      </c>
      <c r="R65" s="26">
        <v>33.299999999999997</v>
      </c>
      <c r="S65" s="26">
        <v>1.2050000000000001</v>
      </c>
      <c r="T65" s="26">
        <v>0.48</v>
      </c>
    </row>
    <row r="66" spans="7:20">
      <c r="G66" s="26">
        <v>0.6</v>
      </c>
      <c r="H66" s="26">
        <v>1.1000000000000001</v>
      </c>
      <c r="I66" s="26">
        <v>53.7</v>
      </c>
      <c r="J66" s="26">
        <v>0</v>
      </c>
      <c r="K66" s="26">
        <v>0.2</v>
      </c>
      <c r="L66" s="26">
        <v>16.7</v>
      </c>
      <c r="M66" s="26">
        <v>0.2</v>
      </c>
      <c r="N66" s="26">
        <v>0.4</v>
      </c>
      <c r="O66" s="26">
        <v>53.8</v>
      </c>
      <c r="P66" s="26">
        <v>0.6</v>
      </c>
      <c r="Q66" s="26">
        <v>1</v>
      </c>
      <c r="R66" s="26">
        <v>60</v>
      </c>
      <c r="S66" s="26">
        <v>1.268</v>
      </c>
      <c r="T66" s="26">
        <v>0.55000000000000004</v>
      </c>
    </row>
    <row r="67" spans="7:20">
      <c r="G67" s="26">
        <v>0.5</v>
      </c>
      <c r="H67" s="26">
        <v>1</v>
      </c>
      <c r="I67" s="26">
        <v>50</v>
      </c>
      <c r="J67" s="26">
        <v>0.3</v>
      </c>
      <c r="K67" s="26">
        <v>0.3</v>
      </c>
      <c r="L67" s="26">
        <v>100</v>
      </c>
      <c r="M67" s="26">
        <v>0</v>
      </c>
      <c r="N67" s="26">
        <v>0</v>
      </c>
      <c r="O67" s="26">
        <v>0</v>
      </c>
      <c r="P67" s="26">
        <v>0.3</v>
      </c>
      <c r="Q67" s="26">
        <v>0.8</v>
      </c>
      <c r="R67" s="26">
        <v>33.299999999999997</v>
      </c>
      <c r="S67" s="26">
        <v>1.25</v>
      </c>
      <c r="T67" s="26">
        <v>0.63</v>
      </c>
    </row>
    <row r="68" spans="7:20">
      <c r="G68" s="26">
        <v>0.5</v>
      </c>
      <c r="H68" s="26">
        <v>1.1000000000000001</v>
      </c>
      <c r="I68" s="26">
        <v>42.3</v>
      </c>
      <c r="J68" s="26">
        <v>0.2</v>
      </c>
      <c r="K68" s="26">
        <v>0.4</v>
      </c>
      <c r="L68" s="26">
        <v>40</v>
      </c>
      <c r="M68" s="26">
        <v>0</v>
      </c>
      <c r="N68" s="26">
        <v>0</v>
      </c>
      <c r="O68" s="26">
        <v>0</v>
      </c>
      <c r="P68" s="26">
        <v>0.3</v>
      </c>
      <c r="Q68" s="26">
        <v>0.7</v>
      </c>
      <c r="R68" s="26">
        <v>43.8</v>
      </c>
      <c r="S68" s="26">
        <v>1</v>
      </c>
      <c r="T68" s="26">
        <v>0.5</v>
      </c>
    </row>
    <row r="69" spans="7:20">
      <c r="G69" s="26">
        <v>0.3</v>
      </c>
      <c r="H69" s="26">
        <v>0.7</v>
      </c>
      <c r="I69" s="26">
        <v>45.5</v>
      </c>
      <c r="J69" s="26">
        <v>0.1</v>
      </c>
      <c r="K69" s="26">
        <v>0.3</v>
      </c>
      <c r="L69" s="26">
        <v>20</v>
      </c>
      <c r="M69" s="26">
        <v>0.1</v>
      </c>
      <c r="N69" s="26">
        <v>0.3</v>
      </c>
      <c r="O69" s="26">
        <v>50</v>
      </c>
      <c r="P69" s="26">
        <v>0.3</v>
      </c>
      <c r="Q69" s="26">
        <v>0.4</v>
      </c>
      <c r="R69" s="26">
        <v>66.7</v>
      </c>
      <c r="S69" s="26">
        <v>1.1819999999999999</v>
      </c>
      <c r="T69" s="26">
        <v>0.5</v>
      </c>
    </row>
    <row r="70" spans="7:20">
      <c r="G70" s="26">
        <v>0</v>
      </c>
      <c r="H70" s="26">
        <v>2</v>
      </c>
      <c r="I70" s="26">
        <v>0</v>
      </c>
      <c r="J70" s="26">
        <v>0</v>
      </c>
      <c r="K70" s="26">
        <v>1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1</v>
      </c>
      <c r="R70" s="26">
        <v>0</v>
      </c>
      <c r="S70" s="26">
        <v>0</v>
      </c>
      <c r="T70" s="26">
        <v>0</v>
      </c>
    </row>
    <row r="71" spans="7:20">
      <c r="G71" s="26">
        <v>0</v>
      </c>
      <c r="H71" s="26">
        <v>0.3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0.3</v>
      </c>
      <c r="R71" s="26">
        <v>0</v>
      </c>
      <c r="S71" s="26">
        <v>0</v>
      </c>
      <c r="T71" s="26">
        <v>0</v>
      </c>
    </row>
    <row r="72" spans="7:20">
      <c r="G72" s="25">
        <v>43</v>
      </c>
      <c r="H72" s="25">
        <v>90.1</v>
      </c>
      <c r="I72" s="25">
        <v>47.8</v>
      </c>
      <c r="J72" s="25">
        <v>12.6</v>
      </c>
      <c r="K72" s="25">
        <v>35.200000000000003</v>
      </c>
      <c r="L72" s="25">
        <v>35.700000000000003</v>
      </c>
      <c r="M72" s="25">
        <v>17.100000000000001</v>
      </c>
      <c r="N72" s="25">
        <v>21.2</v>
      </c>
      <c r="O72" s="25">
        <v>80.599999999999994</v>
      </c>
      <c r="P72" s="25">
        <v>30.5</v>
      </c>
      <c r="Q72" s="25">
        <v>54.9</v>
      </c>
      <c r="R72" s="25">
        <v>55.5</v>
      </c>
      <c r="S72" s="25">
        <v>1.2849999999999999</v>
      </c>
      <c r="T72" s="25">
        <v>0.55000000000000004</v>
      </c>
    </row>
  </sheetData>
  <hyperlinks>
    <hyperlink ref="B1" r:id="rId1" display="javascript:__doPostBack('ctl00$ContentPlaceHolder1$GridView1','Sort$NAME')" xr:uid="{6D0C639A-86EA-3049-879C-CD16F8F27CBE}"/>
    <hyperlink ref="C1" r:id="rId2" display="javascript:__doPostBack('ctl00$ContentPlaceHolder1$GridView1','Sort$posm')" xr:uid="{FC4422E4-60AD-8941-BE1C-E36CDE4C803F}"/>
    <hyperlink ref="D1" r:id="rId3" display="javascript:__doPostBack('ctl00$ContentPlaceHolder1$GridView1','Sort$tsum')" xr:uid="{1FC8F8A9-BA2A-2341-8D08-8072F8ECFD27}"/>
    <hyperlink ref="E1" r:id="rId4" display="javascript:__doPostBack('ctl00$ContentPlaceHolder1$GridView1','Sort$GP')" xr:uid="{66FB33B8-819A-7A4A-A45D-69A7B9EA9577}"/>
    <hyperlink ref="F1" r:id="rId5" display="javascript:__doPostBack('ctl00$ContentPlaceHolder1$GridView1','Sort$MPG')" xr:uid="{51F7EDA0-1DCC-3E4F-AAFD-0298EE8A5828}"/>
    <hyperlink ref="G1" r:id="rId6" display="javascript:__doPostBack('ctl00$ContentPlaceHolder1$GridView1','Sort$fgp')" xr:uid="{EB4F9C30-7F36-4E48-B6CC-6BDA8B38602D}"/>
    <hyperlink ref="H1" r:id="rId7" display="javascript:__doPostBack('ctl00$ContentPlaceHolder1$GridView1','Sort$ftp')" xr:uid="{0392C27C-39F8-434C-B54A-CF1C3E0BAD97}"/>
    <hyperlink ref="I1" r:id="rId8" display="javascript:__doPostBack('ctl00$ContentPlaceHolder1$GridView1','Sort$tgm')" xr:uid="{D58A6D2D-AE8B-F348-AA13-88B4E35713C2}"/>
    <hyperlink ref="J1" r:id="rId9" display="javascript:__doPostBack('ctl00$ContentPlaceHolder1$GridView1','Sort$pts')" xr:uid="{9591EAA3-78FD-D84A-ACAC-0B409D73ED7F}"/>
    <hyperlink ref="K1" r:id="rId10" display="javascript:__doPostBack('ctl00$ContentPlaceHolder1$GridView1','Sort$reb')" xr:uid="{D44542BF-8290-184D-9237-64648AA3FAC2}"/>
    <hyperlink ref="L1" r:id="rId11" display="javascript:__doPostBack('ctl00$ContentPlaceHolder1$GridView1','Sort$ast')" xr:uid="{AF0B03E1-316C-434F-A8CC-154CC36CD98B}"/>
    <hyperlink ref="M1" r:id="rId12" display="javascript:__doPostBack('ctl00$ContentPlaceHolder1$GridView1','Sort$stl')" xr:uid="{051BA729-54AD-D44E-8FDA-4DBD5F9810D6}"/>
    <hyperlink ref="N1" r:id="rId13" display="javascript:__doPostBack('ctl00$ContentPlaceHolder1$GridView1','Sort$blk')" xr:uid="{3B1FC401-27B8-BB43-A1EA-489E1A0A6056}"/>
    <hyperlink ref="O1" r:id="rId14" display="javascript:__doPostBack('ctl00$ContentPlaceHolder1$GridView1','Sort$tur')" xr:uid="{0DED2FC7-886B-B24D-9A5E-697E2DE99892}"/>
    <hyperlink ref="P1" r:id="rId15" display="javascript:__doPostBack('ctl00$ContentPlaceHolder1$GridView1','Sort$totalz')" xr:uid="{5F2549A3-A266-5B4C-BC20-9270595556CD}"/>
    <hyperlink ref="B2" r:id="rId16" display="https://hashtagbasketball.com/10113/player" xr:uid="{C2F53EFD-C78F-1D4D-95D7-E79912175FAF}"/>
    <hyperlink ref="B3" r:id="rId17" display="https://hashtagbasketball.com/9343/player" xr:uid="{2B9719C2-4C3D-0147-8299-724DFF68F482}"/>
    <hyperlink ref="B4" r:id="rId18" display="https://hashtagbasketball.com/9489/player" xr:uid="{4B1CA0E7-518E-0E42-8BAE-FA1234049B21}"/>
    <hyperlink ref="B5" r:id="rId19" display="https://hashtagbasketball.com/53595/player" xr:uid="{42DB6665-4216-7F4A-AE28-5C0651D67370}"/>
    <hyperlink ref="B6" r:id="rId20" display="https://hashtagbasketball.com/38942/player" xr:uid="{214AC046-2D67-5143-9E11-D2320B47BF58}"/>
    <hyperlink ref="B7" r:id="rId21" display="https://hashtagbasketball.com/13739/player" xr:uid="{CE1B5F94-965C-6440-A2AB-DCE4863E020C}"/>
    <hyperlink ref="B8" r:id="rId22" display="https://hashtagbasketball.com/9084/player" xr:uid="{394BC6D9-D34E-C740-A601-BC10B7CF8F03}"/>
    <hyperlink ref="B9" r:id="rId23" display="https://hashtagbasketball.com/15323/player" xr:uid="{3FEB96B7-4C2B-2C48-A6E3-A73C29DBB971}"/>
    <hyperlink ref="B10" r:id="rId24" display="https://hashtagbasketball.com/120226/player" xr:uid="{9ED64B68-8168-F34D-B5D8-D5C0BEB594B4}"/>
    <hyperlink ref="B11" r:id="rId25" display="https://hashtagbasketball.com/120244/player" xr:uid="{6F84F042-0EA1-E94C-9F0A-D9AC4A4A141C}"/>
    <hyperlink ref="B12" r:id="rId26" display="https://hashtagbasketball.com/120013/player" xr:uid="{C156D930-7F71-8844-A155-7EDA29A29338}"/>
    <hyperlink ref="B13" r:id="rId27" display="https://hashtagbasketball.com/10115/player" xr:uid="{3EF5DBB4-12B7-6A49-BE84-9E0289C2B384}"/>
    <hyperlink ref="B14" r:id="rId28" display="https://hashtagbasketball.com/9148/player" xr:uid="{AEED7EFB-8E51-0F41-A162-01738DD3AC94}"/>
    <hyperlink ref="B15" r:id="rId29" display="https://hashtagbasketball.com/120082/player" xr:uid="{90C24DB7-B04A-7E43-9343-0F3A53E611E4}"/>
    <hyperlink ref="G21" r:id="rId30" display="https://www.espn.com/nba/player/_/id/4066259/deaaron-fox" xr:uid="{3DC8E50D-08C3-014A-A00C-02053AE3F082}"/>
    <hyperlink ref="G22" r:id="rId31" display="https://www.espn.com/nba/player/_/id/3064440/zach-lavine" xr:uid="{6AD7630B-080F-7945-85C9-1E3ADE85AF0F}"/>
    <hyperlink ref="G23" r:id="rId32" display="https://www.espn.com/nba/player/_/id/3978/demar-derozan" xr:uid="{60D15CC9-F03D-4741-B0E0-A573C205D903}"/>
    <hyperlink ref="G24" r:id="rId33" display="https://www.espn.com/nba/player/_/id/3155942/domantas-sabonis" xr:uid="{628A713C-8113-C64E-A514-14BD4FA30E48}"/>
    <hyperlink ref="G25" r:id="rId34" display="https://www.espn.com/nba/player/_/id/4066262/malik-monk" xr:uid="{41186C8F-07F4-D34B-B879-15EDFA878055}"/>
    <hyperlink ref="G26" r:id="rId35" display="https://www.espn.com/nba/player/_/id/4594327/keegan-murray" xr:uid="{C579E6C8-D391-B245-8B74-BC6A701F15DE}"/>
    <hyperlink ref="G27" r:id="rId36" display="https://www.espn.com/nba/player/_/id/6477/jonas-valanciunas" xr:uid="{654FF01B-B9F4-414C-BA3D-EDA348703AD0}"/>
    <hyperlink ref="G28" r:id="rId37" display="https://www.espn.com/nba/player/_/id/4702177/keon-ellis" xr:uid="{33F63042-2B15-5A42-8192-4F58103AF635}"/>
    <hyperlink ref="G29" r:id="rId38" display="https://www.espn.com/nba/player/_/id/4066372/kevin-huerter" xr:uid="{A99B7CDC-E2C4-F744-931E-896940039141}"/>
    <hyperlink ref="G30" r:id="rId39" display="https://www.espn.com/nba/player/_/id/3136196/trey-lyles" xr:uid="{DDA6F735-11D6-134E-BFFD-AE1722CE656F}"/>
    <hyperlink ref="G31" r:id="rId40" display="https://www.espn.com/nba/player/_/id/4592691/jake-laravia" xr:uid="{194CD071-92C2-3D44-8A4A-74E76B77721B}"/>
    <hyperlink ref="G32" r:id="rId41" display="https://www.espn.com/nba/player/_/id/4433188/devin-carter" xr:uid="{94546E52-72F6-AA42-84D9-7D36A171AA2A}"/>
    <hyperlink ref="G33" r:id="rId42" display="https://www.espn.com/nba/player/_/id/2528588/doug-mcdermott" xr:uid="{E73525AA-763B-FC41-9270-CB14F05C026A}"/>
    <hyperlink ref="G34" r:id="rId43" display="https://www.espn.com/nba/player/_/id/5107818/isaac-jones" xr:uid="{F53BE533-AE52-E845-9D5A-69B553541A57}"/>
    <hyperlink ref="G35" r:id="rId44" display="https://www.espn.com/nba/player/_/id/4066636/markelle-fultz" xr:uid="{129A7EE0-18D9-5640-8428-B6D2D4F3FC50}"/>
    <hyperlink ref="G36" r:id="rId45" display="https://www.espn.com/nba/player/_/id/6581/jae-crowder" xr:uid="{05B5CA67-783C-214E-87EE-BA1566499D24}"/>
    <hyperlink ref="G37" r:id="rId46" display="https://www.espn.com/nba/player/_/id/4395704/mason-jones" xr:uid="{9D6DD228-59D3-5C46-9AC6-2E1F167B5682}"/>
    <hyperlink ref="G38" r:id="rId47" display="https://www.espn.com/nba/player/_/id/4593049/orlando-robinson" xr:uid="{E851D278-A9BD-3440-9031-B8F934D56D8A}"/>
    <hyperlink ref="G39" r:id="rId48" display="https://www.espn.com/nba/player/_/id/3134916/jordan-mclaughlin" xr:uid="{0407EF59-45A1-A94B-B3DF-3B1188EAF797}"/>
    <hyperlink ref="G40" r:id="rId49" display="https://www.espn.com/nba/player/_/id/2596107/alex-len" xr:uid="{BA5CF3AC-ECE4-6449-99D5-1B9295872B91}"/>
    <hyperlink ref="G41" r:id="rId50" display="https://www.espn.com/nba/player/_/id/3936296/skal-labissiere" xr:uid="{0F4FA6A8-EF23-C94E-8118-1211D00EC2DE}"/>
    <hyperlink ref="G42" r:id="rId51" display="https://www.espn.com/nba/player/_/id/4433378/colby-jones" xr:uid="{3BB8C754-99E9-8C40-B679-844AD926AC14}"/>
    <hyperlink ref="G43" r:id="rId52" display="https://www.espn.com/nba/player/_/id/4592857/isaiah-crawford" xr:uid="{8D8665B7-6ECC-634B-B77A-963CA91BD159}"/>
    <hyperlink ref="G44" r:id="rId53" display="https://www.espn.com/nba/player/_/id/3919454/terence-davis" xr:uid="{5C7BD54A-4B6E-564D-89CF-FE151DA212A8}"/>
    <hyperlink ref="G45" r:id="rId54" display="https://www.espn.com/nba/player/_/id/4279815/terry-taylor" xr:uid="{65D1CFC6-3BF4-FE48-8F42-59A88EF9A235}"/>
    <hyperlink ref="G47" r:id="rId55" display="https://www.espn.com/nba/team/stats/_/name/sac/table/game/sort/avgFieldGoalsMade/dir/desc" xr:uid="{D9C8BBE4-3D0E-584B-B974-A5F2F2F43538}"/>
    <hyperlink ref="H47" r:id="rId56" display="https://www.espn.com/nba/team/stats/_/name/sac/table/game/sort/avgFieldGoalsAttempted/dir/desc" xr:uid="{BC2C24FA-6E47-5042-B2A8-00203EA255F0}"/>
    <hyperlink ref="I47" r:id="rId57" display="https://www.espn.com/nba/team/stats/_/name/sac/table/game/sort/fieldGoalPct/dir/desc" xr:uid="{F33C7A46-225C-854B-B187-357429D53722}"/>
    <hyperlink ref="J47" r:id="rId58" display="https://www.espn.com/nba/team/stats/_/name/sac/table/game/sort/avgThreePointFieldGoalsMade/dir/desc" xr:uid="{152BA8EB-1C5C-0348-805C-6078449AE223}"/>
    <hyperlink ref="K47" r:id="rId59" display="https://www.espn.com/nba/team/stats/_/name/sac/table/game/sort/avgThreePointFieldGoalsAttempted/dir/desc" xr:uid="{ABDF1E63-572F-9E47-AFC9-DEB32CCFFE6A}"/>
    <hyperlink ref="L47" r:id="rId60" display="https://www.espn.com/nba/team/stats/_/name/sac/table/game/sort/threePointPct/dir/desc" xr:uid="{E0FC3264-F9F1-284F-BADB-FADEB634BB4B}"/>
    <hyperlink ref="M47" r:id="rId61" display="https://www.espn.com/nba/team/stats/_/name/sac/table/game/sort/avgFreeThrowsMade/dir/desc" xr:uid="{A7910701-4DFC-8D49-833C-B1B70D51A388}"/>
    <hyperlink ref="N47" r:id="rId62" display="https://www.espn.com/nba/team/stats/_/name/sac/table/game/sort/avgFreeThrowsAttempted/dir/desc" xr:uid="{A1D6BB3F-8F75-814B-AEE5-29243A4FD903}"/>
    <hyperlink ref="O47" r:id="rId63" display="https://www.espn.com/nba/team/stats/_/name/sac/table/game/sort/freeThrowPct/dir/desc" xr:uid="{787FDD9B-73C8-F040-8176-ED76F8FE4CCF}"/>
    <hyperlink ref="P47" r:id="rId64" display="https://www.espn.com/nba/team/stats/_/name/sac/table/game/sort/avgTwoPointFieldGoalsMade/dir/desc" xr:uid="{22BE9D18-066A-9543-99E6-F4D02AE56268}"/>
    <hyperlink ref="Q47" r:id="rId65" display="https://www.espn.com/nba/team/stats/_/name/sac/table/game/sort/avgTwoPointFieldGoalsAttempted/dir/desc" xr:uid="{132C16F4-5243-C144-8F29-45807B944CFA}"/>
    <hyperlink ref="R47" r:id="rId66" display="https://www.espn.com/nba/team/stats/_/name/sac/table/game/sort/twoPointFieldGoalPct/dir/desc" xr:uid="{4BE81211-0D8E-DB4E-8E94-12D0B880670C}"/>
    <hyperlink ref="S47" r:id="rId67" display="https://www.espn.com/nba/team/stats/_/name/sac/table/game/sort/scoringEfficiency/dir/desc" xr:uid="{F57F4EF2-CDFB-3447-9032-88F40480C406}"/>
    <hyperlink ref="T47" r:id="rId68" display="https://www.espn.com/nba/team/stats/_/name/sac/table/game/sort/shootingEfficiency/dir/desc" xr:uid="{415A5670-1AD0-6D41-88F0-47DEB2751905}"/>
    <hyperlink ref="L19" r:id="rId69" display="javascript:__doPostBack('ctl00$ContentPlaceHolder1$GridView1','Sort$NAME')" xr:uid="{3DB703ED-FC8A-194E-916C-1B6C64D444ED}"/>
    <hyperlink ref="L20" r:id="rId70" display="https://hashtagbasketball.com/10113/player" xr:uid="{913542B5-3DEB-E946-B087-F5504C42A947}"/>
    <hyperlink ref="L21" r:id="rId71" display="https://hashtagbasketball.com/9343/player" xr:uid="{F30FAC4F-4920-E840-8805-7158C488C154}"/>
    <hyperlink ref="L22" r:id="rId72" display="https://hashtagbasketball.com/9489/player" xr:uid="{12D98177-1268-BF42-B33A-2AABE8BB05CE}"/>
    <hyperlink ref="L23" r:id="rId73" display="https://hashtagbasketball.com/53595/player" xr:uid="{420FCEBA-4D4A-2B4D-8EFB-4847F6C0F11A}"/>
    <hyperlink ref="L24" r:id="rId74" display="https://hashtagbasketball.com/38942/player" xr:uid="{0AAF6FE7-E5F6-EF4B-9073-7B6A02ABFBEE}"/>
    <hyperlink ref="L25" r:id="rId75" display="https://hashtagbasketball.com/13739/player" xr:uid="{D3CC9530-A8A6-824B-AE3D-80BC198D8FE7}"/>
    <hyperlink ref="L26" r:id="rId76" display="https://hashtagbasketball.com/9084/player" xr:uid="{F5207383-89B8-B94D-8835-9D2C74C3DAF2}"/>
    <hyperlink ref="L27" r:id="rId77" display="https://hashtagbasketball.com/15323/player" xr:uid="{90AC4E27-3A3F-B34E-A2A5-EC4E013546F5}"/>
    <hyperlink ref="L28" r:id="rId78" display="https://hashtagbasketball.com/120226/player" xr:uid="{CC6AACA0-2EC3-F74F-93FB-ADAC949AAF47}"/>
    <hyperlink ref="L29" r:id="rId79" display="https://hashtagbasketball.com/120244/player" xr:uid="{7C9FF226-BD39-6E4B-ADE3-C9BC23A79906}"/>
    <hyperlink ref="L30" r:id="rId80" display="https://hashtagbasketball.com/120013/player" xr:uid="{C343B6D9-1469-E44B-BBA4-BF7FE2BEFD5C}"/>
    <hyperlink ref="L31" r:id="rId81" display="https://hashtagbasketball.com/10115/player" xr:uid="{9E3DB823-91B6-054C-A5E5-020C227D85AA}"/>
    <hyperlink ref="L32" r:id="rId82" display="https://hashtagbasketball.com/9148/player" xr:uid="{0668537D-2BF2-344F-928C-6EB931CF08F9}"/>
    <hyperlink ref="L33" r:id="rId83" display="https://hashtagbasketball.com/120082/player" xr:uid="{393F0423-C818-4D4D-B88E-641534CFF27D}"/>
    <hyperlink ref="M19" r:id="rId84" display="javascript:__doPostBack('ctl00$ContentPlaceHolder1$GridView1','Sort$GP')" xr:uid="{19D6364E-DF30-AF41-B01C-AF122C50F5B5}"/>
    <hyperlink ref="N19" r:id="rId85" display="javascript:__doPostBack('ctl00$ContentPlaceHolder1$GridView1','Sort$MPG')" xr:uid="{CB693179-68BD-7F4E-A159-C04E1EA3DFC0}"/>
    <hyperlink ref="O19" r:id="rId86" display="javascript:__doPostBack('ctl00$ContentPlaceHolder1$GridView1','Sort$pts')" xr:uid="{5824A6B7-AC95-6F4C-988A-99730BAA7EF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73DE-9CD7-8D4D-9850-8390788E881F}">
  <dimension ref="A1:C423"/>
  <sheetViews>
    <sheetView workbookViewId="0">
      <selection activeCell="C189" sqref="C189:C423"/>
    </sheetView>
  </sheetViews>
  <sheetFormatPr baseColWidth="10" defaultRowHeight="16"/>
  <sheetData>
    <row r="1" spans="1:3" ht="18">
      <c r="A1" s="40" t="s">
        <v>970</v>
      </c>
      <c r="B1" s="40" t="s">
        <v>3</v>
      </c>
      <c r="C1" s="40" t="s">
        <v>285</v>
      </c>
    </row>
    <row r="2" spans="1:3" ht="18">
      <c r="A2" s="1" t="s">
        <v>19</v>
      </c>
      <c r="B2" s="40" t="s">
        <v>20</v>
      </c>
      <c r="C2" s="40">
        <v>1.5</v>
      </c>
    </row>
    <row r="3" spans="1:3" ht="18">
      <c r="A3" s="1" t="s">
        <v>30</v>
      </c>
      <c r="B3" s="40" t="s">
        <v>31</v>
      </c>
      <c r="C3" s="40">
        <v>1.9</v>
      </c>
    </row>
    <row r="4" spans="1:3" ht="18">
      <c r="A4" s="1" t="s">
        <v>27</v>
      </c>
      <c r="B4" s="40" t="s">
        <v>26</v>
      </c>
      <c r="C4" s="40">
        <v>3.4</v>
      </c>
    </row>
    <row r="5" spans="1:3" ht="18">
      <c r="A5" s="1" t="s">
        <v>21</v>
      </c>
      <c r="B5" s="40" t="s">
        <v>23</v>
      </c>
      <c r="C5" s="40">
        <v>3.9</v>
      </c>
    </row>
    <row r="6" spans="1:3" ht="18">
      <c r="A6" s="1" t="s">
        <v>97</v>
      </c>
      <c r="B6" s="40" t="s">
        <v>98</v>
      </c>
      <c r="C6" s="40">
        <v>6</v>
      </c>
    </row>
    <row r="7" spans="1:3" ht="18">
      <c r="A7" s="1" t="s">
        <v>65</v>
      </c>
      <c r="B7" s="40" t="s">
        <v>77</v>
      </c>
      <c r="C7" s="40">
        <v>6.4</v>
      </c>
    </row>
    <row r="8" spans="1:3" ht="18">
      <c r="A8" s="1" t="s">
        <v>74</v>
      </c>
      <c r="B8" s="40" t="s">
        <v>73</v>
      </c>
      <c r="C8" s="40">
        <v>7.8</v>
      </c>
    </row>
    <row r="9" spans="1:3" ht="18">
      <c r="A9" s="1" t="s">
        <v>46</v>
      </c>
      <c r="B9" s="40" t="s">
        <v>47</v>
      </c>
      <c r="C9" s="40">
        <v>8.5</v>
      </c>
    </row>
    <row r="10" spans="1:3" ht="18">
      <c r="A10" s="1" t="s">
        <v>69</v>
      </c>
      <c r="B10" s="40" t="s">
        <v>18</v>
      </c>
      <c r="C10" s="40">
        <v>9.6999999999999993</v>
      </c>
    </row>
    <row r="11" spans="1:3" ht="18">
      <c r="A11" s="1" t="s">
        <v>520</v>
      </c>
      <c r="B11" s="40" t="s">
        <v>29</v>
      </c>
      <c r="C11" s="40">
        <v>10.199999999999999</v>
      </c>
    </row>
    <row r="12" spans="1:3" ht="18">
      <c r="A12" s="1" t="s">
        <v>102</v>
      </c>
      <c r="B12" s="40" t="s">
        <v>61</v>
      </c>
      <c r="C12" s="40">
        <v>12.1</v>
      </c>
    </row>
    <row r="13" spans="1:3" ht="18">
      <c r="A13" s="1" t="s">
        <v>41</v>
      </c>
      <c r="B13" s="40" t="s">
        <v>42</v>
      </c>
      <c r="C13" s="40">
        <v>13.5</v>
      </c>
    </row>
    <row r="14" spans="1:3" ht="18">
      <c r="A14" s="1" t="s">
        <v>35</v>
      </c>
      <c r="B14" s="40" t="s">
        <v>36</v>
      </c>
      <c r="C14" s="40">
        <v>13.8</v>
      </c>
    </row>
    <row r="15" spans="1:3" ht="18">
      <c r="A15" s="1" t="s">
        <v>58</v>
      </c>
      <c r="B15" s="40" t="s">
        <v>59</v>
      </c>
      <c r="C15" s="40">
        <v>15.1</v>
      </c>
    </row>
    <row r="16" spans="1:3" ht="18">
      <c r="A16" s="1" t="s">
        <v>72</v>
      </c>
      <c r="B16" s="40" t="s">
        <v>68</v>
      </c>
      <c r="C16" s="40">
        <v>15.6</v>
      </c>
    </row>
    <row r="17" spans="1:3" ht="18">
      <c r="A17" s="1" t="s">
        <v>32</v>
      </c>
      <c r="B17" s="40" t="s">
        <v>71</v>
      </c>
      <c r="C17" s="40">
        <v>16</v>
      </c>
    </row>
    <row r="18" spans="1:3" ht="18">
      <c r="A18" s="1" t="s">
        <v>105</v>
      </c>
      <c r="B18" s="40" t="s">
        <v>71</v>
      </c>
      <c r="C18" s="40">
        <v>18.399999999999999</v>
      </c>
    </row>
    <row r="19" spans="1:3" ht="18">
      <c r="A19" s="1" t="s">
        <v>80</v>
      </c>
      <c r="B19" s="40" t="s">
        <v>20</v>
      </c>
      <c r="C19" s="40">
        <v>20.8</v>
      </c>
    </row>
    <row r="20" spans="1:3" ht="18">
      <c r="A20" s="1" t="s">
        <v>67</v>
      </c>
      <c r="B20" s="40" t="s">
        <v>68</v>
      </c>
      <c r="C20" s="40">
        <v>21.3</v>
      </c>
    </row>
    <row r="21" spans="1:3" ht="18">
      <c r="A21" s="1" t="s">
        <v>191</v>
      </c>
      <c r="B21" s="40" t="s">
        <v>71</v>
      </c>
      <c r="C21" s="40">
        <v>23</v>
      </c>
    </row>
    <row r="22" spans="1:3" ht="18">
      <c r="A22" s="1" t="s">
        <v>171</v>
      </c>
      <c r="B22" s="40" t="s">
        <v>82</v>
      </c>
      <c r="C22" s="40">
        <v>23</v>
      </c>
    </row>
    <row r="23" spans="1:3" ht="18">
      <c r="A23" s="1" t="s">
        <v>49</v>
      </c>
      <c r="B23" s="40" t="s">
        <v>50</v>
      </c>
      <c r="C23" s="40">
        <v>23.1</v>
      </c>
    </row>
    <row r="24" spans="1:3" ht="18">
      <c r="A24" s="1" t="s">
        <v>123</v>
      </c>
      <c r="B24" s="40" t="s">
        <v>26</v>
      </c>
      <c r="C24" s="40">
        <v>23.6</v>
      </c>
    </row>
    <row r="25" spans="1:3" ht="18">
      <c r="A25" s="1" t="s">
        <v>60</v>
      </c>
      <c r="B25" s="40" t="s">
        <v>139</v>
      </c>
      <c r="C25" s="40">
        <v>24.4</v>
      </c>
    </row>
    <row r="26" spans="1:3" ht="18">
      <c r="A26" s="1" t="s">
        <v>43</v>
      </c>
      <c r="B26" s="40" t="s">
        <v>34</v>
      </c>
      <c r="C26" s="40">
        <v>25.2</v>
      </c>
    </row>
    <row r="27" spans="1:3" ht="18">
      <c r="A27" s="1" t="s">
        <v>52</v>
      </c>
      <c r="B27" s="40" t="s">
        <v>73</v>
      </c>
      <c r="C27" s="40">
        <v>25.8</v>
      </c>
    </row>
    <row r="28" spans="1:3" ht="18">
      <c r="A28" s="1" t="s">
        <v>96</v>
      </c>
      <c r="B28" s="40" t="s">
        <v>77</v>
      </c>
      <c r="C28" s="40">
        <v>26.7</v>
      </c>
    </row>
    <row r="29" spans="1:3" ht="18">
      <c r="A29" s="1" t="s">
        <v>62</v>
      </c>
      <c r="B29" s="40" t="s">
        <v>63</v>
      </c>
      <c r="C29" s="40">
        <v>28.6</v>
      </c>
    </row>
    <row r="30" spans="1:3" ht="18">
      <c r="A30" s="1" t="s">
        <v>87</v>
      </c>
      <c r="B30" s="40" t="s">
        <v>36</v>
      </c>
      <c r="C30" s="40">
        <v>29.4</v>
      </c>
    </row>
    <row r="31" spans="1:3" ht="18">
      <c r="A31" s="1" t="s">
        <v>118</v>
      </c>
      <c r="B31" s="40" t="s">
        <v>18</v>
      </c>
      <c r="C31" s="40">
        <v>30.3</v>
      </c>
    </row>
    <row r="32" spans="1:3" ht="18">
      <c r="A32" s="1" t="s">
        <v>66</v>
      </c>
      <c r="B32" s="40" t="s">
        <v>23</v>
      </c>
      <c r="C32" s="40">
        <v>30.4</v>
      </c>
    </row>
    <row r="33" spans="1:3" ht="18">
      <c r="A33" s="1" t="s">
        <v>37</v>
      </c>
      <c r="B33" s="40" t="s">
        <v>59</v>
      </c>
      <c r="C33" s="40">
        <v>34.200000000000003</v>
      </c>
    </row>
    <row r="34" spans="1:3" ht="18">
      <c r="A34" s="1" t="s">
        <v>64</v>
      </c>
      <c r="B34" s="40" t="s">
        <v>36</v>
      </c>
      <c r="C34" s="40">
        <v>35.200000000000003</v>
      </c>
    </row>
    <row r="35" spans="1:3" ht="18">
      <c r="A35" s="1" t="s">
        <v>110</v>
      </c>
      <c r="B35" s="40" t="s">
        <v>98</v>
      </c>
      <c r="C35" s="40">
        <v>35.700000000000003</v>
      </c>
    </row>
    <row r="36" spans="1:3" ht="18">
      <c r="A36" s="1" t="s">
        <v>168</v>
      </c>
      <c r="B36" s="40" t="s">
        <v>112</v>
      </c>
      <c r="C36" s="40">
        <v>35.700000000000003</v>
      </c>
    </row>
    <row r="37" spans="1:3" ht="18">
      <c r="A37" s="1" t="s">
        <v>152</v>
      </c>
      <c r="B37" s="40" t="s">
        <v>95</v>
      </c>
      <c r="C37" s="40">
        <v>36.700000000000003</v>
      </c>
    </row>
    <row r="38" spans="1:3" ht="18">
      <c r="A38" s="1" t="s">
        <v>56</v>
      </c>
      <c r="B38" s="40" t="s">
        <v>57</v>
      </c>
      <c r="C38" s="40">
        <v>36.799999999999997</v>
      </c>
    </row>
    <row r="39" spans="1:3" ht="18">
      <c r="A39" s="1" t="s">
        <v>45</v>
      </c>
      <c r="B39" s="40" t="s">
        <v>18</v>
      </c>
      <c r="C39" s="40">
        <v>37.6</v>
      </c>
    </row>
    <row r="40" spans="1:3" ht="18">
      <c r="A40" s="1" t="s">
        <v>165</v>
      </c>
      <c r="B40" s="40" t="s">
        <v>91</v>
      </c>
      <c r="C40" s="40">
        <v>40.299999999999997</v>
      </c>
    </row>
    <row r="41" spans="1:3" ht="18">
      <c r="A41" s="1" t="s">
        <v>93</v>
      </c>
      <c r="B41" s="40" t="s">
        <v>23</v>
      </c>
      <c r="C41" s="40">
        <v>40.4</v>
      </c>
    </row>
    <row r="42" spans="1:3" ht="18">
      <c r="A42" s="1" t="s">
        <v>136</v>
      </c>
      <c r="B42" s="40" t="s">
        <v>26</v>
      </c>
      <c r="C42" s="40">
        <v>41.8</v>
      </c>
    </row>
    <row r="43" spans="1:3" ht="18">
      <c r="A43" s="1" t="s">
        <v>24</v>
      </c>
      <c r="B43" s="40" t="s">
        <v>139</v>
      </c>
      <c r="C43" s="40">
        <v>42.6</v>
      </c>
    </row>
    <row r="44" spans="1:3" ht="18">
      <c r="A44" s="1" t="s">
        <v>272</v>
      </c>
      <c r="B44" s="40" t="s">
        <v>91</v>
      </c>
      <c r="C44" s="40">
        <v>43.5</v>
      </c>
    </row>
    <row r="45" spans="1:3" ht="18">
      <c r="A45" s="1" t="s">
        <v>163</v>
      </c>
      <c r="B45" s="40" t="s">
        <v>53</v>
      </c>
      <c r="C45" s="40">
        <v>44.1</v>
      </c>
    </row>
    <row r="46" spans="1:3" ht="18">
      <c r="A46" s="1" t="s">
        <v>84</v>
      </c>
      <c r="B46" s="40" t="s">
        <v>47</v>
      </c>
      <c r="C46" s="40">
        <v>45.1</v>
      </c>
    </row>
    <row r="47" spans="1:3" ht="18">
      <c r="A47" s="1" t="s">
        <v>89</v>
      </c>
      <c r="B47" s="40" t="s">
        <v>57</v>
      </c>
      <c r="C47" s="40">
        <v>47.8</v>
      </c>
    </row>
    <row r="48" spans="1:3" ht="18">
      <c r="A48" s="1" t="s">
        <v>694</v>
      </c>
      <c r="B48" s="40" t="s">
        <v>53</v>
      </c>
      <c r="C48" s="40">
        <v>49.8</v>
      </c>
    </row>
    <row r="49" spans="1:3" ht="18">
      <c r="A49" s="1" t="s">
        <v>40</v>
      </c>
      <c r="B49" s="40" t="s">
        <v>29</v>
      </c>
      <c r="C49" s="40">
        <v>49.8</v>
      </c>
    </row>
    <row r="50" spans="1:3" ht="18">
      <c r="A50" s="1" t="s">
        <v>122</v>
      </c>
      <c r="B50" s="40" t="s">
        <v>42</v>
      </c>
      <c r="C50" s="40">
        <v>50.2</v>
      </c>
    </row>
    <row r="51" spans="1:3" ht="18">
      <c r="A51" s="1" t="s">
        <v>16</v>
      </c>
      <c r="B51" s="40" t="s">
        <v>18</v>
      </c>
      <c r="C51" s="40">
        <v>50.3</v>
      </c>
    </row>
    <row r="52" spans="1:3" ht="18">
      <c r="A52" s="1" t="s">
        <v>111</v>
      </c>
      <c r="B52" s="40" t="s">
        <v>112</v>
      </c>
      <c r="C52" s="40">
        <v>51.8</v>
      </c>
    </row>
    <row r="53" spans="1:3" ht="18">
      <c r="A53" s="1" t="s">
        <v>78</v>
      </c>
      <c r="B53" s="40" t="s">
        <v>112</v>
      </c>
      <c r="C53" s="40">
        <v>53</v>
      </c>
    </row>
    <row r="54" spans="1:3" ht="18">
      <c r="A54" s="1" t="s">
        <v>268</v>
      </c>
      <c r="B54" s="40" t="s">
        <v>57</v>
      </c>
      <c r="C54" s="40">
        <v>53.3</v>
      </c>
    </row>
    <row r="55" spans="1:3" ht="18">
      <c r="A55" s="1" t="s">
        <v>286</v>
      </c>
      <c r="B55" s="40" t="s">
        <v>31</v>
      </c>
      <c r="C55" s="40">
        <v>54</v>
      </c>
    </row>
    <row r="56" spans="1:3" ht="18">
      <c r="A56" s="1" t="s">
        <v>164</v>
      </c>
      <c r="B56" s="40" t="s">
        <v>61</v>
      </c>
      <c r="C56" s="40">
        <v>55</v>
      </c>
    </row>
    <row r="57" spans="1:3" ht="18">
      <c r="A57" s="1" t="s">
        <v>957</v>
      </c>
      <c r="B57" s="40" t="s">
        <v>79</v>
      </c>
      <c r="C57" s="40">
        <v>55.4</v>
      </c>
    </row>
    <row r="58" spans="1:3" ht="18">
      <c r="A58" s="1" t="s">
        <v>133</v>
      </c>
      <c r="B58" s="40" t="s">
        <v>39</v>
      </c>
      <c r="C58" s="40">
        <v>61.5</v>
      </c>
    </row>
    <row r="59" spans="1:3" ht="18">
      <c r="A59" s="1" t="s">
        <v>297</v>
      </c>
      <c r="B59" s="40" t="s">
        <v>61</v>
      </c>
      <c r="C59" s="40">
        <v>61.5</v>
      </c>
    </row>
    <row r="60" spans="1:3" ht="18">
      <c r="A60" s="1" t="s">
        <v>154</v>
      </c>
      <c r="B60" s="40" t="s">
        <v>42</v>
      </c>
      <c r="C60" s="40">
        <v>61.9</v>
      </c>
    </row>
    <row r="61" spans="1:3" ht="18">
      <c r="A61" s="1" t="s">
        <v>131</v>
      </c>
      <c r="B61" s="40" t="s">
        <v>127</v>
      </c>
      <c r="C61" s="40">
        <v>62.2</v>
      </c>
    </row>
    <row r="62" spans="1:3" ht="18">
      <c r="A62" s="1" t="s">
        <v>175</v>
      </c>
      <c r="B62" s="40" t="s">
        <v>53</v>
      </c>
      <c r="C62" s="40">
        <v>64</v>
      </c>
    </row>
    <row r="63" spans="1:3" ht="18">
      <c r="A63" s="1" t="s">
        <v>237</v>
      </c>
      <c r="B63" s="40" t="s">
        <v>61</v>
      </c>
      <c r="C63" s="40">
        <v>65.2</v>
      </c>
    </row>
    <row r="64" spans="1:3" ht="18">
      <c r="A64" s="1" t="s">
        <v>288</v>
      </c>
      <c r="B64" s="40" t="s">
        <v>82</v>
      </c>
      <c r="C64" s="40">
        <v>65.7</v>
      </c>
    </row>
    <row r="65" spans="1:3" ht="18">
      <c r="A65" s="1" t="s">
        <v>143</v>
      </c>
      <c r="B65" s="40" t="s">
        <v>68</v>
      </c>
      <c r="C65" s="40">
        <v>67.7</v>
      </c>
    </row>
    <row r="66" spans="1:3" ht="18">
      <c r="A66" s="1" t="s">
        <v>128</v>
      </c>
      <c r="B66" s="40" t="s">
        <v>95</v>
      </c>
      <c r="C66" s="40">
        <v>67.7</v>
      </c>
    </row>
    <row r="67" spans="1:3" ht="18">
      <c r="A67" s="1" t="s">
        <v>86</v>
      </c>
      <c r="B67" s="40" t="s">
        <v>95</v>
      </c>
      <c r="C67" s="40">
        <v>67.8</v>
      </c>
    </row>
    <row r="68" spans="1:3" ht="18">
      <c r="A68" s="1" t="s">
        <v>119</v>
      </c>
      <c r="B68" s="40" t="s">
        <v>127</v>
      </c>
      <c r="C68" s="40">
        <v>68.599999999999994</v>
      </c>
    </row>
    <row r="69" spans="1:3" ht="18">
      <c r="A69" s="1" t="s">
        <v>137</v>
      </c>
      <c r="B69" s="40" t="s">
        <v>55</v>
      </c>
      <c r="C69" s="40">
        <v>68.7</v>
      </c>
    </row>
    <row r="70" spans="1:3" ht="18">
      <c r="A70" s="1" t="s">
        <v>269</v>
      </c>
      <c r="B70" s="40" t="s">
        <v>139</v>
      </c>
      <c r="C70" s="40">
        <v>68.8</v>
      </c>
    </row>
    <row r="71" spans="1:3" ht="18">
      <c r="A71" s="1" t="s">
        <v>54</v>
      </c>
      <c r="B71" s="40" t="s">
        <v>91</v>
      </c>
      <c r="C71" s="40">
        <v>69.3</v>
      </c>
    </row>
    <row r="72" spans="1:3" ht="18">
      <c r="A72" s="1" t="s">
        <v>88</v>
      </c>
      <c r="B72" s="40" t="s">
        <v>36</v>
      </c>
      <c r="C72" s="40">
        <v>70.099999999999994</v>
      </c>
    </row>
    <row r="73" spans="1:3" ht="18">
      <c r="A73" s="1" t="s">
        <v>109</v>
      </c>
      <c r="B73" s="40" t="s">
        <v>39</v>
      </c>
      <c r="C73" s="40">
        <v>71.8</v>
      </c>
    </row>
    <row r="74" spans="1:3" ht="18">
      <c r="A74" s="1" t="s">
        <v>101</v>
      </c>
      <c r="B74" s="40" t="s">
        <v>73</v>
      </c>
      <c r="C74" s="40">
        <v>73.8</v>
      </c>
    </row>
    <row r="75" spans="1:3" ht="18">
      <c r="A75" s="1" t="s">
        <v>841</v>
      </c>
      <c r="B75" s="40" t="s">
        <v>55</v>
      </c>
      <c r="C75" s="40">
        <v>74.5</v>
      </c>
    </row>
    <row r="76" spans="1:3" ht="18">
      <c r="A76" s="1" t="s">
        <v>719</v>
      </c>
      <c r="B76" s="40" t="s">
        <v>18</v>
      </c>
      <c r="C76" s="40">
        <v>74.599999999999994</v>
      </c>
    </row>
    <row r="77" spans="1:3" ht="18">
      <c r="A77" s="1" t="s">
        <v>273</v>
      </c>
      <c r="B77" s="40" t="s">
        <v>79</v>
      </c>
      <c r="C77" s="40">
        <v>75.400000000000006</v>
      </c>
    </row>
    <row r="78" spans="1:3" ht="18">
      <c r="A78" s="1" t="s">
        <v>289</v>
      </c>
      <c r="B78" s="40" t="s">
        <v>55</v>
      </c>
      <c r="C78" s="40">
        <v>76.2</v>
      </c>
    </row>
    <row r="79" spans="1:3" ht="18">
      <c r="A79" s="1" t="s">
        <v>971</v>
      </c>
      <c r="B79" s="40" t="s">
        <v>139</v>
      </c>
      <c r="C79" s="40">
        <v>79.099999999999994</v>
      </c>
    </row>
    <row r="80" spans="1:3" ht="18">
      <c r="A80" s="1" t="s">
        <v>960</v>
      </c>
      <c r="B80" s="40" t="s">
        <v>82</v>
      </c>
      <c r="C80" s="40">
        <v>79.400000000000006</v>
      </c>
    </row>
    <row r="81" spans="1:3" ht="18">
      <c r="A81" s="1" t="s">
        <v>83</v>
      </c>
      <c r="B81" s="40" t="s">
        <v>31</v>
      </c>
      <c r="C81" s="40">
        <v>80.099999999999994</v>
      </c>
    </row>
    <row r="82" spans="1:3" ht="18">
      <c r="A82" s="1" t="s">
        <v>221</v>
      </c>
      <c r="B82" s="40" t="s">
        <v>98</v>
      </c>
      <c r="C82" s="40">
        <v>80.7</v>
      </c>
    </row>
    <row r="83" spans="1:3" ht="18">
      <c r="A83" s="1" t="s">
        <v>51</v>
      </c>
      <c r="B83" s="40" t="s">
        <v>47</v>
      </c>
      <c r="C83" s="40">
        <v>80.8</v>
      </c>
    </row>
    <row r="84" spans="1:3" ht="18">
      <c r="A84" s="1" t="s">
        <v>722</v>
      </c>
      <c r="B84" s="40" t="s">
        <v>31</v>
      </c>
      <c r="C84" s="40">
        <v>81.3</v>
      </c>
    </row>
    <row r="85" spans="1:3" ht="18">
      <c r="A85" s="1" t="s">
        <v>148</v>
      </c>
      <c r="B85" s="40" t="s">
        <v>68</v>
      </c>
      <c r="C85" s="40">
        <v>81.400000000000006</v>
      </c>
    </row>
    <row r="86" spans="1:3" ht="18">
      <c r="A86" s="1" t="s">
        <v>293</v>
      </c>
      <c r="B86" s="40" t="s">
        <v>47</v>
      </c>
      <c r="C86" s="40">
        <v>82.2</v>
      </c>
    </row>
    <row r="87" spans="1:3" ht="18">
      <c r="A87" s="1" t="s">
        <v>835</v>
      </c>
      <c r="B87" s="40" t="s">
        <v>95</v>
      </c>
      <c r="C87" s="40">
        <v>85.6</v>
      </c>
    </row>
    <row r="88" spans="1:3" ht="18">
      <c r="A88" s="1" t="s">
        <v>842</v>
      </c>
      <c r="B88" s="40" t="s">
        <v>79</v>
      </c>
      <c r="C88" s="40">
        <v>85.9</v>
      </c>
    </row>
    <row r="89" spans="1:3" ht="18">
      <c r="A89" s="1" t="s">
        <v>85</v>
      </c>
      <c r="B89" s="40" t="s">
        <v>91</v>
      </c>
      <c r="C89" s="40">
        <v>89.2</v>
      </c>
    </row>
    <row r="90" spans="1:3" ht="18">
      <c r="A90" s="1" t="s">
        <v>146</v>
      </c>
      <c r="B90" s="40" t="s">
        <v>53</v>
      </c>
      <c r="C90" s="40">
        <v>90.2</v>
      </c>
    </row>
    <row r="91" spans="1:3" ht="18">
      <c r="A91" s="1" t="s">
        <v>227</v>
      </c>
      <c r="B91" s="40" t="s">
        <v>73</v>
      </c>
      <c r="C91" s="40">
        <v>92.1</v>
      </c>
    </row>
    <row r="92" spans="1:3" ht="18">
      <c r="A92" s="1" t="s">
        <v>156</v>
      </c>
      <c r="B92" s="40" t="s">
        <v>71</v>
      </c>
      <c r="C92" s="40">
        <v>93.1</v>
      </c>
    </row>
    <row r="93" spans="1:3" ht="18">
      <c r="A93" s="1" t="s">
        <v>212</v>
      </c>
      <c r="B93" s="40" t="s">
        <v>82</v>
      </c>
      <c r="C93" s="40">
        <v>93.3</v>
      </c>
    </row>
    <row r="94" spans="1:3" ht="18">
      <c r="A94" s="1" t="s">
        <v>304</v>
      </c>
      <c r="B94" s="40" t="s">
        <v>127</v>
      </c>
      <c r="C94" s="40">
        <v>94.1</v>
      </c>
    </row>
    <row r="95" spans="1:3" ht="18">
      <c r="A95" s="1" t="s">
        <v>126</v>
      </c>
      <c r="B95" s="40" t="s">
        <v>82</v>
      </c>
      <c r="C95" s="40">
        <v>94.5</v>
      </c>
    </row>
    <row r="96" spans="1:3" ht="18">
      <c r="A96" s="1" t="s">
        <v>186</v>
      </c>
      <c r="B96" s="40" t="s">
        <v>68</v>
      </c>
      <c r="C96" s="40">
        <v>96</v>
      </c>
    </row>
    <row r="97" spans="1:3" ht="18">
      <c r="A97" s="1" t="s">
        <v>159</v>
      </c>
      <c r="B97" s="40" t="s">
        <v>59</v>
      </c>
      <c r="C97" s="40">
        <v>96.1</v>
      </c>
    </row>
    <row r="98" spans="1:3" ht="18">
      <c r="A98" s="1" t="s">
        <v>244</v>
      </c>
      <c r="B98" s="40" t="s">
        <v>77</v>
      </c>
      <c r="C98" s="40">
        <v>98.1</v>
      </c>
    </row>
    <row r="99" spans="1:3" ht="18">
      <c r="A99" s="1" t="s">
        <v>107</v>
      </c>
      <c r="B99" s="40" t="s">
        <v>34</v>
      </c>
      <c r="C99" s="40">
        <v>100.1</v>
      </c>
    </row>
    <row r="100" spans="1:3" ht="18">
      <c r="A100" s="1" t="s">
        <v>124</v>
      </c>
      <c r="B100" s="40" t="s">
        <v>63</v>
      </c>
      <c r="C100" s="40">
        <v>101.8</v>
      </c>
    </row>
    <row r="101" spans="1:3" ht="18">
      <c r="A101" s="1" t="s">
        <v>179</v>
      </c>
      <c r="B101" s="40" t="s">
        <v>34</v>
      </c>
      <c r="C101" s="40">
        <v>101.9</v>
      </c>
    </row>
    <row r="102" spans="1:3" ht="18">
      <c r="A102" s="1" t="s">
        <v>99</v>
      </c>
      <c r="B102" s="40" t="s">
        <v>55</v>
      </c>
      <c r="C102" s="40">
        <v>103.1</v>
      </c>
    </row>
    <row r="103" spans="1:3" ht="18">
      <c r="A103" s="1" t="s">
        <v>964</v>
      </c>
      <c r="B103" s="40" t="s">
        <v>57</v>
      </c>
      <c r="C103" s="40">
        <v>103.3</v>
      </c>
    </row>
    <row r="104" spans="1:3" ht="18">
      <c r="A104" s="1" t="s">
        <v>48</v>
      </c>
      <c r="B104" s="40" t="s">
        <v>50</v>
      </c>
      <c r="C104" s="40">
        <v>103.8</v>
      </c>
    </row>
    <row r="105" spans="1:3" ht="18">
      <c r="A105" s="1" t="s">
        <v>142</v>
      </c>
      <c r="B105" s="40" t="s">
        <v>23</v>
      </c>
      <c r="C105" s="40">
        <v>104.9</v>
      </c>
    </row>
    <row r="106" spans="1:3" ht="18">
      <c r="A106" s="1" t="s">
        <v>167</v>
      </c>
      <c r="B106" s="40" t="s">
        <v>112</v>
      </c>
      <c r="C106" s="40">
        <v>106.9</v>
      </c>
    </row>
    <row r="107" spans="1:3" ht="18">
      <c r="A107" s="1" t="s">
        <v>135</v>
      </c>
      <c r="B107" s="40" t="s">
        <v>50</v>
      </c>
      <c r="C107" s="40">
        <v>107</v>
      </c>
    </row>
    <row r="108" spans="1:3" ht="18">
      <c r="A108" s="1" t="s">
        <v>155</v>
      </c>
      <c r="B108" s="40" t="s">
        <v>50</v>
      </c>
      <c r="C108" s="40">
        <v>107.1</v>
      </c>
    </row>
    <row r="109" spans="1:3" ht="18">
      <c r="A109" s="1" t="s">
        <v>972</v>
      </c>
      <c r="B109" s="40" t="s">
        <v>26</v>
      </c>
      <c r="C109" s="40">
        <v>107.2</v>
      </c>
    </row>
    <row r="110" spans="1:3" ht="18">
      <c r="A110" s="1" t="s">
        <v>278</v>
      </c>
      <c r="B110" s="40" t="s">
        <v>68</v>
      </c>
      <c r="C110" s="40">
        <v>107.3</v>
      </c>
    </row>
    <row r="111" spans="1:3" ht="18">
      <c r="A111" s="1" t="s">
        <v>114</v>
      </c>
      <c r="B111" s="40" t="s">
        <v>23</v>
      </c>
      <c r="C111" s="40">
        <v>107.8</v>
      </c>
    </row>
    <row r="112" spans="1:3" ht="18">
      <c r="A112" s="1" t="s">
        <v>81</v>
      </c>
      <c r="B112" s="40" t="s">
        <v>20</v>
      </c>
      <c r="C112" s="40">
        <v>108.1</v>
      </c>
    </row>
    <row r="113" spans="1:3" ht="18">
      <c r="A113" s="1" t="s">
        <v>100</v>
      </c>
      <c r="B113" s="40" t="s">
        <v>39</v>
      </c>
      <c r="C113" s="40">
        <v>108.1</v>
      </c>
    </row>
    <row r="114" spans="1:3" ht="18">
      <c r="A114" s="1" t="s">
        <v>245</v>
      </c>
      <c r="B114" s="40" t="s">
        <v>47</v>
      </c>
      <c r="C114" s="40">
        <v>108.4</v>
      </c>
    </row>
    <row r="115" spans="1:3" ht="18">
      <c r="A115" s="1" t="s">
        <v>969</v>
      </c>
      <c r="B115" s="40" t="s">
        <v>63</v>
      </c>
      <c r="C115" s="40">
        <v>108.5</v>
      </c>
    </row>
    <row r="116" spans="1:3" ht="18">
      <c r="A116" s="1" t="s">
        <v>973</v>
      </c>
      <c r="B116" s="40" t="s">
        <v>23</v>
      </c>
      <c r="C116" s="40">
        <v>108.6</v>
      </c>
    </row>
    <row r="117" spans="1:3" ht="18">
      <c r="A117" s="1" t="s">
        <v>158</v>
      </c>
      <c r="B117" s="40" t="s">
        <v>77</v>
      </c>
      <c r="C117" s="40">
        <v>109</v>
      </c>
    </row>
    <row r="118" spans="1:3" ht="18">
      <c r="A118" s="1" t="s">
        <v>94</v>
      </c>
      <c r="B118" s="40" t="s">
        <v>61</v>
      </c>
      <c r="C118" s="40">
        <v>109.1</v>
      </c>
    </row>
    <row r="119" spans="1:3" ht="18">
      <c r="A119" s="1" t="s">
        <v>121</v>
      </c>
      <c r="B119" s="40" t="s">
        <v>34</v>
      </c>
      <c r="C119" s="40">
        <v>109.4</v>
      </c>
    </row>
    <row r="120" spans="1:3" ht="18">
      <c r="A120" s="1" t="s">
        <v>358</v>
      </c>
      <c r="B120" s="40" t="s">
        <v>55</v>
      </c>
      <c r="C120" s="40">
        <v>109.7</v>
      </c>
    </row>
    <row r="121" spans="1:3" ht="18">
      <c r="A121" s="1" t="s">
        <v>115</v>
      </c>
      <c r="B121" s="40" t="s">
        <v>18</v>
      </c>
      <c r="C121" s="40">
        <v>109.9</v>
      </c>
    </row>
    <row r="122" spans="1:3" ht="18">
      <c r="A122" s="1" t="s">
        <v>357</v>
      </c>
      <c r="B122" s="40" t="s">
        <v>79</v>
      </c>
      <c r="C122" s="40">
        <v>110.2</v>
      </c>
    </row>
    <row r="123" spans="1:3" ht="18">
      <c r="A123" s="1" t="s">
        <v>331</v>
      </c>
      <c r="B123" s="40" t="s">
        <v>31</v>
      </c>
      <c r="C123" s="40">
        <v>110.4</v>
      </c>
    </row>
    <row r="124" spans="1:3" ht="18">
      <c r="A124" s="1" t="s">
        <v>181</v>
      </c>
      <c r="B124" s="40" t="s">
        <v>42</v>
      </c>
      <c r="C124" s="40">
        <v>110.4</v>
      </c>
    </row>
    <row r="125" spans="1:3" ht="18">
      <c r="A125" s="1" t="s">
        <v>170</v>
      </c>
      <c r="B125" s="40" t="s">
        <v>77</v>
      </c>
      <c r="C125" s="40">
        <v>110.4</v>
      </c>
    </row>
    <row r="126" spans="1:3" ht="18">
      <c r="A126" s="1" t="s">
        <v>90</v>
      </c>
      <c r="B126" s="40" t="s">
        <v>139</v>
      </c>
      <c r="C126" s="40">
        <v>110.5</v>
      </c>
    </row>
    <row r="127" spans="1:3" ht="18">
      <c r="A127" s="1" t="s">
        <v>169</v>
      </c>
      <c r="B127" s="40" t="s">
        <v>95</v>
      </c>
      <c r="C127" s="40">
        <v>110.7</v>
      </c>
    </row>
    <row r="128" spans="1:3" ht="18">
      <c r="A128" s="1" t="s">
        <v>196</v>
      </c>
      <c r="B128" s="40" t="s">
        <v>42</v>
      </c>
      <c r="C128" s="40">
        <v>110.9</v>
      </c>
    </row>
    <row r="129" spans="1:3" ht="18">
      <c r="A129" s="1" t="s">
        <v>190</v>
      </c>
      <c r="B129" s="40" t="s">
        <v>20</v>
      </c>
      <c r="C129" s="40">
        <v>111</v>
      </c>
    </row>
    <row r="130" spans="1:3" ht="18">
      <c r="A130" s="1" t="s">
        <v>130</v>
      </c>
      <c r="B130" s="40" t="s">
        <v>98</v>
      </c>
      <c r="C130" s="40">
        <v>111.3</v>
      </c>
    </row>
    <row r="131" spans="1:3" ht="18">
      <c r="A131" s="1" t="s">
        <v>298</v>
      </c>
      <c r="B131" s="40" t="s">
        <v>23</v>
      </c>
      <c r="C131" s="40">
        <v>111.5</v>
      </c>
    </row>
    <row r="132" spans="1:3" ht="18">
      <c r="A132" s="1" t="s">
        <v>862</v>
      </c>
      <c r="B132" s="40" t="s">
        <v>59</v>
      </c>
      <c r="C132" s="40">
        <v>111.7</v>
      </c>
    </row>
    <row r="133" spans="1:3" ht="18">
      <c r="A133" s="1" t="s">
        <v>104</v>
      </c>
      <c r="B133" s="40" t="s">
        <v>31</v>
      </c>
      <c r="C133" s="40">
        <v>111.8</v>
      </c>
    </row>
    <row r="134" spans="1:3" ht="18">
      <c r="A134" s="1" t="s">
        <v>207</v>
      </c>
      <c r="B134" s="40" t="s">
        <v>98</v>
      </c>
      <c r="C134" s="40">
        <v>111.9</v>
      </c>
    </row>
    <row r="135" spans="1:3" ht="18">
      <c r="A135" s="1" t="s">
        <v>199</v>
      </c>
      <c r="B135" s="40" t="s">
        <v>59</v>
      </c>
      <c r="C135" s="40">
        <v>112.4</v>
      </c>
    </row>
    <row r="136" spans="1:3" ht="18">
      <c r="A136" s="1" t="s">
        <v>208</v>
      </c>
      <c r="B136" s="40" t="s">
        <v>55</v>
      </c>
      <c r="C136" s="40">
        <v>112.7</v>
      </c>
    </row>
    <row r="137" spans="1:3" ht="18">
      <c r="A137" s="1" t="s">
        <v>325</v>
      </c>
      <c r="B137" s="40" t="s">
        <v>91</v>
      </c>
      <c r="C137" s="40">
        <v>112.7</v>
      </c>
    </row>
    <row r="138" spans="1:3" ht="18">
      <c r="A138" s="1" t="s">
        <v>184</v>
      </c>
      <c r="B138" s="40" t="s">
        <v>73</v>
      </c>
      <c r="C138" s="40">
        <v>113.2</v>
      </c>
    </row>
    <row r="139" spans="1:3" ht="18">
      <c r="A139" s="1" t="s">
        <v>204</v>
      </c>
      <c r="B139" s="40" t="s">
        <v>79</v>
      </c>
      <c r="C139" s="40">
        <v>113.2</v>
      </c>
    </row>
    <row r="140" spans="1:3" ht="18">
      <c r="A140" s="1" t="s">
        <v>103</v>
      </c>
      <c r="B140" s="40" t="s">
        <v>112</v>
      </c>
      <c r="C140" s="40">
        <v>113.3</v>
      </c>
    </row>
    <row r="141" spans="1:3" ht="18">
      <c r="A141" s="1" t="s">
        <v>192</v>
      </c>
      <c r="B141" s="40" t="s">
        <v>20</v>
      </c>
      <c r="C141" s="40">
        <v>113.3</v>
      </c>
    </row>
    <row r="142" spans="1:3" ht="18">
      <c r="A142" s="1" t="s">
        <v>153</v>
      </c>
      <c r="B142" s="40" t="s">
        <v>57</v>
      </c>
      <c r="C142" s="40">
        <v>113.4</v>
      </c>
    </row>
    <row r="143" spans="1:3" ht="18">
      <c r="A143" s="1" t="s">
        <v>236</v>
      </c>
      <c r="B143" s="40" t="s">
        <v>34</v>
      </c>
      <c r="C143" s="40">
        <v>113.6</v>
      </c>
    </row>
    <row r="144" spans="1:3" ht="18">
      <c r="A144" s="1" t="s">
        <v>295</v>
      </c>
      <c r="B144" s="40" t="s">
        <v>95</v>
      </c>
      <c r="C144" s="40">
        <v>114</v>
      </c>
    </row>
    <row r="145" spans="1:3" ht="18">
      <c r="A145" s="1" t="s">
        <v>125</v>
      </c>
      <c r="B145" s="40" t="s">
        <v>31</v>
      </c>
      <c r="C145" s="40">
        <v>114.1</v>
      </c>
    </row>
    <row r="146" spans="1:3" ht="18">
      <c r="A146" s="1" t="s">
        <v>116</v>
      </c>
      <c r="B146" s="40" t="s">
        <v>53</v>
      </c>
      <c r="C146" s="40">
        <v>114.1</v>
      </c>
    </row>
    <row r="147" spans="1:3" ht="18">
      <c r="A147" s="1" t="s">
        <v>961</v>
      </c>
      <c r="B147" s="40" t="s">
        <v>50</v>
      </c>
      <c r="C147" s="40">
        <v>114.5</v>
      </c>
    </row>
    <row r="148" spans="1:3" ht="18">
      <c r="A148" s="1" t="s">
        <v>780</v>
      </c>
      <c r="B148" s="40" t="s">
        <v>53</v>
      </c>
      <c r="C148" s="40">
        <v>114.6</v>
      </c>
    </row>
    <row r="149" spans="1:3" ht="18">
      <c r="A149" s="1" t="s">
        <v>308</v>
      </c>
      <c r="B149" s="40" t="s">
        <v>57</v>
      </c>
      <c r="C149" s="40">
        <v>114.6</v>
      </c>
    </row>
    <row r="150" spans="1:3" ht="18">
      <c r="A150" s="1" t="s">
        <v>149</v>
      </c>
      <c r="B150" s="40" t="s">
        <v>79</v>
      </c>
      <c r="C150" s="40">
        <v>114.8</v>
      </c>
    </row>
    <row r="151" spans="1:3" ht="18">
      <c r="A151" s="1" t="s">
        <v>198</v>
      </c>
      <c r="B151" s="40" t="s">
        <v>73</v>
      </c>
      <c r="C151" s="40">
        <v>115</v>
      </c>
    </row>
    <row r="152" spans="1:3" ht="18">
      <c r="A152" s="1" t="s">
        <v>117</v>
      </c>
      <c r="B152" s="40" t="s">
        <v>91</v>
      </c>
      <c r="C152" s="40">
        <v>115.2</v>
      </c>
    </row>
    <row r="153" spans="1:3" ht="18">
      <c r="A153" s="1" t="s">
        <v>241</v>
      </c>
      <c r="B153" s="40" t="s">
        <v>42</v>
      </c>
      <c r="C153" s="40">
        <v>115.4</v>
      </c>
    </row>
    <row r="154" spans="1:3" ht="18">
      <c r="A154" s="1" t="s">
        <v>974</v>
      </c>
      <c r="B154" s="40" t="s">
        <v>39</v>
      </c>
      <c r="C154" s="40">
        <v>115.6</v>
      </c>
    </row>
    <row r="155" spans="1:3" ht="18">
      <c r="A155" s="1" t="s">
        <v>299</v>
      </c>
      <c r="B155" s="40" t="s">
        <v>36</v>
      </c>
      <c r="C155" s="40">
        <v>115.7</v>
      </c>
    </row>
    <row r="156" spans="1:3" ht="18">
      <c r="A156" s="1" t="s">
        <v>185</v>
      </c>
      <c r="B156" s="40" t="s">
        <v>71</v>
      </c>
      <c r="C156" s="40">
        <v>115.7</v>
      </c>
    </row>
    <row r="157" spans="1:3" ht="18">
      <c r="A157" s="1" t="s">
        <v>958</v>
      </c>
      <c r="B157" s="40" t="s">
        <v>50</v>
      </c>
      <c r="C157" s="40">
        <v>115.8</v>
      </c>
    </row>
    <row r="158" spans="1:3" ht="18">
      <c r="A158" s="1" t="s">
        <v>230</v>
      </c>
      <c r="B158" s="40" t="s">
        <v>50</v>
      </c>
      <c r="C158" s="40">
        <v>115.9</v>
      </c>
    </row>
    <row r="159" spans="1:3" ht="18">
      <c r="A159" s="1" t="s">
        <v>335</v>
      </c>
      <c r="B159" s="40" t="s">
        <v>47</v>
      </c>
      <c r="C159" s="40">
        <v>116</v>
      </c>
    </row>
    <row r="160" spans="1:3" ht="18">
      <c r="A160" s="1" t="s">
        <v>238</v>
      </c>
      <c r="B160" s="40" t="s">
        <v>95</v>
      </c>
      <c r="C160" s="40">
        <v>116</v>
      </c>
    </row>
    <row r="161" spans="1:3" ht="18">
      <c r="A161" s="1" t="s">
        <v>140</v>
      </c>
      <c r="B161" s="40" t="s">
        <v>63</v>
      </c>
      <c r="C161" s="40">
        <v>116.1</v>
      </c>
    </row>
    <row r="162" spans="1:3" ht="18">
      <c r="A162" s="1" t="s">
        <v>134</v>
      </c>
      <c r="B162" s="40" t="s">
        <v>26</v>
      </c>
      <c r="C162" s="40">
        <v>116.3</v>
      </c>
    </row>
    <row r="163" spans="1:3" ht="18">
      <c r="A163" s="1" t="s">
        <v>195</v>
      </c>
      <c r="B163" s="40" t="s">
        <v>29</v>
      </c>
      <c r="C163" s="40">
        <v>116.5</v>
      </c>
    </row>
    <row r="164" spans="1:3" ht="18">
      <c r="A164" s="1" t="s">
        <v>157</v>
      </c>
      <c r="B164" s="40" t="s">
        <v>79</v>
      </c>
      <c r="C164" s="40">
        <v>116.5</v>
      </c>
    </row>
    <row r="165" spans="1:3" ht="18">
      <c r="A165" s="1" t="s">
        <v>205</v>
      </c>
      <c r="B165" s="40" t="s">
        <v>39</v>
      </c>
      <c r="C165" s="40">
        <v>116.8</v>
      </c>
    </row>
    <row r="166" spans="1:3" ht="18">
      <c r="A166" s="1" t="s">
        <v>138</v>
      </c>
      <c r="B166" s="40" t="s">
        <v>55</v>
      </c>
      <c r="C166" s="40">
        <v>116.8</v>
      </c>
    </row>
    <row r="167" spans="1:3" ht="18">
      <c r="A167" s="1" t="s">
        <v>821</v>
      </c>
      <c r="B167" s="40" t="s">
        <v>57</v>
      </c>
      <c r="C167" s="40">
        <v>116.9</v>
      </c>
    </row>
    <row r="168" spans="1:3" ht="18">
      <c r="A168" s="1" t="s">
        <v>968</v>
      </c>
      <c r="B168" s="40" t="s">
        <v>127</v>
      </c>
      <c r="C168" s="40">
        <v>117.1</v>
      </c>
    </row>
    <row r="169" spans="1:3" ht="18">
      <c r="A169" s="1" t="s">
        <v>70</v>
      </c>
      <c r="B169" s="40" t="s">
        <v>71</v>
      </c>
      <c r="C169" s="40">
        <v>117.2</v>
      </c>
    </row>
    <row r="170" spans="1:3" ht="18">
      <c r="A170" s="1" t="s">
        <v>852</v>
      </c>
      <c r="B170" s="40" t="s">
        <v>63</v>
      </c>
      <c r="C170" s="40">
        <v>117.7</v>
      </c>
    </row>
    <row r="171" spans="1:3" ht="18">
      <c r="A171" s="1" t="s">
        <v>848</v>
      </c>
      <c r="B171" s="40" t="s">
        <v>23</v>
      </c>
      <c r="C171" s="40">
        <v>118</v>
      </c>
    </row>
    <row r="172" spans="1:3" ht="18">
      <c r="A172" s="1" t="s">
        <v>831</v>
      </c>
      <c r="B172" s="40" t="s">
        <v>127</v>
      </c>
      <c r="C172" s="40">
        <v>118.3</v>
      </c>
    </row>
    <row r="173" spans="1:3" ht="18">
      <c r="A173" s="1" t="s">
        <v>340</v>
      </c>
      <c r="B173" s="40" t="s">
        <v>77</v>
      </c>
      <c r="C173" s="40">
        <v>118.4</v>
      </c>
    </row>
    <row r="174" spans="1:3" ht="18">
      <c r="A174" s="1" t="s">
        <v>834</v>
      </c>
      <c r="B174" s="40" t="s">
        <v>34</v>
      </c>
      <c r="C174" s="40">
        <v>118.5</v>
      </c>
    </row>
    <row r="175" spans="1:3" ht="18">
      <c r="A175" s="1" t="s">
        <v>302</v>
      </c>
      <c r="B175" s="40" t="s">
        <v>23</v>
      </c>
      <c r="C175" s="40">
        <v>118.9</v>
      </c>
    </row>
    <row r="176" spans="1:3" ht="18">
      <c r="A176" s="1" t="s">
        <v>856</v>
      </c>
      <c r="B176" s="40" t="s">
        <v>26</v>
      </c>
      <c r="C176" s="40">
        <v>119.1</v>
      </c>
    </row>
    <row r="177" spans="1:3" ht="18">
      <c r="A177" s="1" t="s">
        <v>250</v>
      </c>
      <c r="B177" s="40" t="s">
        <v>55</v>
      </c>
      <c r="C177" s="40">
        <v>119.2</v>
      </c>
    </row>
    <row r="178" spans="1:3" ht="18">
      <c r="A178" s="1" t="s">
        <v>309</v>
      </c>
      <c r="B178" s="40" t="s">
        <v>112</v>
      </c>
      <c r="C178" s="40">
        <v>119.4</v>
      </c>
    </row>
    <row r="179" spans="1:3" ht="18">
      <c r="A179" s="1" t="s">
        <v>839</v>
      </c>
      <c r="B179" s="40" t="s">
        <v>95</v>
      </c>
      <c r="C179" s="40">
        <v>119.6</v>
      </c>
    </row>
    <row r="180" spans="1:3" ht="18">
      <c r="A180" s="1" t="s">
        <v>276</v>
      </c>
      <c r="B180" s="40" t="s">
        <v>20</v>
      </c>
      <c r="C180" s="40">
        <v>119.6</v>
      </c>
    </row>
    <row r="181" spans="1:3" ht="18">
      <c r="A181" s="1" t="s">
        <v>341</v>
      </c>
      <c r="B181" s="40" t="s">
        <v>139</v>
      </c>
      <c r="C181" s="40">
        <v>119.7</v>
      </c>
    </row>
    <row r="182" spans="1:3" ht="18">
      <c r="A182" s="1" t="s">
        <v>200</v>
      </c>
      <c r="B182" s="40" t="s">
        <v>95</v>
      </c>
      <c r="C182" s="40">
        <v>119.8</v>
      </c>
    </row>
    <row r="183" spans="1:3" ht="18">
      <c r="A183" s="1" t="s">
        <v>214</v>
      </c>
      <c r="B183" s="40" t="s">
        <v>112</v>
      </c>
      <c r="C183" s="40">
        <v>120</v>
      </c>
    </row>
    <row r="184" spans="1:3" ht="18">
      <c r="A184" s="1" t="s">
        <v>256</v>
      </c>
      <c r="B184" s="40" t="s">
        <v>26</v>
      </c>
      <c r="C184" s="40">
        <v>120.4</v>
      </c>
    </row>
    <row r="185" spans="1:3" ht="18">
      <c r="A185" s="1" t="s">
        <v>279</v>
      </c>
      <c r="B185" s="40" t="s">
        <v>71</v>
      </c>
      <c r="C185" s="40">
        <v>120.7</v>
      </c>
    </row>
    <row r="186" spans="1:3" ht="18">
      <c r="A186" s="1" t="s">
        <v>150</v>
      </c>
      <c r="B186" s="40" t="s">
        <v>59</v>
      </c>
      <c r="C186" s="40">
        <v>121.9</v>
      </c>
    </row>
    <row r="187" spans="1:3" ht="18">
      <c r="A187" s="1" t="s">
        <v>92</v>
      </c>
      <c r="B187" s="40" t="s">
        <v>29</v>
      </c>
      <c r="C187" s="40">
        <v>123</v>
      </c>
    </row>
    <row r="188" spans="1:3" ht="18">
      <c r="A188" s="1" t="s">
        <v>857</v>
      </c>
      <c r="B188" s="40" t="s">
        <v>34</v>
      </c>
      <c r="C188" s="40">
        <v>123.2</v>
      </c>
    </row>
    <row r="189" spans="1:3" ht="18">
      <c r="A189" s="1" t="s">
        <v>975</v>
      </c>
      <c r="B189" s="40" t="s">
        <v>68</v>
      </c>
      <c r="C189" s="40">
        <v>140</v>
      </c>
    </row>
    <row r="190" spans="1:3" ht="18">
      <c r="A190" s="1" t="s">
        <v>853</v>
      </c>
      <c r="B190" s="40" t="s">
        <v>18</v>
      </c>
      <c r="C190" s="40">
        <v>140</v>
      </c>
    </row>
    <row r="191" spans="1:3" ht="18">
      <c r="A191" s="1" t="s">
        <v>976</v>
      </c>
      <c r="B191" s="40" t="s">
        <v>18</v>
      </c>
      <c r="C191" s="40">
        <v>140</v>
      </c>
    </row>
    <row r="192" spans="1:3" ht="18">
      <c r="A192" s="1" t="s">
        <v>977</v>
      </c>
      <c r="B192" s="40" t="s">
        <v>36</v>
      </c>
      <c r="C192" s="40">
        <v>140</v>
      </c>
    </row>
    <row r="193" spans="1:3" ht="18">
      <c r="A193" s="1" t="s">
        <v>978</v>
      </c>
      <c r="B193" s="40" t="s">
        <v>18</v>
      </c>
      <c r="C193" s="40">
        <v>140</v>
      </c>
    </row>
    <row r="194" spans="1:3" ht="18">
      <c r="A194" s="1" t="s">
        <v>847</v>
      </c>
      <c r="B194" s="40" t="s">
        <v>82</v>
      </c>
      <c r="C194" s="40">
        <v>140</v>
      </c>
    </row>
    <row r="195" spans="1:3" ht="18">
      <c r="A195" s="1" t="s">
        <v>979</v>
      </c>
      <c r="B195" s="40" t="s">
        <v>71</v>
      </c>
      <c r="C195" s="40">
        <v>140</v>
      </c>
    </row>
    <row r="196" spans="1:3" ht="18">
      <c r="A196" s="1" t="s">
        <v>936</v>
      </c>
      <c r="B196" s="40" t="s">
        <v>112</v>
      </c>
      <c r="C196" s="40">
        <v>140</v>
      </c>
    </row>
    <row r="197" spans="1:3" ht="18">
      <c r="A197" s="1" t="s">
        <v>980</v>
      </c>
      <c r="B197" s="40" t="s">
        <v>127</v>
      </c>
      <c r="C197" s="40">
        <v>140</v>
      </c>
    </row>
    <row r="198" spans="1:3" ht="18">
      <c r="A198" s="1" t="s">
        <v>981</v>
      </c>
      <c r="B198" s="40" t="s">
        <v>63</v>
      </c>
      <c r="C198" s="40">
        <v>140</v>
      </c>
    </row>
    <row r="199" spans="1:3" ht="18">
      <c r="A199" s="1" t="s">
        <v>982</v>
      </c>
      <c r="B199" s="40" t="s">
        <v>61</v>
      </c>
      <c r="C199" s="40">
        <v>140</v>
      </c>
    </row>
    <row r="200" spans="1:3" ht="18">
      <c r="A200" s="1" t="s">
        <v>983</v>
      </c>
      <c r="B200" s="40" t="s">
        <v>31</v>
      </c>
      <c r="C200" s="40">
        <v>140</v>
      </c>
    </row>
    <row r="201" spans="1:3" ht="18">
      <c r="A201" s="1" t="s">
        <v>984</v>
      </c>
      <c r="B201" s="40" t="s">
        <v>71</v>
      </c>
      <c r="C201" s="40">
        <v>140</v>
      </c>
    </row>
    <row r="202" spans="1:3" ht="18">
      <c r="A202" s="1" t="s">
        <v>985</v>
      </c>
      <c r="B202" s="40" t="s">
        <v>20</v>
      </c>
      <c r="C202" s="40">
        <v>140</v>
      </c>
    </row>
    <row r="203" spans="1:3" ht="18">
      <c r="A203" s="1" t="s">
        <v>986</v>
      </c>
      <c r="B203" s="40" t="s">
        <v>39</v>
      </c>
      <c r="C203" s="40">
        <v>140</v>
      </c>
    </row>
    <row r="204" spans="1:3" ht="18">
      <c r="A204" s="1" t="s">
        <v>987</v>
      </c>
      <c r="B204" s="40" t="s">
        <v>77</v>
      </c>
      <c r="C204" s="40">
        <v>140</v>
      </c>
    </row>
    <row r="205" spans="1:3" ht="18">
      <c r="A205" s="1" t="s">
        <v>988</v>
      </c>
      <c r="B205" s="40" t="s">
        <v>63</v>
      </c>
      <c r="C205" s="40">
        <v>140</v>
      </c>
    </row>
    <row r="206" spans="1:3" ht="18">
      <c r="A206" s="1" t="s">
        <v>989</v>
      </c>
      <c r="B206" s="40" t="s">
        <v>53</v>
      </c>
      <c r="C206" s="40">
        <v>140</v>
      </c>
    </row>
    <row r="207" spans="1:3" ht="18">
      <c r="A207" s="1" t="s">
        <v>990</v>
      </c>
      <c r="B207" s="40" t="s">
        <v>77</v>
      </c>
      <c r="C207" s="40">
        <v>140</v>
      </c>
    </row>
    <row r="208" spans="1:3" ht="18">
      <c r="A208" s="1" t="s">
        <v>991</v>
      </c>
      <c r="B208" s="40" t="s">
        <v>47</v>
      </c>
      <c r="C208" s="40">
        <v>140</v>
      </c>
    </row>
    <row r="209" spans="1:3" ht="18">
      <c r="A209" s="1" t="s">
        <v>992</v>
      </c>
      <c r="B209" s="40" t="s">
        <v>31</v>
      </c>
      <c r="C209" s="40">
        <v>140</v>
      </c>
    </row>
    <row r="210" spans="1:3" ht="18">
      <c r="A210" s="1" t="s">
        <v>993</v>
      </c>
      <c r="B210" s="40" t="s">
        <v>73</v>
      </c>
      <c r="C210" s="40">
        <v>140</v>
      </c>
    </row>
    <row r="211" spans="1:3" ht="18">
      <c r="A211" s="1" t="s">
        <v>994</v>
      </c>
      <c r="B211" s="40" t="s">
        <v>23</v>
      </c>
      <c r="C211" s="40">
        <v>140</v>
      </c>
    </row>
    <row r="212" spans="1:3" ht="18">
      <c r="A212" s="1" t="s">
        <v>339</v>
      </c>
      <c r="B212" s="40" t="s">
        <v>95</v>
      </c>
      <c r="C212" s="40">
        <v>140</v>
      </c>
    </row>
    <row r="213" spans="1:3" ht="18">
      <c r="A213" s="1" t="s">
        <v>332</v>
      </c>
      <c r="B213" s="40" t="s">
        <v>42</v>
      </c>
      <c r="C213" s="40">
        <v>140</v>
      </c>
    </row>
    <row r="214" spans="1:3" ht="18">
      <c r="A214" s="1" t="s">
        <v>843</v>
      </c>
      <c r="B214" s="40" t="s">
        <v>20</v>
      </c>
      <c r="C214" s="40">
        <v>140</v>
      </c>
    </row>
    <row r="215" spans="1:3" ht="18">
      <c r="A215" s="1" t="s">
        <v>995</v>
      </c>
      <c r="B215" s="40" t="s">
        <v>50</v>
      </c>
      <c r="C215" s="40">
        <v>140</v>
      </c>
    </row>
    <row r="216" spans="1:3" ht="18">
      <c r="A216" s="1" t="s">
        <v>854</v>
      </c>
      <c r="B216" s="40" t="s">
        <v>20</v>
      </c>
      <c r="C216" s="40">
        <v>140</v>
      </c>
    </row>
    <row r="217" spans="1:3" ht="18">
      <c r="A217" s="1" t="s">
        <v>996</v>
      </c>
      <c r="B217" s="40" t="s">
        <v>53</v>
      </c>
      <c r="C217" s="40">
        <v>140</v>
      </c>
    </row>
    <row r="218" spans="1:3" ht="18">
      <c r="A218" s="1" t="s">
        <v>310</v>
      </c>
      <c r="B218" s="40" t="s">
        <v>47</v>
      </c>
      <c r="C218" s="40">
        <v>140</v>
      </c>
    </row>
    <row r="219" spans="1:3" ht="18">
      <c r="A219" s="1" t="s">
        <v>228</v>
      </c>
      <c r="B219" s="40" t="s">
        <v>61</v>
      </c>
      <c r="C219" s="40">
        <v>140</v>
      </c>
    </row>
    <row r="220" spans="1:3" ht="18">
      <c r="A220" s="1" t="s">
        <v>274</v>
      </c>
      <c r="B220" s="40" t="s">
        <v>95</v>
      </c>
      <c r="C220" s="40">
        <v>140</v>
      </c>
    </row>
    <row r="221" spans="1:3" ht="18">
      <c r="A221" s="1" t="s">
        <v>997</v>
      </c>
      <c r="B221" s="40" t="s">
        <v>42</v>
      </c>
      <c r="C221" s="40">
        <v>140</v>
      </c>
    </row>
    <row r="222" spans="1:3" ht="18">
      <c r="A222" s="1" t="s">
        <v>998</v>
      </c>
      <c r="B222" s="40" t="s">
        <v>34</v>
      </c>
      <c r="C222" s="40">
        <v>140</v>
      </c>
    </row>
    <row r="223" spans="1:3" ht="18">
      <c r="A223" s="1" t="s">
        <v>860</v>
      </c>
      <c r="B223" s="40" t="s">
        <v>71</v>
      </c>
      <c r="C223" s="40">
        <v>140</v>
      </c>
    </row>
    <row r="224" spans="1:3" ht="18">
      <c r="A224" s="1" t="s">
        <v>999</v>
      </c>
      <c r="B224" s="40" t="s">
        <v>91</v>
      </c>
      <c r="C224" s="40">
        <v>140</v>
      </c>
    </row>
    <row r="225" spans="1:3" ht="18">
      <c r="A225" s="1" t="s">
        <v>1000</v>
      </c>
      <c r="B225" s="40" t="s">
        <v>59</v>
      </c>
      <c r="C225" s="40">
        <v>140</v>
      </c>
    </row>
    <row r="226" spans="1:3" ht="18">
      <c r="A226" s="1" t="s">
        <v>830</v>
      </c>
      <c r="B226" s="40" t="s">
        <v>98</v>
      </c>
      <c r="C226" s="40">
        <v>140</v>
      </c>
    </row>
    <row r="227" spans="1:3" ht="18">
      <c r="A227" s="1" t="s">
        <v>1001</v>
      </c>
      <c r="B227" s="40" t="s">
        <v>36</v>
      </c>
      <c r="C227" s="40">
        <v>140</v>
      </c>
    </row>
    <row r="228" spans="1:3" ht="18">
      <c r="A228" s="1" t="s">
        <v>855</v>
      </c>
      <c r="B228" s="40" t="s">
        <v>26</v>
      </c>
      <c r="C228" s="40">
        <v>140</v>
      </c>
    </row>
    <row r="229" spans="1:3" ht="18">
      <c r="A229" s="1" t="s">
        <v>1002</v>
      </c>
      <c r="B229" s="40" t="s">
        <v>39</v>
      </c>
      <c r="C229" s="40">
        <v>140</v>
      </c>
    </row>
    <row r="230" spans="1:3" ht="18">
      <c r="A230" s="1" t="s">
        <v>1003</v>
      </c>
      <c r="B230" s="40" t="s">
        <v>34</v>
      </c>
      <c r="C230" s="40">
        <v>140</v>
      </c>
    </row>
    <row r="231" spans="1:3" ht="18">
      <c r="A231" s="1" t="s">
        <v>939</v>
      </c>
      <c r="B231" s="40" t="s">
        <v>127</v>
      </c>
      <c r="C231" s="40">
        <v>140</v>
      </c>
    </row>
    <row r="232" spans="1:3" ht="18">
      <c r="A232" s="1" t="s">
        <v>361</v>
      </c>
      <c r="B232" s="40" t="s">
        <v>20</v>
      </c>
      <c r="C232" s="40">
        <v>140</v>
      </c>
    </row>
    <row r="233" spans="1:3" ht="18">
      <c r="A233" s="1" t="s">
        <v>330</v>
      </c>
      <c r="B233" s="40" t="s">
        <v>55</v>
      </c>
      <c r="C233" s="40">
        <v>140</v>
      </c>
    </row>
    <row r="234" spans="1:3" ht="18">
      <c r="A234" s="1" t="s">
        <v>1004</v>
      </c>
      <c r="B234" s="40" t="s">
        <v>127</v>
      </c>
      <c r="C234" s="40">
        <v>140</v>
      </c>
    </row>
    <row r="235" spans="1:3" ht="18">
      <c r="A235" s="1" t="s">
        <v>1005</v>
      </c>
      <c r="B235" s="40" t="s">
        <v>98</v>
      </c>
      <c r="C235" s="40">
        <v>140</v>
      </c>
    </row>
    <row r="236" spans="1:3" ht="18">
      <c r="A236" s="1" t="s">
        <v>844</v>
      </c>
      <c r="B236" s="40" t="s">
        <v>53</v>
      </c>
      <c r="C236" s="40">
        <v>140</v>
      </c>
    </row>
    <row r="237" spans="1:3" ht="18">
      <c r="A237" s="1" t="s">
        <v>1006</v>
      </c>
      <c r="B237" s="40" t="s">
        <v>59</v>
      </c>
      <c r="C237" s="40">
        <v>140</v>
      </c>
    </row>
    <row r="238" spans="1:3" ht="18">
      <c r="A238" s="1" t="s">
        <v>1007</v>
      </c>
      <c r="B238" s="40" t="s">
        <v>79</v>
      </c>
      <c r="C238" s="40">
        <v>140</v>
      </c>
    </row>
    <row r="239" spans="1:3" ht="18">
      <c r="A239" s="1" t="s">
        <v>1008</v>
      </c>
      <c r="B239" s="40" t="s">
        <v>112</v>
      </c>
      <c r="C239" s="40">
        <v>140</v>
      </c>
    </row>
    <row r="240" spans="1:3" ht="18">
      <c r="A240" s="1" t="s">
        <v>1009</v>
      </c>
      <c r="B240" s="40" t="s">
        <v>36</v>
      </c>
      <c r="C240" s="40">
        <v>140</v>
      </c>
    </row>
    <row r="241" spans="1:3" ht="18">
      <c r="A241" s="1" t="s">
        <v>290</v>
      </c>
      <c r="B241" s="40" t="s">
        <v>20</v>
      </c>
      <c r="C241" s="40">
        <v>140</v>
      </c>
    </row>
    <row r="242" spans="1:3" ht="18">
      <c r="A242" s="1" t="s">
        <v>322</v>
      </c>
      <c r="B242" s="40" t="s">
        <v>29</v>
      </c>
      <c r="C242" s="40">
        <v>140</v>
      </c>
    </row>
    <row r="243" spans="1:3" ht="18">
      <c r="A243" s="1" t="s">
        <v>338</v>
      </c>
      <c r="B243" s="40" t="s">
        <v>79</v>
      </c>
      <c r="C243" s="40">
        <v>140</v>
      </c>
    </row>
    <row r="244" spans="1:3" ht="18">
      <c r="A244" s="1" t="s">
        <v>1010</v>
      </c>
      <c r="B244" s="40" t="s">
        <v>73</v>
      </c>
      <c r="C244" s="40">
        <v>140</v>
      </c>
    </row>
    <row r="245" spans="1:3" ht="18">
      <c r="A245" s="1" t="s">
        <v>1011</v>
      </c>
      <c r="B245" s="40" t="s">
        <v>91</v>
      </c>
      <c r="C245" s="40">
        <v>140</v>
      </c>
    </row>
    <row r="246" spans="1:3" ht="18">
      <c r="A246" s="1" t="s">
        <v>222</v>
      </c>
      <c r="B246" s="40" t="s">
        <v>68</v>
      </c>
      <c r="C246" s="40">
        <v>140</v>
      </c>
    </row>
    <row r="247" spans="1:3" ht="18">
      <c r="A247" s="1" t="s">
        <v>258</v>
      </c>
      <c r="B247" s="40" t="s">
        <v>29</v>
      </c>
      <c r="C247" s="40">
        <v>140</v>
      </c>
    </row>
    <row r="248" spans="1:3" ht="18">
      <c r="A248" s="1" t="s">
        <v>306</v>
      </c>
      <c r="B248" s="40" t="s">
        <v>57</v>
      </c>
      <c r="C248" s="40">
        <v>140</v>
      </c>
    </row>
    <row r="249" spans="1:3" ht="18">
      <c r="A249" s="1" t="s">
        <v>934</v>
      </c>
      <c r="B249" s="40" t="s">
        <v>112</v>
      </c>
      <c r="C249" s="40">
        <v>140</v>
      </c>
    </row>
    <row r="250" spans="1:3" ht="18">
      <c r="A250" s="1" t="s">
        <v>353</v>
      </c>
      <c r="B250" s="40" t="s">
        <v>23</v>
      </c>
      <c r="C250" s="40">
        <v>140</v>
      </c>
    </row>
    <row r="251" spans="1:3" ht="18">
      <c r="A251" s="1" t="s">
        <v>365</v>
      </c>
      <c r="B251" s="40" t="s">
        <v>31</v>
      </c>
      <c r="C251" s="40">
        <v>140</v>
      </c>
    </row>
    <row r="252" spans="1:3" ht="18">
      <c r="A252" s="1" t="s">
        <v>360</v>
      </c>
      <c r="B252" s="40" t="s">
        <v>57</v>
      </c>
      <c r="C252" s="40">
        <v>140</v>
      </c>
    </row>
    <row r="253" spans="1:3" ht="18">
      <c r="A253" s="1" t="s">
        <v>262</v>
      </c>
      <c r="B253" s="40" t="s">
        <v>36</v>
      </c>
      <c r="C253" s="40">
        <v>140</v>
      </c>
    </row>
    <row r="254" spans="1:3" ht="18">
      <c r="A254" s="1" t="s">
        <v>318</v>
      </c>
      <c r="B254" s="40" t="s">
        <v>98</v>
      </c>
      <c r="C254" s="40">
        <v>140</v>
      </c>
    </row>
    <row r="255" spans="1:3" ht="18">
      <c r="A255" s="1" t="s">
        <v>363</v>
      </c>
      <c r="B255" s="40" t="s">
        <v>59</v>
      </c>
      <c r="C255" s="40">
        <v>140</v>
      </c>
    </row>
    <row r="256" spans="1:3" ht="18">
      <c r="A256" s="1" t="s">
        <v>1012</v>
      </c>
      <c r="B256" s="40" t="s">
        <v>39</v>
      </c>
      <c r="C256" s="40">
        <v>140</v>
      </c>
    </row>
    <row r="257" spans="1:3" ht="18">
      <c r="A257" s="1" t="s">
        <v>1013</v>
      </c>
      <c r="B257" s="40" t="s">
        <v>47</v>
      </c>
      <c r="C257" s="40">
        <v>140</v>
      </c>
    </row>
    <row r="258" spans="1:3" ht="18">
      <c r="A258" s="1" t="s">
        <v>333</v>
      </c>
      <c r="B258" s="40" t="s">
        <v>26</v>
      </c>
      <c r="C258" s="40">
        <v>140</v>
      </c>
    </row>
    <row r="259" spans="1:3" ht="18">
      <c r="A259" s="1" t="s">
        <v>1014</v>
      </c>
      <c r="B259" s="40" t="s">
        <v>18</v>
      </c>
      <c r="C259" s="40">
        <v>140</v>
      </c>
    </row>
    <row r="260" spans="1:3" ht="18">
      <c r="A260" s="1" t="s">
        <v>1015</v>
      </c>
      <c r="B260" s="40" t="s">
        <v>91</v>
      </c>
      <c r="C260" s="40">
        <v>140</v>
      </c>
    </row>
    <row r="261" spans="1:3" ht="18">
      <c r="A261" s="1" t="s">
        <v>1016</v>
      </c>
      <c r="B261" s="40" t="s">
        <v>95</v>
      </c>
      <c r="C261" s="40">
        <v>140</v>
      </c>
    </row>
    <row r="262" spans="1:3" ht="18">
      <c r="A262" s="1" t="s">
        <v>355</v>
      </c>
      <c r="B262" s="40" t="s">
        <v>95</v>
      </c>
      <c r="C262" s="40">
        <v>140</v>
      </c>
    </row>
    <row r="263" spans="1:3" ht="18">
      <c r="A263" s="1" t="s">
        <v>314</v>
      </c>
      <c r="B263" s="40" t="s">
        <v>18</v>
      </c>
      <c r="C263" s="40">
        <v>140</v>
      </c>
    </row>
    <row r="264" spans="1:3" ht="18">
      <c r="A264" s="1" t="s">
        <v>263</v>
      </c>
      <c r="B264" s="40" t="s">
        <v>73</v>
      </c>
      <c r="C264" s="40">
        <v>140</v>
      </c>
    </row>
    <row r="265" spans="1:3" ht="18">
      <c r="A265" s="1" t="s">
        <v>838</v>
      </c>
      <c r="B265" s="40" t="s">
        <v>23</v>
      </c>
      <c r="C265" s="40">
        <v>140</v>
      </c>
    </row>
    <row r="266" spans="1:3" ht="18">
      <c r="A266" s="1" t="s">
        <v>343</v>
      </c>
      <c r="B266" s="40" t="s">
        <v>73</v>
      </c>
      <c r="C266" s="40">
        <v>140</v>
      </c>
    </row>
    <row r="267" spans="1:3" ht="18">
      <c r="A267" s="1" t="s">
        <v>255</v>
      </c>
      <c r="B267" s="40" t="s">
        <v>26</v>
      </c>
      <c r="C267" s="40">
        <v>140</v>
      </c>
    </row>
    <row r="268" spans="1:3" ht="18">
      <c r="A268" s="1" t="s">
        <v>232</v>
      </c>
      <c r="B268" s="40" t="s">
        <v>42</v>
      </c>
      <c r="C268" s="40">
        <v>140</v>
      </c>
    </row>
    <row r="269" spans="1:3" ht="18">
      <c r="A269" s="1" t="s">
        <v>326</v>
      </c>
      <c r="B269" s="40" t="s">
        <v>73</v>
      </c>
      <c r="C269" s="40">
        <v>140</v>
      </c>
    </row>
    <row r="270" spans="1:3" ht="18">
      <c r="A270" s="1" t="s">
        <v>291</v>
      </c>
      <c r="B270" s="40" t="s">
        <v>82</v>
      </c>
      <c r="C270" s="40">
        <v>140</v>
      </c>
    </row>
    <row r="271" spans="1:3" ht="18">
      <c r="A271" s="1" t="s">
        <v>240</v>
      </c>
      <c r="B271" s="40" t="s">
        <v>61</v>
      </c>
      <c r="C271" s="40">
        <v>140</v>
      </c>
    </row>
    <row r="272" spans="1:3" ht="18">
      <c r="A272" s="1" t="s">
        <v>217</v>
      </c>
      <c r="B272" s="40" t="s">
        <v>139</v>
      </c>
      <c r="C272" s="40">
        <v>140</v>
      </c>
    </row>
    <row r="273" spans="1:3" ht="18">
      <c r="A273" s="1" t="s">
        <v>1017</v>
      </c>
      <c r="B273" s="40" t="s">
        <v>112</v>
      </c>
      <c r="C273" s="40">
        <v>140</v>
      </c>
    </row>
    <row r="274" spans="1:3" ht="18">
      <c r="A274" s="1" t="s">
        <v>223</v>
      </c>
      <c r="B274" s="40" t="s">
        <v>77</v>
      </c>
      <c r="C274" s="40">
        <v>140</v>
      </c>
    </row>
    <row r="275" spans="1:3" ht="18">
      <c r="A275" s="1" t="s">
        <v>187</v>
      </c>
      <c r="B275" s="40" t="s">
        <v>53</v>
      </c>
      <c r="C275" s="40">
        <v>140</v>
      </c>
    </row>
    <row r="276" spans="1:3" ht="18">
      <c r="A276" s="1" t="s">
        <v>215</v>
      </c>
      <c r="B276" s="40" t="s">
        <v>82</v>
      </c>
      <c r="C276" s="40">
        <v>140</v>
      </c>
    </row>
    <row r="277" spans="1:3" ht="18">
      <c r="A277" s="1" t="s">
        <v>266</v>
      </c>
      <c r="B277" s="40" t="s">
        <v>59</v>
      </c>
      <c r="C277" s="40">
        <v>140</v>
      </c>
    </row>
    <row r="278" spans="1:3" ht="18">
      <c r="A278" s="1" t="s">
        <v>845</v>
      </c>
      <c r="B278" s="40" t="s">
        <v>42</v>
      </c>
      <c r="C278" s="40">
        <v>140</v>
      </c>
    </row>
    <row r="279" spans="1:3" ht="18">
      <c r="A279" s="1" t="s">
        <v>324</v>
      </c>
      <c r="B279" s="40" t="s">
        <v>20</v>
      </c>
      <c r="C279" s="40">
        <v>140</v>
      </c>
    </row>
    <row r="280" spans="1:3" ht="18">
      <c r="A280" s="1" t="s">
        <v>850</v>
      </c>
      <c r="B280" s="40" t="s">
        <v>61</v>
      </c>
      <c r="C280" s="40">
        <v>140</v>
      </c>
    </row>
    <row r="281" spans="1:3" ht="18">
      <c r="A281" s="1" t="s">
        <v>1018</v>
      </c>
      <c r="B281" s="40" t="s">
        <v>139</v>
      </c>
      <c r="C281" s="40">
        <v>140</v>
      </c>
    </row>
    <row r="282" spans="1:3" ht="18">
      <c r="A282" s="1" t="s">
        <v>233</v>
      </c>
      <c r="B282" s="40" t="s">
        <v>53</v>
      </c>
      <c r="C282" s="40">
        <v>140</v>
      </c>
    </row>
    <row r="283" spans="1:3" ht="18">
      <c r="A283" s="1" t="s">
        <v>940</v>
      </c>
      <c r="B283" s="40" t="s">
        <v>61</v>
      </c>
      <c r="C283" s="40">
        <v>140</v>
      </c>
    </row>
    <row r="284" spans="1:3" ht="18">
      <c r="A284" s="1" t="s">
        <v>160</v>
      </c>
      <c r="B284" s="40" t="s">
        <v>71</v>
      </c>
      <c r="C284" s="40">
        <v>140</v>
      </c>
    </row>
    <row r="285" spans="1:3" ht="18">
      <c r="A285" s="1" t="s">
        <v>861</v>
      </c>
      <c r="B285" s="40" t="s">
        <v>77</v>
      </c>
      <c r="C285" s="40">
        <v>140</v>
      </c>
    </row>
    <row r="286" spans="1:3" ht="18">
      <c r="A286" s="1" t="s">
        <v>935</v>
      </c>
      <c r="B286" s="40" t="s">
        <v>73</v>
      </c>
      <c r="C286" s="40">
        <v>140</v>
      </c>
    </row>
    <row r="287" spans="1:3" ht="18">
      <c r="A287" s="1" t="s">
        <v>176</v>
      </c>
      <c r="B287" s="40" t="s">
        <v>82</v>
      </c>
      <c r="C287" s="40">
        <v>140</v>
      </c>
    </row>
    <row r="288" spans="1:3" ht="18">
      <c r="A288" s="1" t="s">
        <v>197</v>
      </c>
      <c r="B288" s="40" t="s">
        <v>91</v>
      </c>
      <c r="C288" s="40">
        <v>140</v>
      </c>
    </row>
    <row r="289" spans="1:3" ht="18">
      <c r="A289" s="1" t="s">
        <v>846</v>
      </c>
      <c r="B289" s="40" t="s">
        <v>34</v>
      </c>
      <c r="C289" s="40">
        <v>140</v>
      </c>
    </row>
    <row r="290" spans="1:3" ht="18">
      <c r="A290" s="1" t="s">
        <v>962</v>
      </c>
      <c r="B290" s="40" t="s">
        <v>50</v>
      </c>
      <c r="C290" s="40">
        <v>140</v>
      </c>
    </row>
    <row r="291" spans="1:3" ht="18">
      <c r="A291" s="1" t="s">
        <v>202</v>
      </c>
      <c r="B291" s="40" t="s">
        <v>63</v>
      </c>
      <c r="C291" s="40">
        <v>140</v>
      </c>
    </row>
    <row r="292" spans="1:3" ht="18">
      <c r="A292" s="1" t="s">
        <v>259</v>
      </c>
      <c r="B292" s="40" t="s">
        <v>42</v>
      </c>
      <c r="C292" s="40">
        <v>140</v>
      </c>
    </row>
    <row r="293" spans="1:3" ht="18">
      <c r="A293" s="1" t="s">
        <v>271</v>
      </c>
      <c r="B293" s="40" t="s">
        <v>127</v>
      </c>
      <c r="C293" s="40">
        <v>140</v>
      </c>
    </row>
    <row r="294" spans="1:3" ht="18">
      <c r="A294" s="1" t="s">
        <v>188</v>
      </c>
      <c r="B294" s="40" t="s">
        <v>31</v>
      </c>
      <c r="C294" s="40">
        <v>140</v>
      </c>
    </row>
    <row r="295" spans="1:3" ht="18">
      <c r="A295" s="1" t="s">
        <v>967</v>
      </c>
      <c r="B295" s="40" t="s">
        <v>98</v>
      </c>
      <c r="C295" s="40">
        <v>140</v>
      </c>
    </row>
    <row r="296" spans="1:3" ht="18">
      <c r="A296" s="1" t="s">
        <v>180</v>
      </c>
      <c r="B296" s="40" t="s">
        <v>63</v>
      </c>
      <c r="C296" s="40">
        <v>140</v>
      </c>
    </row>
    <row r="297" spans="1:3" ht="18">
      <c r="A297" s="1" t="s">
        <v>966</v>
      </c>
      <c r="B297" s="40" t="s">
        <v>39</v>
      </c>
      <c r="C297" s="40">
        <v>140</v>
      </c>
    </row>
    <row r="298" spans="1:3" ht="18">
      <c r="A298" s="1" t="s">
        <v>933</v>
      </c>
      <c r="B298" s="40" t="s">
        <v>47</v>
      </c>
      <c r="C298" s="40">
        <v>140</v>
      </c>
    </row>
    <row r="299" spans="1:3" ht="18">
      <c r="A299" s="1" t="s">
        <v>344</v>
      </c>
      <c r="B299" s="40" t="s">
        <v>50</v>
      </c>
      <c r="C299" s="40">
        <v>140</v>
      </c>
    </row>
    <row r="300" spans="1:3" ht="18">
      <c r="A300" s="1" t="s">
        <v>345</v>
      </c>
      <c r="B300" s="40" t="s">
        <v>55</v>
      </c>
      <c r="C300" s="40">
        <v>140</v>
      </c>
    </row>
    <row r="301" spans="1:3" ht="18">
      <c r="A301" s="1" t="s">
        <v>346</v>
      </c>
      <c r="B301" s="40" t="s">
        <v>18</v>
      </c>
      <c r="C301" s="40">
        <v>140</v>
      </c>
    </row>
    <row r="302" spans="1:3" ht="18">
      <c r="A302" s="1" t="s">
        <v>1019</v>
      </c>
      <c r="B302" s="40" t="s">
        <v>59</v>
      </c>
      <c r="C302" s="40">
        <v>140</v>
      </c>
    </row>
    <row r="303" spans="1:3" ht="18">
      <c r="A303" s="1" t="s">
        <v>1020</v>
      </c>
      <c r="B303" s="40" t="s">
        <v>63</v>
      </c>
      <c r="C303" s="40">
        <v>140</v>
      </c>
    </row>
    <row r="304" spans="1:3" ht="18">
      <c r="A304" s="1" t="s">
        <v>246</v>
      </c>
      <c r="B304" s="40" t="s">
        <v>71</v>
      </c>
      <c r="C304" s="40">
        <v>140</v>
      </c>
    </row>
    <row r="305" spans="1:3" ht="18">
      <c r="A305" s="1" t="s">
        <v>265</v>
      </c>
      <c r="B305" s="40" t="s">
        <v>79</v>
      </c>
      <c r="C305" s="40">
        <v>140</v>
      </c>
    </row>
    <row r="306" spans="1:3" ht="18">
      <c r="A306" s="1" t="s">
        <v>334</v>
      </c>
      <c r="B306" s="40" t="s">
        <v>23</v>
      </c>
      <c r="C306" s="40">
        <v>140</v>
      </c>
    </row>
    <row r="307" spans="1:3" ht="18">
      <c r="A307" s="1" t="s">
        <v>264</v>
      </c>
      <c r="B307" s="40" t="s">
        <v>68</v>
      </c>
      <c r="C307" s="40">
        <v>140</v>
      </c>
    </row>
    <row r="308" spans="1:3" ht="18">
      <c r="A308" s="1" t="s">
        <v>234</v>
      </c>
      <c r="B308" s="40" t="s">
        <v>31</v>
      </c>
      <c r="C308" s="40">
        <v>140</v>
      </c>
    </row>
    <row r="309" spans="1:3" ht="18">
      <c r="A309" s="1" t="s">
        <v>313</v>
      </c>
      <c r="B309" s="40" t="s">
        <v>42</v>
      </c>
      <c r="C309" s="40">
        <v>140</v>
      </c>
    </row>
    <row r="310" spans="1:3" ht="18">
      <c r="A310" s="1" t="s">
        <v>275</v>
      </c>
      <c r="B310" s="40" t="s">
        <v>68</v>
      </c>
      <c r="C310" s="40">
        <v>140</v>
      </c>
    </row>
    <row r="311" spans="1:3" ht="18">
      <c r="A311" s="1" t="s">
        <v>1021</v>
      </c>
      <c r="B311" s="40" t="s">
        <v>18</v>
      </c>
      <c r="C311" s="40">
        <v>140</v>
      </c>
    </row>
    <row r="312" spans="1:3" ht="18">
      <c r="A312" s="1" t="s">
        <v>350</v>
      </c>
      <c r="B312" s="40" t="s">
        <v>73</v>
      </c>
      <c r="C312" s="40">
        <v>140</v>
      </c>
    </row>
    <row r="313" spans="1:3" ht="18">
      <c r="A313" s="1" t="s">
        <v>1022</v>
      </c>
      <c r="B313" s="40" t="s">
        <v>26</v>
      </c>
      <c r="C313" s="40">
        <v>140</v>
      </c>
    </row>
    <row r="314" spans="1:3" ht="18">
      <c r="A314" s="1" t="s">
        <v>937</v>
      </c>
      <c r="B314" s="40" t="s">
        <v>139</v>
      </c>
      <c r="C314" s="40">
        <v>140</v>
      </c>
    </row>
    <row r="315" spans="1:3" ht="18">
      <c r="A315" s="1" t="s">
        <v>1023</v>
      </c>
      <c r="B315" s="40" t="s">
        <v>55</v>
      </c>
      <c r="C315" s="40">
        <v>140</v>
      </c>
    </row>
    <row r="316" spans="1:3" ht="18">
      <c r="A316" s="1" t="s">
        <v>352</v>
      </c>
      <c r="B316" s="40" t="s">
        <v>82</v>
      </c>
      <c r="C316" s="40">
        <v>140</v>
      </c>
    </row>
    <row r="317" spans="1:3" ht="18">
      <c r="A317" s="1" t="s">
        <v>342</v>
      </c>
      <c r="B317" s="40" t="s">
        <v>50</v>
      </c>
      <c r="C317" s="40">
        <v>140</v>
      </c>
    </row>
    <row r="318" spans="1:3" ht="18">
      <c r="A318" s="1" t="s">
        <v>287</v>
      </c>
      <c r="B318" s="40" t="s">
        <v>39</v>
      </c>
      <c r="C318" s="40">
        <v>140</v>
      </c>
    </row>
    <row r="319" spans="1:3" ht="18">
      <c r="A319" s="1" t="s">
        <v>280</v>
      </c>
      <c r="B319" s="40" t="s">
        <v>77</v>
      </c>
      <c r="C319" s="40">
        <v>140</v>
      </c>
    </row>
    <row r="320" spans="1:3" ht="18">
      <c r="A320" s="1" t="s">
        <v>931</v>
      </c>
      <c r="B320" s="40" t="s">
        <v>31</v>
      </c>
      <c r="C320" s="40">
        <v>140</v>
      </c>
    </row>
    <row r="321" spans="1:3" ht="18">
      <c r="A321" s="1" t="s">
        <v>1024</v>
      </c>
      <c r="B321" s="40" t="s">
        <v>68</v>
      </c>
      <c r="C321" s="40">
        <v>140</v>
      </c>
    </row>
    <row r="322" spans="1:3" ht="18">
      <c r="A322" s="1" t="s">
        <v>1025</v>
      </c>
      <c r="B322" s="40" t="s">
        <v>68</v>
      </c>
      <c r="C322" s="40">
        <v>140</v>
      </c>
    </row>
    <row r="323" spans="1:3" ht="18">
      <c r="A323" s="1" t="s">
        <v>1026</v>
      </c>
      <c r="B323" s="40" t="s">
        <v>34</v>
      </c>
      <c r="C323" s="40">
        <v>140</v>
      </c>
    </row>
    <row r="324" spans="1:3" ht="18">
      <c r="A324" s="1" t="s">
        <v>1027</v>
      </c>
      <c r="B324" s="40" t="s">
        <v>79</v>
      </c>
      <c r="C324" s="40">
        <v>140</v>
      </c>
    </row>
    <row r="325" spans="1:3" ht="18">
      <c r="A325" s="1" t="s">
        <v>1028</v>
      </c>
      <c r="B325" s="40" t="s">
        <v>82</v>
      </c>
      <c r="C325" s="40">
        <v>140</v>
      </c>
    </row>
    <row r="326" spans="1:3" ht="18">
      <c r="A326" s="1" t="s">
        <v>144</v>
      </c>
      <c r="B326" s="40" t="s">
        <v>47</v>
      </c>
      <c r="C326" s="40">
        <v>140</v>
      </c>
    </row>
    <row r="327" spans="1:3" ht="18">
      <c r="A327" s="1" t="s">
        <v>425</v>
      </c>
      <c r="B327" s="40" t="s">
        <v>77</v>
      </c>
      <c r="C327" s="40">
        <v>140</v>
      </c>
    </row>
    <row r="328" spans="1:3" ht="18">
      <c r="A328" s="1" t="s">
        <v>1029</v>
      </c>
      <c r="B328" s="40" t="s">
        <v>39</v>
      </c>
      <c r="C328" s="40">
        <v>140</v>
      </c>
    </row>
    <row r="329" spans="1:3" ht="18">
      <c r="A329" s="1" t="s">
        <v>1030</v>
      </c>
      <c r="B329" s="40" t="s">
        <v>29</v>
      </c>
      <c r="C329" s="40">
        <v>140</v>
      </c>
    </row>
    <row r="330" spans="1:3" ht="18">
      <c r="A330" s="1" t="s">
        <v>1031</v>
      </c>
      <c r="B330" s="40" t="s">
        <v>79</v>
      </c>
      <c r="C330" s="40">
        <v>140</v>
      </c>
    </row>
    <row r="331" spans="1:3" ht="18">
      <c r="A331" s="1" t="s">
        <v>840</v>
      </c>
      <c r="B331" s="40" t="s">
        <v>79</v>
      </c>
      <c r="C331" s="40">
        <v>140</v>
      </c>
    </row>
    <row r="332" spans="1:3" ht="18">
      <c r="A332" s="1" t="s">
        <v>1032</v>
      </c>
      <c r="B332" s="40" t="s">
        <v>20</v>
      </c>
      <c r="C332" s="40">
        <v>140</v>
      </c>
    </row>
    <row r="333" spans="1:3" ht="18">
      <c r="A333" s="1" t="s">
        <v>1033</v>
      </c>
      <c r="B333" s="40" t="s">
        <v>53</v>
      </c>
      <c r="C333" s="40">
        <v>140</v>
      </c>
    </row>
    <row r="334" spans="1:3" ht="18">
      <c r="A334" s="1" t="s">
        <v>1034</v>
      </c>
      <c r="B334" s="40" t="s">
        <v>63</v>
      </c>
      <c r="C334" s="40">
        <v>140</v>
      </c>
    </row>
    <row r="335" spans="1:3" ht="18">
      <c r="A335" s="1" t="s">
        <v>348</v>
      </c>
      <c r="B335" s="40" t="s">
        <v>68</v>
      </c>
      <c r="C335" s="40">
        <v>140</v>
      </c>
    </row>
    <row r="336" spans="1:3" ht="18">
      <c r="A336" s="1" t="s">
        <v>203</v>
      </c>
      <c r="B336" s="40" t="s">
        <v>68</v>
      </c>
      <c r="C336" s="40">
        <v>140</v>
      </c>
    </row>
    <row r="337" spans="1:3" ht="18">
      <c r="A337" s="1" t="s">
        <v>349</v>
      </c>
      <c r="B337" s="40" t="s">
        <v>18</v>
      </c>
      <c r="C337" s="40">
        <v>140</v>
      </c>
    </row>
    <row r="338" spans="1:3" ht="18">
      <c r="A338" s="1" t="s">
        <v>1035</v>
      </c>
      <c r="B338" s="40" t="s">
        <v>57</v>
      </c>
      <c r="C338" s="40">
        <v>140</v>
      </c>
    </row>
    <row r="339" spans="1:3" ht="18">
      <c r="A339" s="1" t="s">
        <v>328</v>
      </c>
      <c r="B339" s="40" t="s">
        <v>61</v>
      </c>
      <c r="C339" s="40">
        <v>140</v>
      </c>
    </row>
    <row r="340" spans="1:3" ht="18">
      <c r="A340" s="1" t="s">
        <v>347</v>
      </c>
      <c r="B340" s="40" t="s">
        <v>36</v>
      </c>
      <c r="C340" s="40">
        <v>140</v>
      </c>
    </row>
    <row r="341" spans="1:3" ht="18">
      <c r="A341" s="1" t="s">
        <v>303</v>
      </c>
      <c r="B341" s="40" t="s">
        <v>26</v>
      </c>
      <c r="C341" s="40">
        <v>140</v>
      </c>
    </row>
    <row r="342" spans="1:3" ht="18">
      <c r="A342" s="1" t="s">
        <v>216</v>
      </c>
      <c r="B342" s="40" t="s">
        <v>82</v>
      </c>
      <c r="C342" s="40">
        <v>140</v>
      </c>
    </row>
    <row r="343" spans="1:3" ht="18">
      <c r="A343" s="1" t="s">
        <v>220</v>
      </c>
      <c r="B343" s="40" t="s">
        <v>127</v>
      </c>
      <c r="C343" s="40">
        <v>140</v>
      </c>
    </row>
    <row r="344" spans="1:3" ht="18">
      <c r="A344" s="1" t="s">
        <v>1036</v>
      </c>
      <c r="B344" s="40" t="s">
        <v>91</v>
      </c>
      <c r="C344" s="40">
        <v>140</v>
      </c>
    </row>
    <row r="345" spans="1:3" ht="18">
      <c r="A345" s="1" t="s">
        <v>837</v>
      </c>
      <c r="B345" s="40" t="s">
        <v>47</v>
      </c>
      <c r="C345" s="40">
        <v>140</v>
      </c>
    </row>
    <row r="346" spans="1:3" ht="18">
      <c r="A346" s="1" t="s">
        <v>1037</v>
      </c>
      <c r="B346" s="40" t="s">
        <v>29</v>
      </c>
      <c r="C346" s="40">
        <v>140</v>
      </c>
    </row>
    <row r="347" spans="1:3" ht="18">
      <c r="A347" s="1" t="s">
        <v>132</v>
      </c>
      <c r="B347" s="40" t="s">
        <v>71</v>
      </c>
      <c r="C347" s="40">
        <v>140</v>
      </c>
    </row>
    <row r="348" spans="1:3" ht="18">
      <c r="A348" s="1" t="s">
        <v>311</v>
      </c>
      <c r="B348" s="40" t="s">
        <v>112</v>
      </c>
      <c r="C348" s="40">
        <v>140</v>
      </c>
    </row>
    <row r="349" spans="1:3" ht="18">
      <c r="A349" s="1" t="s">
        <v>141</v>
      </c>
      <c r="B349" s="40" t="s">
        <v>139</v>
      </c>
      <c r="C349" s="40">
        <v>140</v>
      </c>
    </row>
    <row r="350" spans="1:3" ht="18">
      <c r="A350" s="1" t="s">
        <v>252</v>
      </c>
      <c r="B350" s="40" t="s">
        <v>59</v>
      </c>
      <c r="C350" s="40">
        <v>140</v>
      </c>
    </row>
    <row r="351" spans="1:3" ht="18">
      <c r="A351" s="1" t="s">
        <v>315</v>
      </c>
      <c r="B351" s="40" t="s">
        <v>82</v>
      </c>
      <c r="C351" s="40">
        <v>140</v>
      </c>
    </row>
    <row r="352" spans="1:3" ht="18">
      <c r="A352" s="1" t="s">
        <v>219</v>
      </c>
      <c r="B352" s="40" t="s">
        <v>55</v>
      </c>
      <c r="C352" s="40">
        <v>140</v>
      </c>
    </row>
    <row r="353" spans="1:3" ht="18">
      <c r="A353" s="1" t="s">
        <v>254</v>
      </c>
      <c r="B353" s="40" t="s">
        <v>26</v>
      </c>
      <c r="C353" s="40">
        <v>140</v>
      </c>
    </row>
    <row r="354" spans="1:3" ht="18">
      <c r="A354" s="1" t="s">
        <v>307</v>
      </c>
      <c r="B354" s="40" t="s">
        <v>57</v>
      </c>
      <c r="C354" s="40">
        <v>140</v>
      </c>
    </row>
    <row r="355" spans="1:3" ht="18">
      <c r="A355" s="1" t="s">
        <v>362</v>
      </c>
      <c r="B355" s="40" t="s">
        <v>127</v>
      </c>
      <c r="C355" s="40">
        <v>140</v>
      </c>
    </row>
    <row r="356" spans="1:3" ht="18">
      <c r="A356" s="1" t="s">
        <v>424</v>
      </c>
      <c r="B356" s="40" t="s">
        <v>139</v>
      </c>
      <c r="C356" s="40">
        <v>140</v>
      </c>
    </row>
    <row r="357" spans="1:3" ht="18">
      <c r="A357" s="1" t="s">
        <v>849</v>
      </c>
      <c r="B357" s="40" t="s">
        <v>34</v>
      </c>
      <c r="C357" s="40">
        <v>140</v>
      </c>
    </row>
    <row r="358" spans="1:3" ht="18">
      <c r="A358" s="1" t="s">
        <v>938</v>
      </c>
      <c r="B358" s="40" t="s">
        <v>34</v>
      </c>
      <c r="C358" s="40">
        <v>140</v>
      </c>
    </row>
    <row r="359" spans="1:3" ht="18">
      <c r="A359" s="1" t="s">
        <v>316</v>
      </c>
      <c r="B359" s="40" t="s">
        <v>50</v>
      </c>
      <c r="C359" s="40">
        <v>140</v>
      </c>
    </row>
    <row r="360" spans="1:3" ht="18">
      <c r="A360" s="1" t="s">
        <v>177</v>
      </c>
      <c r="B360" s="40" t="s">
        <v>18</v>
      </c>
      <c r="C360" s="40">
        <v>140</v>
      </c>
    </row>
    <row r="361" spans="1:3" ht="18">
      <c r="A361" s="1" t="s">
        <v>145</v>
      </c>
      <c r="B361" s="40" t="s">
        <v>20</v>
      </c>
      <c r="C361" s="40">
        <v>140</v>
      </c>
    </row>
    <row r="362" spans="1:3" ht="18">
      <c r="A362" s="1" t="s">
        <v>354</v>
      </c>
      <c r="B362" s="40" t="s">
        <v>79</v>
      </c>
      <c r="C362" s="40">
        <v>140</v>
      </c>
    </row>
    <row r="363" spans="1:3" ht="18">
      <c r="A363" s="1" t="s">
        <v>129</v>
      </c>
      <c r="B363" s="40" t="s">
        <v>95</v>
      </c>
      <c r="C363" s="40">
        <v>140</v>
      </c>
    </row>
    <row r="364" spans="1:3" ht="18">
      <c r="A364" s="1" t="s">
        <v>1038</v>
      </c>
      <c r="B364" s="40" t="s">
        <v>29</v>
      </c>
      <c r="C364" s="40">
        <v>140</v>
      </c>
    </row>
    <row r="365" spans="1:3" ht="18">
      <c r="A365" s="1" t="s">
        <v>270</v>
      </c>
      <c r="B365" s="40" t="s">
        <v>139</v>
      </c>
      <c r="C365" s="40">
        <v>140</v>
      </c>
    </row>
    <row r="366" spans="1:3" ht="18">
      <c r="A366" s="1" t="s">
        <v>172</v>
      </c>
      <c r="B366" s="40" t="s">
        <v>29</v>
      </c>
      <c r="C366" s="40">
        <v>140</v>
      </c>
    </row>
    <row r="367" spans="1:3" ht="18">
      <c r="A367" s="1" t="s">
        <v>235</v>
      </c>
      <c r="B367" s="40" t="s">
        <v>39</v>
      </c>
      <c r="C367" s="40">
        <v>140</v>
      </c>
    </row>
    <row r="368" spans="1:3" ht="18">
      <c r="A368" s="1" t="s">
        <v>243</v>
      </c>
      <c r="B368" s="40" t="s">
        <v>91</v>
      </c>
      <c r="C368" s="40">
        <v>140</v>
      </c>
    </row>
    <row r="369" spans="1:3" ht="18">
      <c r="A369" s="1" t="s">
        <v>963</v>
      </c>
      <c r="B369" s="40" t="s">
        <v>79</v>
      </c>
      <c r="C369" s="40">
        <v>140</v>
      </c>
    </row>
    <row r="370" spans="1:3" ht="18">
      <c r="A370" s="1" t="s">
        <v>174</v>
      </c>
      <c r="B370" s="40" t="s">
        <v>50</v>
      </c>
      <c r="C370" s="40">
        <v>140</v>
      </c>
    </row>
    <row r="371" spans="1:3" ht="18">
      <c r="A371" s="1" t="s">
        <v>320</v>
      </c>
      <c r="B371" s="40" t="s">
        <v>29</v>
      </c>
      <c r="C371" s="40">
        <v>140</v>
      </c>
    </row>
    <row r="372" spans="1:3" ht="18">
      <c r="A372" s="1" t="s">
        <v>863</v>
      </c>
      <c r="B372" s="40" t="s">
        <v>63</v>
      </c>
      <c r="C372" s="40">
        <v>140</v>
      </c>
    </row>
    <row r="373" spans="1:3" ht="18">
      <c r="A373" s="1" t="s">
        <v>213</v>
      </c>
      <c r="B373" s="40" t="s">
        <v>29</v>
      </c>
      <c r="C373" s="40">
        <v>140</v>
      </c>
    </row>
    <row r="374" spans="1:3" ht="18">
      <c r="A374" s="1" t="s">
        <v>1039</v>
      </c>
      <c r="B374" s="40" t="s">
        <v>53</v>
      </c>
      <c r="C374" s="40">
        <v>140</v>
      </c>
    </row>
    <row r="375" spans="1:3" ht="18">
      <c r="A375" s="1" t="s">
        <v>1040</v>
      </c>
      <c r="B375" s="40" t="s">
        <v>55</v>
      </c>
      <c r="C375" s="40">
        <v>140</v>
      </c>
    </row>
    <row r="376" spans="1:3" ht="18">
      <c r="A376" s="1" t="s">
        <v>267</v>
      </c>
      <c r="B376" s="40" t="s">
        <v>127</v>
      </c>
      <c r="C376" s="40">
        <v>140</v>
      </c>
    </row>
    <row r="377" spans="1:3" ht="18">
      <c r="A377" s="1" t="s">
        <v>356</v>
      </c>
      <c r="B377" s="40" t="s">
        <v>36</v>
      </c>
      <c r="C377" s="40">
        <v>140</v>
      </c>
    </row>
    <row r="378" spans="1:3" ht="18">
      <c r="A378" s="1" t="s">
        <v>161</v>
      </c>
      <c r="B378" s="40" t="s">
        <v>91</v>
      </c>
      <c r="C378" s="40">
        <v>140</v>
      </c>
    </row>
    <row r="379" spans="1:3" ht="18">
      <c r="A379" s="1" t="s">
        <v>337</v>
      </c>
      <c r="B379" s="40" t="s">
        <v>29</v>
      </c>
      <c r="C379" s="40">
        <v>140</v>
      </c>
    </row>
    <row r="380" spans="1:3" ht="18">
      <c r="A380" s="1" t="s">
        <v>277</v>
      </c>
      <c r="B380" s="40" t="s">
        <v>29</v>
      </c>
      <c r="C380" s="40">
        <v>140</v>
      </c>
    </row>
    <row r="381" spans="1:3" ht="18">
      <c r="A381" s="1" t="s">
        <v>226</v>
      </c>
      <c r="B381" s="40" t="s">
        <v>82</v>
      </c>
      <c r="C381" s="40">
        <v>140</v>
      </c>
    </row>
    <row r="382" spans="1:3" ht="18">
      <c r="A382" s="1" t="s">
        <v>189</v>
      </c>
      <c r="B382" s="40" t="s">
        <v>63</v>
      </c>
      <c r="C382" s="40">
        <v>140</v>
      </c>
    </row>
    <row r="383" spans="1:3" ht="18">
      <c r="A383" s="1" t="s">
        <v>182</v>
      </c>
      <c r="B383" s="40" t="s">
        <v>39</v>
      </c>
      <c r="C383" s="40">
        <v>140</v>
      </c>
    </row>
    <row r="384" spans="1:3" ht="18">
      <c r="A384" s="1" t="s">
        <v>336</v>
      </c>
      <c r="B384" s="40" t="s">
        <v>57</v>
      </c>
      <c r="C384" s="40">
        <v>140</v>
      </c>
    </row>
    <row r="385" spans="1:3" ht="18">
      <c r="A385" s="1" t="s">
        <v>194</v>
      </c>
      <c r="B385" s="40" t="s">
        <v>98</v>
      </c>
      <c r="C385" s="40">
        <v>140</v>
      </c>
    </row>
    <row r="386" spans="1:3" ht="18">
      <c r="A386" s="1" t="s">
        <v>745</v>
      </c>
      <c r="B386" s="40" t="s">
        <v>79</v>
      </c>
      <c r="C386" s="40">
        <v>140</v>
      </c>
    </row>
    <row r="387" spans="1:3" ht="18">
      <c r="A387" s="1" t="s">
        <v>833</v>
      </c>
      <c r="B387" s="40" t="s">
        <v>53</v>
      </c>
      <c r="C387" s="40">
        <v>140</v>
      </c>
    </row>
    <row r="388" spans="1:3" ht="18">
      <c r="A388" s="1" t="s">
        <v>321</v>
      </c>
      <c r="B388" s="40" t="s">
        <v>98</v>
      </c>
      <c r="C388" s="40">
        <v>140</v>
      </c>
    </row>
    <row r="389" spans="1:3" ht="18">
      <c r="A389" s="1" t="s">
        <v>317</v>
      </c>
      <c r="B389" s="40" t="s">
        <v>26</v>
      </c>
      <c r="C389" s="40">
        <v>140</v>
      </c>
    </row>
    <row r="390" spans="1:3" ht="18">
      <c r="A390" s="1" t="s">
        <v>261</v>
      </c>
      <c r="B390" s="40" t="s">
        <v>77</v>
      </c>
      <c r="C390" s="40">
        <v>140</v>
      </c>
    </row>
    <row r="391" spans="1:3" ht="18">
      <c r="A391" s="1" t="s">
        <v>327</v>
      </c>
      <c r="B391" s="40" t="s">
        <v>36</v>
      </c>
      <c r="C391" s="40">
        <v>140</v>
      </c>
    </row>
    <row r="392" spans="1:3" ht="18">
      <c r="A392" s="1" t="s">
        <v>351</v>
      </c>
      <c r="B392" s="40" t="s">
        <v>59</v>
      </c>
      <c r="C392" s="40">
        <v>140</v>
      </c>
    </row>
    <row r="393" spans="1:3" ht="18">
      <c r="A393" s="1" t="s">
        <v>106</v>
      </c>
      <c r="B393" s="40" t="s">
        <v>39</v>
      </c>
      <c r="C393" s="40">
        <v>140</v>
      </c>
    </row>
    <row r="394" spans="1:3" ht="18">
      <c r="A394" s="1" t="s">
        <v>294</v>
      </c>
      <c r="B394" s="40" t="s">
        <v>63</v>
      </c>
      <c r="C394" s="40">
        <v>140</v>
      </c>
    </row>
    <row r="395" spans="1:3" ht="18">
      <c r="A395" s="1" t="s">
        <v>1041</v>
      </c>
      <c r="B395" s="40" t="s">
        <v>61</v>
      </c>
      <c r="C395" s="40">
        <v>140</v>
      </c>
    </row>
    <row r="396" spans="1:3" ht="18">
      <c r="A396" s="1" t="s">
        <v>151</v>
      </c>
      <c r="B396" s="40" t="s">
        <v>71</v>
      </c>
      <c r="C396" s="40">
        <v>140</v>
      </c>
    </row>
    <row r="397" spans="1:3" ht="18">
      <c r="A397" s="1" t="s">
        <v>323</v>
      </c>
      <c r="B397" s="40" t="s">
        <v>61</v>
      </c>
      <c r="C397" s="40">
        <v>140</v>
      </c>
    </row>
    <row r="398" spans="1:3" ht="18">
      <c r="A398" s="1" t="s">
        <v>183</v>
      </c>
      <c r="B398" s="40" t="s">
        <v>53</v>
      </c>
      <c r="C398" s="40">
        <v>140</v>
      </c>
    </row>
    <row r="399" spans="1:3" ht="18">
      <c r="A399" s="1" t="s">
        <v>301</v>
      </c>
      <c r="B399" s="40" t="s">
        <v>98</v>
      </c>
      <c r="C399" s="40">
        <v>140</v>
      </c>
    </row>
    <row r="400" spans="1:3" ht="18">
      <c r="A400" s="1" t="s">
        <v>251</v>
      </c>
      <c r="B400" s="40" t="s">
        <v>39</v>
      </c>
      <c r="C400" s="40">
        <v>140</v>
      </c>
    </row>
    <row r="401" spans="1:3" ht="18">
      <c r="A401" s="1" t="s">
        <v>209</v>
      </c>
      <c r="B401" s="40" t="s">
        <v>26</v>
      </c>
      <c r="C401" s="40">
        <v>140</v>
      </c>
    </row>
    <row r="402" spans="1:3" ht="18">
      <c r="A402" s="1" t="s">
        <v>305</v>
      </c>
      <c r="B402" s="40" t="s">
        <v>39</v>
      </c>
      <c r="C402" s="40">
        <v>140</v>
      </c>
    </row>
    <row r="403" spans="1:3" ht="18">
      <c r="A403" s="1" t="s">
        <v>193</v>
      </c>
      <c r="B403" s="40" t="s">
        <v>42</v>
      </c>
      <c r="C403" s="40">
        <v>140</v>
      </c>
    </row>
    <row r="404" spans="1:3" ht="18">
      <c r="A404" s="1" t="s">
        <v>296</v>
      </c>
      <c r="B404" s="40" t="s">
        <v>79</v>
      </c>
      <c r="C404" s="40">
        <v>140</v>
      </c>
    </row>
    <row r="405" spans="1:3" ht="18">
      <c r="A405" s="1" t="s">
        <v>206</v>
      </c>
      <c r="B405" s="40" t="s">
        <v>42</v>
      </c>
      <c r="C405" s="40">
        <v>140</v>
      </c>
    </row>
    <row r="406" spans="1:3" ht="18">
      <c r="A406" s="1" t="s">
        <v>832</v>
      </c>
      <c r="B406" s="40" t="s">
        <v>139</v>
      </c>
      <c r="C406" s="40">
        <v>140</v>
      </c>
    </row>
    <row r="407" spans="1:3" ht="18">
      <c r="A407" s="1" t="s">
        <v>426</v>
      </c>
      <c r="B407" s="40" t="s">
        <v>139</v>
      </c>
      <c r="C407" s="40">
        <v>140</v>
      </c>
    </row>
    <row r="408" spans="1:3" ht="18">
      <c r="A408" s="1" t="s">
        <v>859</v>
      </c>
      <c r="B408" s="40" t="s">
        <v>127</v>
      </c>
      <c r="C408" s="40">
        <v>140</v>
      </c>
    </row>
    <row r="409" spans="1:3" ht="18">
      <c r="A409" s="1" t="s">
        <v>201</v>
      </c>
      <c r="B409" s="40" t="s">
        <v>61</v>
      </c>
      <c r="C409" s="40">
        <v>140</v>
      </c>
    </row>
    <row r="410" spans="1:3" ht="18">
      <c r="A410" s="1" t="s">
        <v>359</v>
      </c>
      <c r="B410" s="40" t="s">
        <v>59</v>
      </c>
      <c r="C410" s="40">
        <v>140</v>
      </c>
    </row>
    <row r="411" spans="1:3" ht="18">
      <c r="A411" s="1" t="s">
        <v>329</v>
      </c>
      <c r="B411" s="40" t="s">
        <v>57</v>
      </c>
      <c r="C411" s="40">
        <v>140</v>
      </c>
    </row>
    <row r="412" spans="1:3" ht="18">
      <c r="A412" s="1" t="s">
        <v>292</v>
      </c>
      <c r="B412" s="40" t="s">
        <v>47</v>
      </c>
      <c r="C412" s="40">
        <v>140</v>
      </c>
    </row>
    <row r="413" spans="1:3" ht="18">
      <c r="A413" s="1" t="s">
        <v>218</v>
      </c>
      <c r="B413" s="40" t="s">
        <v>53</v>
      </c>
      <c r="C413" s="40">
        <v>140</v>
      </c>
    </row>
    <row r="414" spans="1:3" ht="18">
      <c r="A414" s="1" t="s">
        <v>836</v>
      </c>
      <c r="B414" s="40" t="s">
        <v>79</v>
      </c>
      <c r="C414" s="40">
        <v>140</v>
      </c>
    </row>
    <row r="415" spans="1:3" ht="18">
      <c r="A415" s="1" t="s">
        <v>364</v>
      </c>
      <c r="B415" s="40" t="s">
        <v>47</v>
      </c>
      <c r="C415" s="40">
        <v>140</v>
      </c>
    </row>
    <row r="416" spans="1:3" ht="18">
      <c r="A416" s="1" t="s">
        <v>1042</v>
      </c>
      <c r="B416" s="40" t="s">
        <v>112</v>
      </c>
      <c r="C416" s="40">
        <v>140</v>
      </c>
    </row>
    <row r="417" spans="1:3" ht="18">
      <c r="A417" s="1" t="s">
        <v>851</v>
      </c>
      <c r="B417" s="40" t="s">
        <v>55</v>
      </c>
      <c r="C417" s="40">
        <v>140</v>
      </c>
    </row>
    <row r="418" spans="1:3" ht="18">
      <c r="A418" s="1" t="s">
        <v>210</v>
      </c>
      <c r="B418" s="40" t="s">
        <v>34</v>
      </c>
      <c r="C418" s="40">
        <v>140</v>
      </c>
    </row>
    <row r="419" spans="1:3" ht="18">
      <c r="A419" s="1" t="s">
        <v>319</v>
      </c>
      <c r="B419" s="40" t="s">
        <v>26</v>
      </c>
      <c r="C419" s="40">
        <v>140</v>
      </c>
    </row>
    <row r="420" spans="1:3" ht="18">
      <c r="A420" s="1" t="s">
        <v>211</v>
      </c>
      <c r="B420" s="40" t="s">
        <v>20</v>
      </c>
      <c r="C420" s="40">
        <v>140</v>
      </c>
    </row>
    <row r="421" spans="1:3" ht="18">
      <c r="A421" s="1" t="s">
        <v>253</v>
      </c>
      <c r="B421" s="40" t="s">
        <v>31</v>
      </c>
      <c r="C421" s="40">
        <v>140</v>
      </c>
    </row>
    <row r="422" spans="1:3" ht="18">
      <c r="A422" s="1" t="s">
        <v>858</v>
      </c>
      <c r="B422" s="40" t="s">
        <v>47</v>
      </c>
      <c r="C422" s="40">
        <v>140</v>
      </c>
    </row>
    <row r="423" spans="1:3" ht="18">
      <c r="A423" s="1" t="s">
        <v>932</v>
      </c>
      <c r="B423" s="40" t="s">
        <v>127</v>
      </c>
      <c r="C423" s="40">
        <v>140</v>
      </c>
    </row>
  </sheetData>
  <hyperlinks>
    <hyperlink ref="A2" r:id="rId1" display="https://hashtagbasketball.com/9196/player" xr:uid="{7B2840F7-D4F4-CE43-B471-7C9E085005D7}"/>
    <hyperlink ref="A3" r:id="rId2" display="https://hashtagbasketball.com/110399/player" xr:uid="{5B586955-6DFE-9A45-8E34-6B7787BAE38C}"/>
    <hyperlink ref="A4" r:id="rId3" display="https://hashtagbasketball.com/15200/player" xr:uid="{12B8BC05-758D-2649-8455-F8FEB9E70A11}"/>
    <hyperlink ref="A5" r:id="rId4" display="https://hashtagbasketball.com/15208/player" xr:uid="{69A437EB-CEBC-7C4B-80A8-1E7F217841F2}"/>
    <hyperlink ref="A6" r:id="rId5" display="https://hashtagbasketball.com/31030/player" xr:uid="{40B220C6-E6A3-5F4D-A569-CE1C4D812436}"/>
    <hyperlink ref="A7" r:id="rId6" display="https://hashtagbasketball.com/9325/player" xr:uid="{A0BC73B2-23C8-6A4C-8E9D-B917D04CEAA1}"/>
    <hyperlink ref="A8" r:id="rId7" display="https://hashtagbasketball.com/27638/player" xr:uid="{20E058E8-7644-3C47-8DC5-29BFE07DA1E8}"/>
    <hyperlink ref="A9" r:id="rId8" display="https://hashtagbasketball.com/13730/player" xr:uid="{32844D29-D623-664D-90E3-E3FE9A1F78D2}"/>
    <hyperlink ref="A10" r:id="rId9" display="https://hashtagbasketball.com/27450/player" xr:uid="{EA583520-DD58-3146-B4E4-147AAF4EED07}"/>
    <hyperlink ref="A11" r:id="rId10" display="https://hashtagbasketball.com/120207/player" xr:uid="{165124EB-3131-C845-9802-D8F970464F6A}"/>
    <hyperlink ref="A12" r:id="rId11" display="https://hashtagbasketball.com/31049/player" xr:uid="{88027525-C261-CC4F-B193-A34712C72FE0}"/>
    <hyperlink ref="A13" r:id="rId12" display="https://hashtagbasketball.com/27619/player" xr:uid="{EB01989B-3C83-3543-B906-E793981845DE}"/>
    <hyperlink ref="A14" r:id="rId13" display="https://hashtagbasketball.com/13741/player" xr:uid="{E091B369-CA54-C545-BCB3-0963715A3DD0}"/>
    <hyperlink ref="A15" r:id="rId14" display="https://hashtagbasketball.com/31033/player" xr:uid="{DC461FAE-EDD2-0D41-B1CF-DBCD7B8533C4}"/>
    <hyperlink ref="A16" r:id="rId15" display="https://hashtagbasketball.com/9346/player" xr:uid="{A6639774-21F0-2740-80A7-CC6692A6ACE1}"/>
    <hyperlink ref="A17" r:id="rId16" display="https://hashtagbasketball.com/9386/player" xr:uid="{EBFA80BF-6EFC-0E41-8DB4-A84955A2B1DA}"/>
    <hyperlink ref="A18" r:id="rId17" display="https://hashtagbasketball.com/31045/player" xr:uid="{BC9373DE-81DE-2842-A3B8-01587708478C}"/>
    <hyperlink ref="A19" r:id="rId18" display="https://hashtagbasketball.com/10134/player" xr:uid="{64AB942A-64C8-A148-9E22-6704E93CC5A7}"/>
    <hyperlink ref="A20" r:id="rId19" display="https://hashtagbasketball.com/15280/player" xr:uid="{5281CBD8-BA95-8744-822C-B7A43227EF5D}"/>
    <hyperlink ref="A21" r:id="rId20" display="https://hashtagbasketball.com/111204/player" xr:uid="{E9B9D4A9-3858-2D4B-A41D-6B30D93327C1}"/>
    <hyperlink ref="A22" r:id="rId21" display="https://hashtagbasketball.com/31035/player" xr:uid="{B9EB422A-5292-7D4A-B2D3-1D4A868CCA57}"/>
    <hyperlink ref="A23" r:id="rId22" display="https://hashtagbasketball.com/9218/player" xr:uid="{FB0ADD5F-09DC-C246-AC4D-910A548E58F6}"/>
    <hyperlink ref="A24" r:id="rId23" display="https://hashtagbasketball.com/35041/player" xr:uid="{7F7363FF-D01D-5A4A-BC9B-49C6044ADE24}"/>
    <hyperlink ref="A25" r:id="rId24" display="https://hashtagbasketball.com/15202/player" xr:uid="{F06C204B-2E67-F549-A83A-AE682664C412}"/>
    <hyperlink ref="A26" r:id="rId25" display="https://hashtagbasketball.com/9434/player" xr:uid="{5538F1D6-934E-4D44-AA87-B9791498B0ED}"/>
    <hyperlink ref="A27" r:id="rId26" display="https://hashtagbasketball.com/27469/player" xr:uid="{19AD2DC2-83BA-E244-B20D-C2CD20BF9868}"/>
    <hyperlink ref="A28" r:id="rId27" display="https://hashtagbasketball.com/13742/player" xr:uid="{581310F2-050C-5A42-B6AA-6595CA203379}"/>
    <hyperlink ref="A29" r:id="rId28" display="https://hashtagbasketball.com/10113/player" xr:uid="{9024B882-0ECB-2C42-8C3D-D428340620A7}"/>
    <hyperlink ref="A30" r:id="rId29" display="https://hashtagbasketball.com/31032/player" xr:uid="{673D1642-9B8D-2A40-AEBB-1E75DF6C8CCA}"/>
    <hyperlink ref="A31" r:id="rId30" display="https://hashtagbasketball.com/10090/player" xr:uid="{244B642C-66E0-9F49-AFF9-E10F80E1A303}"/>
    <hyperlink ref="A32" r:id="rId31" display="https://hashtagbasketball.com/38617/player" xr:uid="{C2274FA5-F148-B845-AB33-B4C93565C51A}"/>
    <hyperlink ref="A33" r:id="rId32" display="https://hashtagbasketball.com/9476/player" xr:uid="{102C02B0-D935-194F-A3E4-99906FFE494D}"/>
    <hyperlink ref="A34" r:id="rId33" display="https://hashtagbasketball.com/9232/player" xr:uid="{DD8A82EB-40F8-8545-8AAB-E66560F4EC2A}"/>
    <hyperlink ref="A35" r:id="rId34" display="https://hashtagbasketball.com/38848/player" xr:uid="{7041524C-9500-B240-8580-25E2525F303A}"/>
    <hyperlink ref="A36" r:id="rId35" display="https://hashtagbasketball.com/38840/player" xr:uid="{6C8A5B82-A6D7-9746-84A3-20F28D609D92}"/>
    <hyperlink ref="A37" r:id="rId36" display="https://hashtagbasketball.com/31046/player" xr:uid="{ECC3D754-F598-674A-9A22-C28A47BF5AA0}"/>
    <hyperlink ref="A38" r:id="rId37" display="https://hashtagbasketball.com/13734/player" xr:uid="{439C89CE-670F-FC48-A379-E2940D5C6477}"/>
    <hyperlink ref="A39" r:id="rId38" display="https://hashtagbasketball.com/9158/player" xr:uid="{74DAD399-5165-EF4A-8A94-D50373A46E1D}"/>
    <hyperlink ref="A40" r:id="rId39" display="https://hashtagbasketball.com/27454/player" xr:uid="{F39EF23D-7CFF-8A44-B913-BF515C295824}"/>
    <hyperlink ref="A41" r:id="rId40" display="https://hashtagbasketball.com/38949/player" xr:uid="{93625650-47F8-0F45-B38C-0F0FDEB7D285}"/>
    <hyperlink ref="A42" r:id="rId41" display="https://hashtagbasketball.com/38790/player" xr:uid="{9746E4BA-4B41-D545-A872-7F29261A188E}"/>
    <hyperlink ref="A43" r:id="rId42" display="https://hashtagbasketball.com/9354/player" xr:uid="{B64D53C7-09CA-104C-A951-C0BB10016EEF}"/>
    <hyperlink ref="A44" r:id="rId43" display="https://hashtagbasketball.com/120003/player" xr:uid="{48DD032B-56AA-A14B-8A34-65D515D30F64}"/>
    <hyperlink ref="A45" r:id="rId44" display="https://hashtagbasketball.com/110400/player" xr:uid="{C33B3FFF-C2CD-E847-A172-780AE91C8F9B}"/>
    <hyperlink ref="A46" r:id="rId45" display="https://hashtagbasketball.com/13755/player" xr:uid="{17D8F7C7-42CA-824E-945D-045BD14086CE}"/>
    <hyperlink ref="A47" r:id="rId46" display="https://hashtagbasketball.com/15201/player" xr:uid="{A402987C-70F9-D04F-96CC-CE305F9AB745}"/>
    <hyperlink ref="A48" r:id="rId47" display="https://hashtagbasketball.com/120214/player" xr:uid="{196BE169-321A-D646-A617-201F7DC01CAA}"/>
    <hyperlink ref="A49" r:id="rId48" display="https://hashtagbasketball.com/9157/player" xr:uid="{17D99850-DD86-DF45-8C16-8777E7902CAB}"/>
    <hyperlink ref="A50" r:id="rId49" display="https://hashtagbasketball.com/10123/player" xr:uid="{6B4DD8FC-187B-F940-BC88-82526EA7D984}"/>
    <hyperlink ref="A51" r:id="rId50" display="https://hashtagbasketball.com/9418/player" xr:uid="{B95DBD34-96B4-894A-B700-CE720DC04450}"/>
    <hyperlink ref="A52" r:id="rId51" display="https://hashtagbasketball.com/31037/player" xr:uid="{69579788-E3BA-7B41-8B1E-64F3DD8AEA96}"/>
    <hyperlink ref="A53" r:id="rId52" display="https://hashtagbasketball.com/27649/player" xr:uid="{AA044C39-B957-3A43-BA9E-891BF0DA8CE8}"/>
    <hyperlink ref="A54" r:id="rId53" display="https://hashtagbasketball.com/111212/player" xr:uid="{023BBA47-B420-0742-B951-81991CA9951D}"/>
    <hyperlink ref="A55" r:id="rId54" display="https://hashtagbasketball.com/120002/player" xr:uid="{A4E982B6-8D72-0245-8150-76874C54BD06}"/>
    <hyperlink ref="A56" r:id="rId55" display="https://hashtagbasketball.com/27342/player" xr:uid="{04CBF927-7426-E544-94F6-51C974661D2E}"/>
    <hyperlink ref="A57" r:id="rId56" display="https://hashtagbasketball.com/120369/player" xr:uid="{06235800-7BDE-CC41-9BB8-5CB567B958B0}"/>
    <hyperlink ref="A58" r:id="rId57" display="https://hashtagbasketball.com/17191/player" xr:uid="{8A5DC7A4-EBEE-884F-BAFA-A23A15A14EE1}"/>
    <hyperlink ref="A59" r:id="rId58" display="https://hashtagbasketball.com/17208/player" xr:uid="{5E4E3039-5813-5343-A482-A1471FCD9977}"/>
    <hyperlink ref="A60" r:id="rId59" display="https://hashtagbasketball.com/10169/player" xr:uid="{649CC15D-5C45-7F47-8E10-DFA8CBAA8630}"/>
    <hyperlink ref="A61" r:id="rId60" display="https://hashtagbasketball.com/15211/player" xr:uid="{8C1B4A6A-655A-144C-889D-4055F1639BCF}"/>
    <hyperlink ref="A62" r:id="rId61" display="https://hashtagbasketball.com/17285/player" xr:uid="{D7245231-1E14-734B-A8CD-43C8A1FDE82B}"/>
    <hyperlink ref="A63" r:id="rId62" display="https://hashtagbasketball.com/39833/player" xr:uid="{F14D64BB-021C-9645-9B37-C1A5E1E0E7F5}"/>
    <hyperlink ref="A64" r:id="rId63" display="https://hashtagbasketball.com/120011/player" xr:uid="{5E5D20DF-0FCE-4542-B761-FCCB4FE12008}"/>
    <hyperlink ref="A65" r:id="rId64" display="https://hashtagbasketball.com/13750/player" xr:uid="{4EA5D3BA-CA7E-9342-AFF1-F7843097D52A}"/>
    <hyperlink ref="A66" r:id="rId65" display="https://hashtagbasketball.com/16958/player" xr:uid="{2D091299-887E-7040-9F93-F4B922CE1E90}"/>
    <hyperlink ref="A67" r:id="rId66" display="https://hashtagbasketball.com/10165/player" xr:uid="{A3196234-DB8D-C349-A3F8-1DF51C597749}"/>
    <hyperlink ref="A68" r:id="rId67" display="https://hashtagbasketball.com/9282/player" xr:uid="{0B68DB88-BEA5-9C47-9071-63100EA6BC07}"/>
    <hyperlink ref="A69" r:id="rId68" display="https://hashtagbasketball.com/17295/player" xr:uid="{3439E3F0-A93A-6F4E-BB3A-4D199AF8688E}"/>
    <hyperlink ref="A70" r:id="rId69" display="https://hashtagbasketball.com/120000/player" xr:uid="{47D5F2F3-7D62-AF41-BDC8-9C55B592C12F}"/>
    <hyperlink ref="A71" r:id="rId70" display="https://hashtagbasketball.com/9445/player" xr:uid="{453050C3-EDC5-F048-B774-9238D1F0322E}"/>
    <hyperlink ref="A72" r:id="rId71" display="https://hashtagbasketball.com/13749/player" xr:uid="{A353E25A-477F-C64C-800E-3097C9242F01}"/>
    <hyperlink ref="A73" r:id="rId72" display="https://hashtagbasketball.com/10149/player" xr:uid="{C49E269C-6FB8-834B-8583-BBF80106886D}"/>
    <hyperlink ref="A74" r:id="rId73" display="https://hashtagbasketball.com/9503/player" xr:uid="{B5E3F259-6603-7E42-BDE2-61C85781361F}"/>
    <hyperlink ref="A75" r:id="rId74" display="https://hashtagbasketball.com/38954/player" xr:uid="{3EE73F2D-EA7A-534E-BDF9-39BA98B7767B}"/>
    <hyperlink ref="A76" r:id="rId75" display="https://hashtagbasketball.com/120210/player" xr:uid="{2423A34C-14E9-014F-9C41-329406A8B8DC}"/>
    <hyperlink ref="A77" r:id="rId76" display="https://hashtagbasketball.com/120018/player" xr:uid="{8F927DC4-D81E-094D-A873-EDC5E5614A8E}"/>
    <hyperlink ref="A78" r:id="rId77" display="https://hashtagbasketball.com/120030/player" xr:uid="{054409C5-56F3-FF45-AE52-D33A1FE31F55}"/>
    <hyperlink ref="A79" r:id="rId78" display="https://hashtagbasketball.com/120367/player" xr:uid="{A7DD70D9-89A5-F04F-A533-FE77D1AC94C5}"/>
    <hyperlink ref="A80" r:id="rId79" display="https://hashtagbasketball.com/120370/player" xr:uid="{21DF51BF-F861-6A41-B459-0B6E1D7B2E35}"/>
    <hyperlink ref="A81" r:id="rId80" display="https://hashtagbasketball.com/13732/player" xr:uid="{7B520AFB-67E5-FC4F-B14B-CBEFBE32092A}"/>
    <hyperlink ref="A82" r:id="rId81" display="https://hashtagbasketball.com/111205/player" xr:uid="{D2B951B8-4BEC-0948-9A6C-A34F9A136DA6}"/>
    <hyperlink ref="A83" r:id="rId82" display="https://hashtagbasketball.com/9250/player" xr:uid="{37350840-3423-6847-97F8-3E1E01C51CF0}"/>
    <hyperlink ref="A84" r:id="rId83" display="https://hashtagbasketball.com/120208/player" xr:uid="{94999BD0-5B09-2C49-BDC3-BF0B32E2D4E0}"/>
    <hyperlink ref="A85" r:id="rId84" display="https://hashtagbasketball.com/15207/player" xr:uid="{214B3FF8-474E-2F45-AB60-B98788FD3E9F}"/>
    <hyperlink ref="A86" r:id="rId85" display="https://hashtagbasketball.com/27718/player" xr:uid="{4DAE77D6-FE6F-7C43-87E4-11B49F47CFDE}"/>
    <hyperlink ref="A87" r:id="rId86" display="https://hashtagbasketball.com/120216/player" xr:uid="{35602A8C-53D2-EA41-9D83-D421D22BD0EC}"/>
    <hyperlink ref="A88" r:id="rId87" display="https://hashtagbasketball.com/120234/player" xr:uid="{270AB804-1374-5F49-8982-057E63A81D54}"/>
    <hyperlink ref="A89" r:id="rId88" display="https://hashtagbasketball.com/17189/player" xr:uid="{4C7C868E-F853-CA40-8327-FF4CF657923B}"/>
    <hyperlink ref="A90" r:id="rId89" display="https://hashtagbasketball.com/17193/player" xr:uid="{8EC5E8AA-7635-7241-B10E-B66BD849CDA5}"/>
    <hyperlink ref="A91" r:id="rId90" display="https://hashtagbasketball.com/27700/player" xr:uid="{AA3627FC-6927-A94C-BE03-FC7DCC2320B2}"/>
    <hyperlink ref="A92" r:id="rId91" display="https://hashtagbasketball.com/38797/player" xr:uid="{3BD949DF-FFBB-4745-AC3F-7AA07E456EEF}"/>
    <hyperlink ref="A93" r:id="rId92" display="https://hashtagbasketball.com/9500/player" xr:uid="{A104A133-5AF0-A04E-BAB4-CC3B79323142}"/>
    <hyperlink ref="A94" r:id="rId93" display="https://hashtagbasketball.com/31058/player" xr:uid="{D9E42D56-5C9A-9542-8F93-BB8ACEB068BE}"/>
    <hyperlink ref="A95" r:id="rId94" display="https://hashtagbasketball.com/17252/player" xr:uid="{D9EDF49F-3E18-7141-949E-DB94C62E5226}"/>
    <hyperlink ref="A96" r:id="rId95" display="https://hashtagbasketball.com/13756/player" xr:uid="{AB976FD1-DBC0-9E40-B894-AEF3ACA9D5F6}"/>
    <hyperlink ref="A97" r:id="rId96" display="https://hashtagbasketball.com/27724/player" xr:uid="{BBE44ADA-7AB6-8143-A387-53DB425C1D3D}"/>
    <hyperlink ref="A98" r:id="rId97" display="https://hashtagbasketball.com/9342/player" xr:uid="{BCCFB6F9-F7B5-164B-B72F-5A9CB597B22E}"/>
    <hyperlink ref="A99" r:id="rId98" display="https://hashtagbasketball.com/15209/player" xr:uid="{48170FB5-E17F-4841-A1DC-62DDA1A9A45A}"/>
    <hyperlink ref="A100" r:id="rId99" display="https://hashtagbasketball.com/9343/player" xr:uid="{0DC15E55-CBB2-8744-B134-EC945E1B646B}"/>
    <hyperlink ref="A101" r:id="rId100" display="https://hashtagbasketball.com/31031/player" xr:uid="{64090C09-532A-BF43-8226-684B6A2CD9EC}"/>
    <hyperlink ref="A102" r:id="rId101" display="https://hashtagbasketball.com/9252/player" xr:uid="{8D36200E-77D6-034D-9029-4A9BB04DD287}"/>
    <hyperlink ref="A103" r:id="rId102" display="https://hashtagbasketball.com/120368/player" xr:uid="{94C8A09B-3028-1546-98C6-7086FA771D99}"/>
    <hyperlink ref="A104" r:id="rId103" display="https://hashtagbasketball.com/9373/player" xr:uid="{9CC06C00-E236-DD48-95A3-0F876B268F57}"/>
    <hyperlink ref="A105" r:id="rId104" display="https://hashtagbasketball.com/15281/player" xr:uid="{7811FD83-2948-B149-A3C9-82A354B79A1E}"/>
    <hyperlink ref="A106" r:id="rId105" display="https://hashtagbasketball.com/31034/player" xr:uid="{1B910678-8D91-0D4F-9352-48110B26DCB7}"/>
    <hyperlink ref="A107" r:id="rId106" display="https://hashtagbasketball.com/9228/player" xr:uid="{92E1180C-26D4-634F-B935-777B2655995C}"/>
    <hyperlink ref="A108" r:id="rId107" display="https://hashtagbasketball.com/9082/player" xr:uid="{42DE718F-C29B-3740-B04E-B9B719973F38}"/>
    <hyperlink ref="A109" r:id="rId108" display="https://hashtagbasketball.com/120060/player" xr:uid="{11F63CB9-8A4E-3540-B8D5-F75C62417E2D}"/>
    <hyperlink ref="A110" r:id="rId109" display="https://hashtagbasketball.com/9202/player" xr:uid="{DEC8C7FF-EF11-B14A-80EC-CD4D9AAEF96C}"/>
    <hyperlink ref="A111" r:id="rId110" display="https://hashtagbasketball.com/13860/player" xr:uid="{DA86B53E-672E-104F-BDEC-9364A791F0D3}"/>
    <hyperlink ref="A112" r:id="rId111" display="https://hashtagbasketball.com/9489/player" xr:uid="{DDAE8E0A-0871-354D-8589-F26405982718}"/>
    <hyperlink ref="A113" r:id="rId112" display="https://hashtagbasketball.com/9118/player" xr:uid="{3EFB8738-C5DD-7B44-9D4B-74F79A73E030}"/>
    <hyperlink ref="A114" r:id="rId113" display="https://hashtagbasketball.com/15282/player" xr:uid="{3908327B-32BD-DF40-B30C-AAD59B6A516D}"/>
    <hyperlink ref="A115" r:id="rId114" display="https://hashtagbasketball.com/120372/player" xr:uid="{ADF8F1D4-CF47-7649-A44A-C310861A86F8}"/>
    <hyperlink ref="A116" r:id="rId115" display="https://hashtagbasketball.com/120378/player" xr:uid="{04A006F3-3DB0-E746-8619-24240C42D07C}"/>
    <hyperlink ref="A117" r:id="rId116" display="https://hashtagbasketball.com/9221/player" xr:uid="{8B11DF8F-710F-E140-A757-D2FAA837353B}"/>
    <hyperlink ref="A118" r:id="rId117" display="https://hashtagbasketball.com/9447/player" xr:uid="{354643B3-446D-5D4D-830C-660045565C07}"/>
    <hyperlink ref="A119" r:id="rId118" display="https://hashtagbasketball.com/38835/player" xr:uid="{E284CE63-EED4-DA47-B809-68D516BD61B9}"/>
    <hyperlink ref="A120" r:id="rId119" display="https://hashtagbasketball.com/39849/player" xr:uid="{1F09319D-9592-1E46-AED5-8C5836B4FEF3}"/>
    <hyperlink ref="A121" r:id="rId120" display="https://hashtagbasketball.com/15221/player" xr:uid="{589E6958-AFEA-934C-933E-4FF9D8BC9DAF}"/>
    <hyperlink ref="A122" r:id="rId121" display="https://hashtagbasketball.com/17304/player" xr:uid="{C7E0D825-94DE-3F49-88E1-DDDD486C0FFF}"/>
    <hyperlink ref="A123" r:id="rId122" display="https://hashtagbasketball.com/53823/player" xr:uid="{AE70F576-FE02-6D4C-A534-359BCE6963E0}"/>
    <hyperlink ref="A124" r:id="rId123" display="https://hashtagbasketball.com/27883/player" xr:uid="{1A571547-1E59-2D41-936A-3989B781AE34}"/>
    <hyperlink ref="A125" r:id="rId124" display="https://hashtagbasketball.com/9151/player" xr:uid="{87D1291C-A395-A648-8674-4E2F1F87CC99}"/>
    <hyperlink ref="A126" r:id="rId125" display="https://hashtagbasketball.com/15198/player" xr:uid="{70D1F2A9-A6EC-4B4A-B730-035E06F102B2}"/>
    <hyperlink ref="A127" r:id="rId126" display="https://hashtagbasketball.com/17329/player" xr:uid="{E08DF6EB-B4E7-1443-9955-EE100A63567F}"/>
    <hyperlink ref="A128" r:id="rId127" display="https://hashtagbasketball.com/9526/player" xr:uid="{79013FC6-CA1C-744E-90F1-950D0890733C}"/>
    <hyperlink ref="A129" r:id="rId128" display="https://hashtagbasketball.com/9406/player" xr:uid="{DB947C7D-977D-1848-827A-5DEF393829F1}"/>
    <hyperlink ref="A130" r:id="rId129" display="https://hashtagbasketball.com/13737/player" xr:uid="{0A251C3A-408C-794D-B721-EEAA54E0567C}"/>
    <hyperlink ref="A131" r:id="rId130" display="https://hashtagbasketball.com/120009/player" xr:uid="{445CA335-5216-BB49-8066-B221B446C137}"/>
    <hyperlink ref="A132" r:id="rId131" display="https://hashtagbasketball.com/120217/player" xr:uid="{BCCBB210-EB33-7546-A6CA-B2B7797B7D68}"/>
    <hyperlink ref="A133" r:id="rId132" display="https://hashtagbasketball.com/9212/player" xr:uid="{6388771B-2DD7-B948-8CCF-808EBB70FB39}"/>
    <hyperlink ref="A134" r:id="rId133" display="https://hashtagbasketball.com/27884/player" xr:uid="{684EA491-ED79-DA4B-8BE2-2838140424D4}"/>
    <hyperlink ref="A135" r:id="rId134" display="https://hashtagbasketball.com/17181/player" xr:uid="{566D8B15-F7B1-C043-8719-15949EFAF83F}"/>
    <hyperlink ref="A136" r:id="rId135" display="https://hashtagbasketball.com/111214/player" xr:uid="{403844A5-B27D-6D4D-B971-7B64C361E92B}"/>
    <hyperlink ref="A137" r:id="rId136" display="https://hashtagbasketball.com/111248/player" xr:uid="{1F131DEE-150D-3E4E-910A-55D92F737CB1}"/>
    <hyperlink ref="A138" r:id="rId137" display="https://hashtagbasketball.com/31067/player" xr:uid="{B09D5982-6557-8C4F-9BFA-22237B5EB1A0}"/>
    <hyperlink ref="A139" r:id="rId138" display="https://hashtagbasketball.com/27622/player" xr:uid="{5A7EDF0E-2F25-9342-910A-D7B14B5A319D}"/>
    <hyperlink ref="A140" r:id="rId139" display="https://hashtagbasketball.com/9412/player" xr:uid="{3436D818-1921-8C4C-A799-C00521EB5A6E}"/>
    <hyperlink ref="A141" r:id="rId140" display="https://hashtagbasketball.com/17197/player" xr:uid="{57AE6D47-F5DA-4B4E-A3C5-61A66182EC55}"/>
    <hyperlink ref="A142" r:id="rId141" display="https://hashtagbasketball.com/9192/player" xr:uid="{F0BFDB99-8B0A-CA4B-85A6-E9B5CFE4D17B}"/>
    <hyperlink ref="A143" r:id="rId142" display="https://hashtagbasketball.com/13786/player" xr:uid="{F389E967-03BB-444A-BD64-4B212672F45F}"/>
    <hyperlink ref="A144" r:id="rId143" display="https://hashtagbasketball.com/120029/player" xr:uid="{BFEB6B15-F995-BD4B-B876-448CD2F3517C}"/>
    <hyperlink ref="A145" r:id="rId144" display="https://hashtagbasketball.com/27644/player" xr:uid="{B0CCEF7A-B920-C14B-B11C-7EADFD7EB187}"/>
    <hyperlink ref="A146" r:id="rId145" display="https://hashtagbasketball.com/15218/player" xr:uid="{66884C1B-17B2-9A44-BE0E-0C3073BDBD03}"/>
    <hyperlink ref="A147" r:id="rId146" display="https://hashtagbasketball.com/120377/player" xr:uid="{4BFE06DD-068D-724C-B34B-8522F1C31F40}"/>
    <hyperlink ref="A148" r:id="rId147" display="https://hashtagbasketball.com/38955/player" xr:uid="{95E252BE-4802-0B4C-AFF7-55B7A85A9103}"/>
    <hyperlink ref="A149" r:id="rId148" display="https://hashtagbasketball.com/120014/player" xr:uid="{01CF4C0A-E5AA-A44E-94D9-CF3881386059}"/>
    <hyperlink ref="A150" r:id="rId149" display="https://hashtagbasketball.com/53593/player" xr:uid="{D52B6169-F7F2-2C49-86F6-C08CE5A3F5F4}"/>
    <hyperlink ref="A151" r:id="rId150" display="https://hashtagbasketball.com/31036/player" xr:uid="{9C7E1FC1-43BB-024A-823A-1A5FAFF630F3}"/>
    <hyperlink ref="A152" r:id="rId151" display="https://hashtagbasketball.com/9355/player" xr:uid="{31FD104A-11CC-3342-9508-21672C621C53}"/>
    <hyperlink ref="A153" r:id="rId152" display="https://hashtagbasketball.com/38614/player" xr:uid="{88CF44BE-BCBB-0D42-A178-F8D4FF13972A}"/>
    <hyperlink ref="A154" r:id="rId153" display="https://hashtagbasketball.com/120371/player" xr:uid="{DBDE0FB0-03A4-0B4F-99FB-E69EE1A7D509}"/>
    <hyperlink ref="A155" r:id="rId154" display="https://hashtagbasketball.com/38944/player" xr:uid="{78F7FC2B-76C3-A343-A06B-A53A11A4C069}"/>
    <hyperlink ref="A156" r:id="rId155" display="https://hashtagbasketball.com/38950/player" xr:uid="{9F599B40-FC44-6B40-9862-8CB7F58499B5}"/>
    <hyperlink ref="A157" r:id="rId156" display="https://hashtagbasketball.com/9152/player" xr:uid="{CC8F05CA-D37F-2F4E-BD22-9A7A64C521CA}"/>
    <hyperlink ref="A158" r:id="rId157" display="https://hashtagbasketball.com/111215/player" xr:uid="{65BB2A72-9A98-B14B-8EF1-6941EFCA6E9D}"/>
    <hyperlink ref="A159" r:id="rId158" display="https://hashtagbasketball.com/31068/player" xr:uid="{F7AC43CE-FAAF-674D-B34B-BAB60B97BBF0}"/>
    <hyperlink ref="A160" r:id="rId159" display="https://hashtagbasketball.com/38940/player" xr:uid="{BE782E20-378F-1C43-A38E-A1427296F251}"/>
    <hyperlink ref="A161" r:id="rId160" display="https://hashtagbasketball.com/38942/player" xr:uid="{CCECA170-85DA-4542-9A3D-77B8BA10B3E0}"/>
    <hyperlink ref="A162" r:id="rId161" display="https://hashtagbasketball.com/15205/player" xr:uid="{DDE21062-2C0F-1443-A248-2AD19FC09194}"/>
    <hyperlink ref="A163" r:id="rId162" display="https://hashtagbasketball.com/17273/player" xr:uid="{042B0D18-85FD-6B49-A6C5-1C2A6FBFA1D2}"/>
    <hyperlink ref="A164" r:id="rId163" display="https://hashtagbasketball.com/9419/player" xr:uid="{0CE1FB26-1DA8-A948-93EA-3A80743473AD}"/>
    <hyperlink ref="A165" r:id="rId164" display="https://hashtagbasketball.com/17195/player" xr:uid="{2E2FE6D9-7EAB-6E42-8130-103D6693F170}"/>
    <hyperlink ref="A166" r:id="rId165" display="https://hashtagbasketball.com/13753/player" xr:uid="{0CBFEBF0-3C9B-4941-B3F5-F1FA3F9AE0BA}"/>
    <hyperlink ref="A167" r:id="rId166" display="https://hashtagbasketball.com/120209/player" xr:uid="{130584B7-8641-274A-AEE2-CDBFEDD1BEC7}"/>
    <hyperlink ref="A168" r:id="rId167" display="https://hashtagbasketball.com/120375/player" xr:uid="{AD556F88-ABDB-7C45-8C91-1D25CD260B26}"/>
    <hyperlink ref="A169" r:id="rId168" display="https://hashtagbasketball.com/10124/player" xr:uid="{8A4F5694-2486-B24B-BDD1-E175C8714F6B}"/>
    <hyperlink ref="A170" r:id="rId169" display="https://hashtagbasketball.com/120244/player" xr:uid="{9988F1E4-6E8A-F948-BE79-29A2882D56C7}"/>
    <hyperlink ref="A171" r:id="rId170" display="https://hashtagbasketball.com/120041/player" xr:uid="{40FD8BBE-73E7-7946-9EE1-55643900679E}"/>
    <hyperlink ref="A172" r:id="rId171" display="https://hashtagbasketball.com/120218/player" xr:uid="{DD1C8035-2074-2B4B-8495-06009AFEB4BD}"/>
    <hyperlink ref="A173" r:id="rId172" display="https://hashtagbasketball.com/31038/player" xr:uid="{95BDA433-A341-FB45-8024-66686AB0BA2C}"/>
    <hyperlink ref="A174" r:id="rId173" display="https://hashtagbasketball.com/120213/player" xr:uid="{A4DA805A-141F-EC4E-B40E-04971BD1F348}"/>
    <hyperlink ref="A175" r:id="rId174" display="https://hashtagbasketball.com/109469/player" xr:uid="{2BED1A5E-2E78-A348-96A9-4453F60F79AB}"/>
    <hyperlink ref="A176" r:id="rId175" display="https://hashtagbasketball.com/31083/player" xr:uid="{96199527-7B1E-8B49-80D2-727379FE4E38}"/>
    <hyperlink ref="A177" r:id="rId176" display="https://hashtagbasketball.com/17286/player" xr:uid="{910A7229-839E-824B-AD27-6E4ECBB54E98}"/>
    <hyperlink ref="A178" r:id="rId177" display="https://hashtagbasketball.com/111206/player" xr:uid="{B4582E67-9385-D342-B89F-34A4A8A5E58B}"/>
    <hyperlink ref="A179" r:id="rId178" display="https://hashtagbasketball.com/120211/player" xr:uid="{238E44C0-F826-6F42-B24C-2223B0AF2F78}"/>
    <hyperlink ref="A180" r:id="rId179" display="https://hashtagbasketball.com/38570/player" xr:uid="{2F95841C-AA56-8A48-B3B4-00D4088354A9}"/>
    <hyperlink ref="A181" r:id="rId180" display="https://hashtagbasketball.com/120020/player" xr:uid="{6603A48B-4D12-4541-898E-6EF1AEFB966B}"/>
    <hyperlink ref="A182" r:id="rId181" display="https://hashtagbasketball.com/27593/player" xr:uid="{5362415B-C6AF-434D-AE82-AD3CFC89A2B7}"/>
    <hyperlink ref="A183" r:id="rId182" display="https://hashtagbasketball.com/15204/player" xr:uid="{31EA4C09-25E1-A84A-9F57-D2A8FB3056B9}"/>
    <hyperlink ref="A184" r:id="rId183" display="https://hashtagbasketball.com/31054/player" xr:uid="{A5668ECA-1AC9-1745-A526-0B45EFECC671}"/>
    <hyperlink ref="A185" r:id="rId184" display="https://hashtagbasketball.com/120004/player" xr:uid="{89803E38-9628-5546-8733-CC26DC8F6B44}"/>
    <hyperlink ref="A186" r:id="rId185" display="https://hashtagbasketball.com/10122/player" xr:uid="{7876DFF9-3BA7-B04F-A077-A77844C966CD}"/>
    <hyperlink ref="A187" r:id="rId186" display="https://hashtagbasketball.com/17259/player" xr:uid="{3A712DDE-E707-824B-96C1-34FA9A949DAF}"/>
    <hyperlink ref="A188" r:id="rId187" display="https://hashtagbasketball.com/39847/player" xr:uid="{A88491C5-8D28-7246-8C95-B3643D9A74C3}"/>
    <hyperlink ref="A189" r:id="rId188" display="https://hashtagbasketball.com/120031/player" xr:uid="{29A2EDD0-F2AA-8F40-8CE0-61602BD68E31}"/>
    <hyperlink ref="A190" r:id="rId189" display="https://hashtagbasketball.com/120032/player" xr:uid="{F2B291DC-FDD6-674C-956E-F8AAF2EBB77A}"/>
    <hyperlink ref="A191" r:id="rId190" display="https://hashtagbasketball.com/120266/player" xr:uid="{17BD3138-2258-2546-972F-C01FA23230DA}"/>
    <hyperlink ref="A192" r:id="rId191" display="https://hashtagbasketball.com/120390/player" xr:uid="{CD694230-CBD4-344C-880A-C99465EA1C99}"/>
    <hyperlink ref="A193" r:id="rId192" display="https://hashtagbasketball.com/53821/player" xr:uid="{F6AF479F-DD45-BA4E-98B4-0694B7C91503}"/>
    <hyperlink ref="A194" r:id="rId193" display="https://hashtagbasketball.com/120229/player" xr:uid="{1F975343-7A40-4040-8187-6BF53A0552F4}"/>
    <hyperlink ref="A195" r:id="rId194" display="https://hashtagbasketball.com/27596/player" xr:uid="{95C96517-7116-E240-9DF5-61ADC91F2F63}"/>
    <hyperlink ref="A196" r:id="rId195" display="https://hashtagbasketball.com/120219/player" xr:uid="{87784E1B-EA18-6F49-9B0C-390DCBC75A9A}"/>
    <hyperlink ref="A197" r:id="rId196" display="https://hashtagbasketball.com/120392/player" xr:uid="{050CE470-B032-644E-9559-FF2B5E4C36F0}"/>
    <hyperlink ref="A198" r:id="rId197" display="https://hashtagbasketball.com/120393/player" xr:uid="{5BCD931C-6E96-DB48-B1DE-6FDF25B2CD58}"/>
    <hyperlink ref="A199" r:id="rId198" display="https://hashtagbasketball.com/120394/player" xr:uid="{42FF7070-3029-BA40-AEC8-F47820223954}"/>
    <hyperlink ref="A200" r:id="rId199" display="https://hashtagbasketball.com/120408/player" xr:uid="{8B488FFB-EC90-3F41-A1C2-E2EF2C1457FD}"/>
    <hyperlink ref="A201" r:id="rId200" display="https://hashtagbasketball.com/120409/player" xr:uid="{423CEC9D-DFD7-8740-8A08-D3EDE8FD8BDC}"/>
    <hyperlink ref="A202" r:id="rId201" display="https://hashtagbasketball.com/120411/player" xr:uid="{6F30E396-AE3E-0C4D-A714-0D3E03276329}"/>
    <hyperlink ref="A203" r:id="rId202" display="https://hashtagbasketball.com/120412/player" xr:uid="{6AF9FEB3-FA97-AE40-B6CD-8981A082ED87}"/>
    <hyperlink ref="A204" r:id="rId203" display="https://hashtagbasketball.com/120413/player" xr:uid="{E686FE95-B256-D145-B6BE-4E29B2F70201}"/>
    <hyperlink ref="A205" r:id="rId204" display="https://hashtagbasketball.com/120420/player" xr:uid="{2F6591DE-8080-4B44-9793-3C3BD841E2E4}"/>
    <hyperlink ref="A206" r:id="rId205" display="https://hashtagbasketball.com/120280/player" xr:uid="{9076B731-45CB-5442-BC39-C86CF5ABD9B2}"/>
    <hyperlink ref="A207" r:id="rId206" display="https://hashtagbasketball.com/120339/player" xr:uid="{E23B5BBA-8343-914C-86AE-EE31507607D9}"/>
    <hyperlink ref="A208" r:id="rId207" display="https://hashtagbasketball.com/120381/player" xr:uid="{C3F53AF0-050C-E44B-9991-8DF1D2AA8F28}"/>
    <hyperlink ref="A209" r:id="rId208" display="https://hashtagbasketball.com/120383/player" xr:uid="{C3705228-0413-DA4D-B0ED-0A59C26888FC}"/>
    <hyperlink ref="A210" r:id="rId209" display="https://hashtagbasketball.com/120384/player" xr:uid="{2B9593BF-EC6B-564E-AEAF-899BDEBEE6D2}"/>
    <hyperlink ref="A211" r:id="rId210" display="https://hashtagbasketball.com/120386/player" xr:uid="{5D19EA53-0C51-6D44-9108-1D4D5A001832}"/>
    <hyperlink ref="A212" r:id="rId211" display="https://hashtagbasketball.com/9268/player" xr:uid="{CDF3D2A1-0116-3047-965E-E0631B5AD08F}"/>
    <hyperlink ref="A213" r:id="rId212" display="https://hashtagbasketball.com/120021/player" xr:uid="{A2C82692-8762-F749-9C91-9318E771651A}"/>
    <hyperlink ref="A214" r:id="rId213" display="https://hashtagbasketball.com/120022/player" xr:uid="{470F7156-210C-314E-B5B5-F191C4F2B605}"/>
    <hyperlink ref="A215" r:id="rId214" display="https://hashtagbasketball.com/120263/player" xr:uid="{CC90494E-80EE-784E-87BE-601D7C57AB32}"/>
    <hyperlink ref="A216" r:id="rId215" display="https://hashtagbasketball.com/120035/player" xr:uid="{0F71036C-6002-0242-994F-22070237321E}"/>
    <hyperlink ref="A217" r:id="rId216" display="https://hashtagbasketball.com/120027/player" xr:uid="{BB82A604-A46E-1D44-B6DC-EBD92DF85562}"/>
    <hyperlink ref="A218" r:id="rId217" display="https://hashtagbasketball.com/120013/player" xr:uid="{A78F8521-216C-2F49-BEE4-BC0564477114}"/>
    <hyperlink ref="A219" r:id="rId218" display="https://hashtagbasketball.com/10117/player" xr:uid="{3E1E870A-AC38-9343-94EA-B02E515B660C}"/>
    <hyperlink ref="A220" r:id="rId219" display="https://hashtagbasketball.com/120096/player" xr:uid="{B72B483F-8E25-5646-945C-1E7606ABE761}"/>
    <hyperlink ref="A221" r:id="rId220" display="https://hashtagbasketball.com/120098/player" xr:uid="{F919EE2B-B2F9-9647-AAB8-40B58890E45B}"/>
    <hyperlink ref="A222" r:id="rId221" display="https://hashtagbasketball.com/120100/player" xr:uid="{EE0E91CA-7D50-6746-85F6-5A479218A62D}"/>
    <hyperlink ref="A223" r:id="rId222" display="https://hashtagbasketball.com/120108/player" xr:uid="{E608B31A-48B3-6D42-8497-58444EFB21FB}"/>
    <hyperlink ref="A224" r:id="rId223" display="https://hashtagbasketball.com/120119/player" xr:uid="{F0A347E3-28A4-0441-A9DC-B53BCDE59DC1}"/>
    <hyperlink ref="A225" r:id="rId224" display="https://hashtagbasketball.com/120130/player" xr:uid="{FF5B8352-5678-A14E-9B28-F64728332371}"/>
    <hyperlink ref="A226" r:id="rId225" display="https://hashtagbasketball.com/120163/player" xr:uid="{4455F872-44FC-5945-A19C-72888D5F4AD2}"/>
    <hyperlink ref="A227" r:id="rId226" display="https://hashtagbasketball.com/120199/player" xr:uid="{A1DE9F3E-39DD-1343-8627-FD3E47968AE7}"/>
    <hyperlink ref="A228" r:id="rId227" display="https://hashtagbasketball.com/120238/player" xr:uid="{8FA4321F-CC62-6B48-9DED-C02F19BF764D}"/>
    <hyperlink ref="A229" r:id="rId228" display="https://hashtagbasketball.com/120056/player" xr:uid="{8630EF18-9D0D-BF43-99A9-75D2F1430C06}"/>
    <hyperlink ref="A230" r:id="rId229" display="https://hashtagbasketball.com/53703/player" xr:uid="{D80B637A-6E05-C64F-9DC8-304309E6679D}"/>
    <hyperlink ref="A231" r:id="rId230" display="https://hashtagbasketball.com/120228/player" xr:uid="{9F437B21-203C-5845-BE35-42A78507F0A1}"/>
    <hyperlink ref="A232" r:id="rId231" display="https://hashtagbasketball.com/27706/player" xr:uid="{ACC8A3FA-7E67-284E-A937-701592F78EF7}"/>
    <hyperlink ref="A233" r:id="rId232" display="https://hashtagbasketball.com/31087/player" xr:uid="{A2E43C97-E163-664C-8988-A99C22BBB015}"/>
    <hyperlink ref="A234" r:id="rId233" display="https://hashtagbasketball.com/120233/player" xr:uid="{53BA7152-F417-4D42-B99F-4A8B251FD580}"/>
    <hyperlink ref="A235" r:id="rId234" display="https://hashtagbasketball.com/120245/player" xr:uid="{5DB4CF60-3F5A-5F45-9E94-53A1F7033D7B}"/>
    <hyperlink ref="A236" r:id="rId235" display="https://hashtagbasketball.com/120246/player" xr:uid="{CA16158D-F180-5140-ADC1-C3008ED34222}"/>
    <hyperlink ref="A237" r:id="rId236" display="https://hashtagbasketball.com/120248/player" xr:uid="{726D054D-1944-2C48-99B3-E3CAEB95C3A7}"/>
    <hyperlink ref="A238" r:id="rId237" display="https://hashtagbasketball.com/120251/player" xr:uid="{6A672EF1-5287-C847-B346-CE8DB3BC17BF}"/>
    <hyperlink ref="A239" r:id="rId238" display="https://hashtagbasketball.com/120242/player" xr:uid="{4B0C7D30-CBEC-284B-B765-7E4769A3D62C}"/>
    <hyperlink ref="A240" r:id="rId239" display="https://hashtagbasketball.com/120243/player" xr:uid="{D785463F-90C1-E944-B0C1-017E8CC8247F}"/>
    <hyperlink ref="A241" r:id="rId240" display="https://hashtagbasketball.com/111216/player" xr:uid="{30A6C481-7131-1141-95D6-B64C74AFA933}"/>
    <hyperlink ref="A242" r:id="rId241" display="https://hashtagbasketball.com/111221/player" xr:uid="{5D609A62-EB7A-784C-BE29-2756216A29CA}"/>
    <hyperlink ref="A243" r:id="rId242" display="https://hashtagbasketball.com/111210/player" xr:uid="{AF629F6E-0A5C-1045-87FF-94A9DDFBB850}"/>
    <hyperlink ref="A244" r:id="rId243" display="https://hashtagbasketball.com/111249/player" xr:uid="{B66CB678-7704-D843-9432-70B4FDE651C8}"/>
    <hyperlink ref="A245" r:id="rId244" display="https://hashtagbasketball.com/36073/player" xr:uid="{3269121E-9673-6A43-B3AA-248E802F21F7}"/>
    <hyperlink ref="A246" r:id="rId245" display="https://hashtagbasketball.com/17308/player" xr:uid="{67BAD2AC-31D2-5340-8763-8E9605010B17}"/>
    <hyperlink ref="A247" r:id="rId246" display="https://hashtagbasketball.com/17312/player" xr:uid="{2DA5A659-F4F1-F342-80AC-2A968CB7DF1D}"/>
    <hyperlink ref="A248" r:id="rId247" display="https://hashtagbasketball.com/27652/player" xr:uid="{53149CAD-8C6B-9E43-AF22-FC5A805C9E65}"/>
    <hyperlink ref="A249" r:id="rId248" display="https://hashtagbasketball.com/15293/player" xr:uid="{068347C4-997A-CC49-B809-90D1A24F005E}"/>
    <hyperlink ref="A250" r:id="rId249" display="https://hashtagbasketball.com/15309/player" xr:uid="{0B5F079A-730B-1444-86E0-3E84933CFCFB}"/>
    <hyperlink ref="A251" r:id="rId250" display="https://hashtagbasketball.com/15341/player" xr:uid="{D7E490A1-F00D-FA41-977C-69284C7829FC}"/>
    <hyperlink ref="A252" r:id="rId251" display="https://hashtagbasketball.com/15217/player" xr:uid="{588C9B2A-75C0-434D-B17F-BB98E74D0792}"/>
    <hyperlink ref="A253" r:id="rId252" display="https://hashtagbasketball.com/13856/player" xr:uid="{06D0171B-58E6-8242-80D7-AB91CFB1836F}"/>
    <hyperlink ref="A254" r:id="rId253" display="https://hashtagbasketball.com/10155/player" xr:uid="{D61759DE-5910-8D4C-97AB-DA9F5BA5C086}"/>
    <hyperlink ref="A255" r:id="rId254" display="https://hashtagbasketball.com/111232/player" xr:uid="{BE81CDB3-ACE0-8549-A5E5-5C60BAEFF798}"/>
    <hyperlink ref="A256" r:id="rId255" display="https://hashtagbasketball.com/111244/player" xr:uid="{15A7E569-7D6F-2D4D-8BF0-35B8BF20DE41}"/>
    <hyperlink ref="A257" r:id="rId256" display="https://hashtagbasketball.com/39850/player" xr:uid="{5CD1391C-FBC4-0740-A75E-8FEC9E99E9CF}"/>
    <hyperlink ref="A258" r:id="rId257" display="https://hashtagbasketball.com/39838/player" xr:uid="{37171EF2-79D4-6640-A06B-9A3EEF24F88E}"/>
    <hyperlink ref="A259" r:id="rId258" display="https://hashtagbasketball.com/111239/player" xr:uid="{2BEB7FCF-0EF7-5148-A56F-B67BA880307B}"/>
    <hyperlink ref="A260" r:id="rId259" display="https://hashtagbasketball.com/111240/player" xr:uid="{85DED4EE-B8E3-3E43-916C-B2F44256EFF5}"/>
    <hyperlink ref="A261" r:id="rId260" display="https://hashtagbasketball.com/38956/player" xr:uid="{10F3FA0C-6DD2-664E-BC84-0EBF864CF1C1}"/>
    <hyperlink ref="A262" r:id="rId261" display="https://hashtagbasketball.com/38958/player" xr:uid="{7B93D501-5F03-784E-8DE8-EC34F1B94739}"/>
    <hyperlink ref="A263" r:id="rId262" display="https://hashtagbasketball.com/38959/player" xr:uid="{100DDB4A-A664-2046-9988-E568485FC5C3}"/>
    <hyperlink ref="A264" r:id="rId263" display="https://hashtagbasketball.com/31055/player" xr:uid="{9BAA6D1A-CDB5-C246-A592-55546483EFCB}"/>
    <hyperlink ref="A265" r:id="rId264" display="https://hashtagbasketball.com/120001/player" xr:uid="{F309E62B-A2D9-FF45-9B33-2DCB0356270A}"/>
    <hyperlink ref="A266" r:id="rId265" display="https://hashtagbasketball.com/9512/player" xr:uid="{DF59F3AF-CC2F-324E-B41E-DCF7EF09AB16}"/>
    <hyperlink ref="A267" r:id="rId266" display="https://hashtagbasketball.com/9227/player" xr:uid="{82FE0840-48F1-4F4F-91BE-0985964B589F}"/>
    <hyperlink ref="A268" r:id="rId267" display="https://hashtagbasketball.com/9286/player" xr:uid="{0648E143-E40A-2148-BCB8-E90132590B4D}"/>
    <hyperlink ref="A269" r:id="rId268" display="https://hashtagbasketball.com/120006/player" xr:uid="{187DD3D4-635E-0D48-8F63-D3EAD7168C92}"/>
    <hyperlink ref="A270" r:id="rId269" display="https://hashtagbasketball.com/120007/player" xr:uid="{E280D08F-F4A6-F44C-894A-4E3AB7EBD843}"/>
    <hyperlink ref="A271" r:id="rId270" display="https://hashtagbasketball.com/31044/player" xr:uid="{3F52DE49-8997-E54B-9596-756A2EE76944}"/>
    <hyperlink ref="A272" r:id="rId271" display="https://hashtagbasketball.com/31047/player" xr:uid="{5C46BE48-547F-6A40-BE40-B279DFE8985D}"/>
    <hyperlink ref="A273" r:id="rId272" display="https://hashtagbasketball.com/53608/player" xr:uid="{DED6CDA4-13BC-CB49-95E3-9233761A4A31}"/>
    <hyperlink ref="A274" r:id="rId273" display="https://hashtagbasketball.com/43375/player" xr:uid="{99D66C2A-5B43-494F-8D0C-ED9CDEB4659F}"/>
    <hyperlink ref="A275" r:id="rId274" display="https://hashtagbasketball.com/10136/player" xr:uid="{EE227F03-6A43-5949-B13D-48699ECE6D3A}"/>
    <hyperlink ref="A276" r:id="rId275" display="https://hashtagbasketball.com/27627/player" xr:uid="{155A55B6-3CA5-764C-AE0C-0DA0FCDF2738}"/>
    <hyperlink ref="A277" r:id="rId276" display="https://hashtagbasketball.com/111253/player" xr:uid="{F3083A38-2A3E-3047-8A47-96B22AF284CB}"/>
    <hyperlink ref="A278" r:id="rId277" display="https://hashtagbasketball.com/111222/player" xr:uid="{78715A59-6E00-E149-9354-10C4EB1AE783}"/>
    <hyperlink ref="A279" r:id="rId278" display="https://hashtagbasketball.com/111225/player" xr:uid="{6BB2D0D7-BB88-D34A-B285-66C0E62B78C8}"/>
    <hyperlink ref="A280" r:id="rId279" display="https://hashtagbasketball.com/111235/player" xr:uid="{4D0FDD21-B9D3-764D-8D24-BD8D332AC317}"/>
    <hyperlink ref="A281" r:id="rId280" display="https://hashtagbasketball.com/111238/player" xr:uid="{6CAE183B-FC6B-6647-972F-C295BD6DB589}"/>
    <hyperlink ref="A282" r:id="rId281" display="https://hashtagbasketball.com/17270/player" xr:uid="{AFE88587-D3A9-9645-9195-5744719EE6B6}"/>
    <hyperlink ref="A283" r:id="rId282" display="https://hashtagbasketball.com/120223/player" xr:uid="{8DD08480-BEB0-E64B-8939-4944C09EE1C4}"/>
    <hyperlink ref="A284" r:id="rId283" display="https://hashtagbasketball.com/9237/player" xr:uid="{9991D06F-9943-CE44-8EC8-D162F746E086}"/>
    <hyperlink ref="A285" r:id="rId284" display="https://hashtagbasketball.com/120067/player" xr:uid="{3A84683F-4C30-2B45-BDA5-F5402DBC4E15}"/>
    <hyperlink ref="A286" r:id="rId285" display="https://hashtagbasketball.com/120230/player" xr:uid="{44CB4367-F7D8-3247-9F93-C32440DC56FA}"/>
    <hyperlink ref="A287" r:id="rId286" display="https://hashtagbasketball.com/27679/player" xr:uid="{B44BD4FE-F65A-404E-A6B0-F6BCA2087EE7}"/>
    <hyperlink ref="A288" r:id="rId287" display="https://hashtagbasketball.com/38941/player" xr:uid="{E2834F12-AAE0-7D4E-9724-BB347F5313CE}"/>
    <hyperlink ref="A289" r:id="rId288" display="https://hashtagbasketball.com/120051/player" xr:uid="{072F8F11-1292-F943-880A-22C407D4A5EF}"/>
    <hyperlink ref="A290" r:id="rId289" display="https://hashtagbasketball.com/39844/player" xr:uid="{DCF1C6D9-A30A-344A-AB62-C6D3FA6A886A}"/>
    <hyperlink ref="A291" r:id="rId290" display="https://hashtagbasketball.com/10087/player" xr:uid="{20A0A932-5253-C24B-A9C9-A789C4C0F113}"/>
    <hyperlink ref="A292" r:id="rId291" display="https://hashtagbasketball.com/35209/player" xr:uid="{2C3AF33C-E7A0-4742-B867-626491A08803}"/>
    <hyperlink ref="A293" r:id="rId292" display="https://hashtagbasketball.com/111217/player" xr:uid="{76A54633-EC62-2946-AFAB-4A0888E2A44D}"/>
    <hyperlink ref="A294" r:id="rId293" display="https://hashtagbasketball.com/17305/player" xr:uid="{6DC4833F-6EFC-2445-8353-9E640ABEBE66}"/>
    <hyperlink ref="A295" r:id="rId294" display="https://hashtagbasketball.com/120118/player" xr:uid="{A71956F1-C5B6-FB4E-9F1D-AE7ABF3C06A9}"/>
    <hyperlink ref="A296" r:id="rId295" display="https://hashtagbasketball.com/13739/player" xr:uid="{38BB7DEC-3648-8940-8C4F-0175EF0A59D2}"/>
    <hyperlink ref="A297" r:id="rId296" display="https://hashtagbasketball.com/120236/player" xr:uid="{50EA8D9B-651E-B544-8FE2-E60B8A2DFF7B}"/>
    <hyperlink ref="A298" r:id="rId297" display="https://hashtagbasketball.com/120232/player" xr:uid="{2CA9579F-EEE1-ED47-85F5-C5026CC97E07}"/>
    <hyperlink ref="A299" r:id="rId298" display="https://hashtagbasketball.com/31082/player" xr:uid="{67A2840F-EE56-8847-8A95-4D37C58245CA}"/>
    <hyperlink ref="A300" r:id="rId299" display="https://hashtagbasketball.com/39834/player" xr:uid="{502A2AD7-13C2-224B-BF3D-CAA94386932F}"/>
    <hyperlink ref="A301" r:id="rId300" display="https://hashtagbasketball.com/120043/player" xr:uid="{F62CAEA9-6020-FF4C-9F27-940D05048341}"/>
    <hyperlink ref="A302" r:id="rId301" display="https://hashtagbasketball.com/120396/player" xr:uid="{A15B435F-DF33-8B49-9603-D8ADE941F51C}"/>
    <hyperlink ref="A303" r:id="rId302" display="https://hashtagbasketball.com/120282/player" xr:uid="{58F448C8-C81D-D54C-8D03-AB4D7EE1DA16}"/>
    <hyperlink ref="A304" r:id="rId303" display="https://hashtagbasketball.com/9390/player" xr:uid="{F6CC6846-BCAC-DA47-9DBA-5758E46C4C25}"/>
    <hyperlink ref="A305" r:id="rId304" display="https://hashtagbasketball.com/111207/player" xr:uid="{851DE1AD-56F7-264E-A6DF-35BF7159178D}"/>
    <hyperlink ref="A306" r:id="rId305" display="https://hashtagbasketball.com/38695/player" xr:uid="{F623A4D2-93F6-0443-B04A-6AC0B181E6B5}"/>
    <hyperlink ref="A307" r:id="rId306" display="https://hashtagbasketball.com/35219/player" xr:uid="{E900EE21-1556-624B-9BDD-0385BF173173}"/>
    <hyperlink ref="A308" r:id="rId307" display="https://hashtagbasketball.com/13862/player" xr:uid="{A34BD636-443D-6B41-8F0F-4E5AEBF5FDD8}"/>
    <hyperlink ref="A309" r:id="rId308" display="https://hashtagbasketball.com/109468/player" xr:uid="{763E8000-8D38-724E-9104-6346AEC94EED}"/>
    <hyperlink ref="A310" r:id="rId309" display="https://hashtagbasketball.com/31065/player" xr:uid="{69902DDD-DB8F-6747-A11A-CC21402FDD2C}"/>
    <hyperlink ref="A311" r:id="rId310" display="https://hashtagbasketball.com/120380/player" xr:uid="{DB78C3CA-9714-C247-A381-34E8B2A56252}"/>
    <hyperlink ref="A312" r:id="rId311" display="https://hashtagbasketball.com/120063/player" xr:uid="{DFF24B0F-0D7B-6344-BD9F-3247F087FE3C}"/>
    <hyperlink ref="A313" r:id="rId312" display="https://hashtagbasketball.com/120387/player" xr:uid="{C7D69591-C5AF-0743-BDA1-30EC09D021AE}"/>
    <hyperlink ref="A314" r:id="rId313" display="https://hashtagbasketball.com/120220/player" xr:uid="{28500403-BD29-014A-B986-34B585789047}"/>
    <hyperlink ref="A315" r:id="rId314" display="https://hashtagbasketball.com/120374/player" xr:uid="{E6C91928-575F-7347-B452-8F58AC0D5691}"/>
    <hyperlink ref="A316" r:id="rId315" display="https://hashtagbasketball.com/111229/player" xr:uid="{5A90369B-06E3-A04C-821D-8ABC49BDF6EC}"/>
    <hyperlink ref="A317" r:id="rId316" display="https://hashtagbasketball.com/11882/player" xr:uid="{06E890A2-AD3F-314F-9370-1B329ECF8113}"/>
    <hyperlink ref="A318" r:id="rId317" display="https://hashtagbasketball.com/111209/player" xr:uid="{D6DA4200-E6C5-204C-B5B4-B521D39826B3}"/>
    <hyperlink ref="A319" r:id="rId318" display="https://hashtagbasketball.com/39836/player" xr:uid="{42FD7220-EC58-9A43-8D39-20A36770CA23}"/>
    <hyperlink ref="A320" r:id="rId319" display="https://hashtagbasketball.com/120222/player" xr:uid="{A09F87E6-1BBE-CD42-8657-E22290667EC3}"/>
    <hyperlink ref="A321" r:id="rId320" display="https://hashtagbasketball.com/120258/player" xr:uid="{0FC640E9-006B-E944-82EF-B317E4FF79BE}"/>
    <hyperlink ref="A322" r:id="rId321" display="https://hashtagbasketball.com/15223/player" xr:uid="{A2E11433-9E8B-FC4C-BCF9-422A1B82E542}"/>
    <hyperlink ref="A323" r:id="rId322" display="https://hashtagbasketball.com/120385/player" xr:uid="{96612AB8-6DB4-E54E-A961-6F6F01E53E37}"/>
    <hyperlink ref="A324" r:id="rId323" display="https://hashtagbasketball.com/120256/player" xr:uid="{80FE629B-A370-F944-BE96-DA4A1ACE9AE8}"/>
    <hyperlink ref="A325" r:id="rId324" display="https://hashtagbasketball.com/120388/player" xr:uid="{93CB1068-0165-7143-962E-2D3B5B0BE150}"/>
    <hyperlink ref="A326" r:id="rId325" display="https://hashtagbasketball.com/9296/player" xr:uid="{4228CECA-AE99-944D-B546-74328C579CA3}"/>
    <hyperlink ref="A327" r:id="rId326" display="https://hashtagbasketball.com/35173/player" xr:uid="{7158174C-D0D3-D14D-B07C-90B155CD89DC}"/>
    <hyperlink ref="A328" r:id="rId327" display="https://hashtagbasketball.com/120257/player" xr:uid="{222F6645-18A5-4942-AF50-9586A8AF225A}"/>
    <hyperlink ref="A329" r:id="rId328" display="https://hashtagbasketball.com/120287/player" xr:uid="{0ACF7D44-15AE-944E-8CD6-CDD3B4A36B2E}"/>
    <hyperlink ref="A330" r:id="rId329" display="https://hashtagbasketball.com/120395/player" xr:uid="{811C9FD9-79EE-8547-A653-C1E85C08A082}"/>
    <hyperlink ref="A331" r:id="rId330" display="https://hashtagbasketball.com/120068/player" xr:uid="{72108F41-B4CE-5F4C-940B-23060F7BC64A}"/>
    <hyperlink ref="A332" r:id="rId331" display="https://hashtagbasketball.com/120146/player" xr:uid="{0D6E9E8E-25F8-4443-B179-A6EA6A5959F8}"/>
    <hyperlink ref="A333" r:id="rId332" display="https://hashtagbasketball.com/120382/player" xr:uid="{FC97A23D-C584-0247-99C4-72B0A87DCCD7}"/>
    <hyperlink ref="A334" r:id="rId333" display="https://hashtagbasketball.com/120099/player" xr:uid="{9B47D8C1-9DA3-8C4E-A237-88CA9575C6CC}"/>
    <hyperlink ref="A335" r:id="rId334" display="https://hashtagbasketball.com/120026/player" xr:uid="{7E885EA4-A88A-4544-9912-219AF7B2D89A}"/>
    <hyperlink ref="A336" r:id="rId335" display="https://hashtagbasketball.com/9283/player" xr:uid="{406516C9-1A5A-5646-B985-F3867DB7940D}"/>
    <hyperlink ref="A337" r:id="rId336" display="https://hashtagbasketball.com/17274/player" xr:uid="{75288348-DFEA-104B-A16A-37329EA487CE}"/>
    <hyperlink ref="A338" r:id="rId337" display="https://hashtagbasketball.com/15353/player" xr:uid="{9C6FD972-3D45-9344-9573-A27E7B55CE3E}"/>
    <hyperlink ref="A339" r:id="rId338" display="https://hashtagbasketball.com/33899/player" xr:uid="{4C67C834-0B55-CA46-9588-107A51CB74B5}"/>
    <hyperlink ref="A340" r:id="rId339" display="https://hashtagbasketball.com/111258/player" xr:uid="{86C62C98-3942-1F40-9DD4-6AE7E0DB8E10}"/>
    <hyperlink ref="A341" r:id="rId340" display="https://hashtagbasketball.com/120008/player" xr:uid="{9681496A-C0AD-1D44-81F8-59F3AE39B4FD}"/>
    <hyperlink ref="A342" r:id="rId341" display="https://hashtagbasketball.com/13784/player" xr:uid="{7789A999-463C-E845-9268-0A6834CEF90B}"/>
    <hyperlink ref="A343" r:id="rId342" display="https://hashtagbasketball.com/15222/player" xr:uid="{D0288EAF-5FDC-284D-BBF1-BD0300531309}"/>
    <hyperlink ref="A344" r:id="rId343" display="https://hashtagbasketball.com/120235/player" xr:uid="{FDADD7CC-1314-4341-8115-4E6ACB822497}"/>
    <hyperlink ref="A345" r:id="rId344" display="https://hashtagbasketball.com/31081/player" xr:uid="{FEAAA231-C63E-A541-B102-2933A021575B}"/>
    <hyperlink ref="A346" r:id="rId345" display="https://hashtagbasketball.com/120407/player" xr:uid="{C3564F78-C04E-2D4D-8AB7-368409F0596C}"/>
    <hyperlink ref="A347" r:id="rId346" display="https://hashtagbasketball.com/13726/player" xr:uid="{6475624D-B758-F746-A938-13A70606EAB4}"/>
    <hyperlink ref="A348" r:id="rId347" display="https://hashtagbasketball.com/17241/player" xr:uid="{18BD0F0B-40E6-C14E-B70F-C3B96E475369}"/>
    <hyperlink ref="A349" r:id="rId348" display="https://hashtagbasketball.com/9334/player" xr:uid="{7BDAA8F0-B0D6-0E4E-BBD3-65A84197E6F8}"/>
    <hyperlink ref="A350" r:id="rId349" display="https://hashtagbasketball.com/9475/player" xr:uid="{3AFF5A5C-5B6A-114B-9365-422517FF2A06}"/>
    <hyperlink ref="A351" r:id="rId350" display="https://hashtagbasketball.com/27637/player" xr:uid="{F5BE20F7-5D2B-D348-B62D-0983E9270441}"/>
    <hyperlink ref="A352" r:id="rId351" display="https://hashtagbasketball.com/15355/player" xr:uid="{E15B65DC-A6F5-9C4C-8F28-EC211EAAF076}"/>
    <hyperlink ref="A353" r:id="rId352" display="https://hashtagbasketball.com/15288/player" xr:uid="{F9A8148B-0AD2-C248-A2EF-EE4336D00036}"/>
    <hyperlink ref="A354" r:id="rId353" display="https://hashtagbasketball.com/17194/player" xr:uid="{AA389C41-3FC4-DF4E-A8E5-9D4E389210AE}"/>
    <hyperlink ref="A355" r:id="rId354" display="https://hashtagbasketball.com/38847/player" xr:uid="{C37BA630-7197-394E-93B0-672C682C09AA}"/>
    <hyperlink ref="A356" r:id="rId355" display="https://hashtagbasketball.com/31159/player" xr:uid="{604627E2-9373-E745-821C-C8D489D573AA}"/>
    <hyperlink ref="A357" r:id="rId356" display="https://hashtagbasketball.com/120237/player" xr:uid="{6B2417F8-742B-4247-BDAF-4B7BD883CDC5}"/>
    <hyperlink ref="A358" r:id="rId357" display="https://hashtagbasketball.com/35208/player" xr:uid="{0EE038B0-571E-7D49-B895-99CAE0C14DEC}"/>
    <hyperlink ref="A359" r:id="rId358" display="https://hashtagbasketball.com/31043/player" xr:uid="{8E6D5AF5-5B40-0E4A-8661-0A7A79A97E12}"/>
    <hyperlink ref="A360" r:id="rId359" display="https://hashtagbasketball.com/9203/player" xr:uid="{45110D83-7C39-3749-A5FC-57347E62E56D}"/>
    <hyperlink ref="A361" r:id="rId360" display="https://hashtagbasketball.com/9347/player" xr:uid="{E53CBF08-0D9F-294E-8364-14EDA44E3C50}"/>
    <hyperlink ref="A362" r:id="rId361" display="https://hashtagbasketball.com/111220/player" xr:uid="{565E2EDD-C0AF-9548-9F9F-981E5AA22206}"/>
    <hyperlink ref="A363" r:id="rId362" display="https://hashtagbasketball.com/31064/player" xr:uid="{CA517368-BB4A-CB40-AD4A-962C6FA7E54E}"/>
    <hyperlink ref="A364" r:id="rId363" display="https://hashtagbasketball.com/120389/player" xr:uid="{F8C22503-85B5-5145-8D95-5CE3A5307C1C}"/>
    <hyperlink ref="A365" r:id="rId364" display="https://hashtagbasketball.com/109467/player" xr:uid="{902E8AB3-FB2F-554B-8DB5-97ECEF6F9145}"/>
    <hyperlink ref="A366" r:id="rId365" display="https://hashtagbasketball.com/109470/player" xr:uid="{BE3FA539-2626-B341-A861-83B3E5D67225}"/>
    <hyperlink ref="A367" r:id="rId366" display="https://hashtagbasketball.com/31051/player" xr:uid="{81ECAB11-7C55-3448-8D67-6F4CB9C521DE}"/>
    <hyperlink ref="A368" r:id="rId367" display="https://hashtagbasketball.com/111203/player" xr:uid="{63FBC970-A5E0-2747-BE7B-B5FACB2297AD}"/>
    <hyperlink ref="A369" r:id="rId368" display="https://hashtagbasketball.com/120065/player" xr:uid="{06EF503F-9437-8641-A5BD-8849A122C0C5}"/>
    <hyperlink ref="A370" r:id="rId369" display="https://hashtagbasketball.com/15316/player" xr:uid="{0E1741A8-04BD-AD45-A6C6-C1FA5EF08DA8}"/>
    <hyperlink ref="A371" r:id="rId370" display="https://hashtagbasketball.com/27850/player" xr:uid="{83F36831-CD60-7B49-B22D-FD453DC3E37B}"/>
    <hyperlink ref="A372" r:id="rId371" display="https://hashtagbasketball.com/120226/player" xr:uid="{09F65E2C-8681-E34C-A5D9-B4C1A58FB809}"/>
    <hyperlink ref="A373" r:id="rId372" display="https://hashtagbasketball.com/31059/player" xr:uid="{5D3B8540-7FA6-9047-ABD3-F84D9EC73D52}"/>
    <hyperlink ref="A374" r:id="rId373" display="https://hashtagbasketball.com/120379/player" xr:uid="{C78E4C04-7733-C246-9B67-7F0A016541E2}"/>
    <hyperlink ref="A375" r:id="rId374" display="https://hashtagbasketball.com/120376/player" xr:uid="{ACC03124-2710-2248-B1CF-8096A9A422F4}"/>
    <hyperlink ref="A376" r:id="rId375" display="https://hashtagbasketball.com/53595/player" xr:uid="{F46251FB-0671-634A-AC27-179C3A6A6B94}"/>
    <hyperlink ref="A377" r:id="rId376" display="https://hashtagbasketball.com/120023/player" xr:uid="{45449AAF-4A50-F544-8899-CA7CC5B127CC}"/>
    <hyperlink ref="A378" r:id="rId377" display="https://hashtagbasketball.com/15224/player" xr:uid="{34AA49DB-C94C-2447-8B67-ED8A38B28C18}"/>
    <hyperlink ref="A379" r:id="rId378" display="https://hashtagbasketball.com/38582/player" xr:uid="{301D1286-402D-5745-9924-A00FCCF55B81}"/>
    <hyperlink ref="A380" r:id="rId379" display="https://hashtagbasketball.com/120005/player" xr:uid="{6C0DAEDF-24FF-B443-93AF-8A9E1C40A07E}"/>
    <hyperlink ref="A381" r:id="rId380" display="https://hashtagbasketball.com/27683/player" xr:uid="{72DD8A38-7308-864D-BE91-79F955ECB3D8}"/>
    <hyperlink ref="A382" r:id="rId381" display="https://hashtagbasketball.com/17190/player" xr:uid="{7BB4017A-CFCB-814B-8D4F-B56F5F6DAE73}"/>
    <hyperlink ref="A383" r:id="rId382" display="https://hashtagbasketball.com/17276/player" xr:uid="{F6D8739D-EAA2-1342-ACAC-FEB8E13900F5}"/>
    <hyperlink ref="A384" r:id="rId383" display="https://hashtagbasketball.com/120015/player" xr:uid="{E9CB7409-16E1-3B43-8E0A-AA64BE971DE5}"/>
    <hyperlink ref="A385" r:id="rId384" display="https://hashtagbasketball.com/15300/player" xr:uid="{CC9EAFBD-8D74-A942-8431-1073EE4DAF41}"/>
    <hyperlink ref="A386" r:id="rId385" display="https://hashtagbasketball.com/120079/player" xr:uid="{FE6CA848-2B2E-6443-AF01-20CF4CBBF35D}"/>
    <hyperlink ref="A387" r:id="rId386" display="https://hashtagbasketball.com/120239/player" xr:uid="{81DA344F-4F79-CA4A-9AF3-0F46B13A68FE}"/>
    <hyperlink ref="A388" r:id="rId387" display="https://hashtagbasketball.com/27881/player" xr:uid="{091B789F-D45F-B64B-92E3-4C28BD652225}"/>
    <hyperlink ref="A389" r:id="rId388" display="https://hashtagbasketball.com/38948/player" xr:uid="{C21EC385-5F45-B947-A2B9-0A2C4B23EA22}"/>
    <hyperlink ref="A390" r:id="rId389" display="https://hashtagbasketball.com/9087/player" xr:uid="{29FE0D09-B05D-024C-A246-989DC593DF0E}"/>
    <hyperlink ref="A391" r:id="rId390" display="https://hashtagbasketball.com/27691/player" xr:uid="{27674065-2F9D-6646-8034-027B0B801710}"/>
    <hyperlink ref="A392" r:id="rId391" display="https://hashtagbasketball.com/120012/player" xr:uid="{A90F6106-1535-4740-B0F9-D71B767873CA}"/>
    <hyperlink ref="A393" r:id="rId392" display="https://hashtagbasketball.com/9523/player" xr:uid="{CEB90843-53EC-8C4F-B92C-9633278FFD6A}"/>
    <hyperlink ref="A394" r:id="rId393" display="https://hashtagbasketball.com/27843/player" xr:uid="{7BDE1073-41F2-234D-AD4C-FA3B84C7D083}"/>
    <hyperlink ref="A395" r:id="rId394" display="https://hashtagbasketball.com/120373/player" xr:uid="{BB527573-D66B-134D-8ADF-5BE14B5D3E37}"/>
    <hyperlink ref="A396" r:id="rId395" display="https://hashtagbasketball.com/9102/player" xr:uid="{B0A201D3-9FB7-4447-8C1F-70D9A4B6B007}"/>
    <hyperlink ref="A397" r:id="rId396" display="https://hashtagbasketball.com/31084/player" xr:uid="{C067244E-E779-5047-8FEC-7705A1EDE541}"/>
    <hyperlink ref="A398" r:id="rId397" display="https://hashtagbasketball.com/9084/player" xr:uid="{B704EEC8-CE57-F647-ABA5-740E1C5A1DB0}"/>
    <hyperlink ref="A399" r:id="rId398" display="https://hashtagbasketball.com/120010/player" xr:uid="{9410348D-BBDC-524B-B0C5-21D9C7DABC68}"/>
    <hyperlink ref="A400" r:id="rId399" display="https://hashtagbasketball.com/10129/player" xr:uid="{902F4099-3A7F-9B4A-B023-C8B49E6B035D}"/>
    <hyperlink ref="A401" r:id="rId400" display="https://hashtagbasketball.com/17275/player" xr:uid="{3024C859-2613-824F-8202-7F1ECAD63DD6}"/>
    <hyperlink ref="A402" r:id="rId401" display="https://hashtagbasketball.com/10146/player" xr:uid="{F7A327CD-67C6-3046-9326-FF1A685F6A7F}"/>
    <hyperlink ref="A403" r:id="rId402" display="https://hashtagbasketball.com/9423/player" xr:uid="{09F896A6-76C9-5441-B2A9-9602D7BB4B1E}"/>
    <hyperlink ref="A404" r:id="rId403" display="https://hashtagbasketball.com/111241/player" xr:uid="{FB7DF922-5AE1-B74B-B0D0-CA2AD3D166E2}"/>
    <hyperlink ref="A405" r:id="rId404" display="https://hashtagbasketball.com/27591/player" xr:uid="{2AD6B168-1160-A948-A0B2-324AD74F56A5}"/>
    <hyperlink ref="A406" r:id="rId405" display="https://hashtagbasketball.com/120212/player" xr:uid="{B2E255AF-6201-3D42-87B2-9780BFE916ED}"/>
    <hyperlink ref="A407" r:id="rId406" display="https://hashtagbasketball.com/120039/player" xr:uid="{627DA61E-AC19-2142-B066-41E6F9C89AAF}"/>
    <hyperlink ref="A408" r:id="rId407" display="https://hashtagbasketball.com/120221/player" xr:uid="{C24A67EA-266E-E344-B540-C68E02302B14}"/>
    <hyperlink ref="A409" r:id="rId408" display="https://hashtagbasketball.com/17255/player" xr:uid="{CFD1CC6F-6ADA-2B45-8A40-65198A5ADD27}"/>
    <hyperlink ref="A410" r:id="rId409" display="https://hashtagbasketball.com/120046/player" xr:uid="{DDF9027C-C788-2C43-95A3-BFF37100AA2C}"/>
    <hyperlink ref="A411" r:id="rId410" display="https://hashtagbasketball.com/111224/player" xr:uid="{FEEBAB9D-FB32-8243-A5F3-44056E75057C}"/>
    <hyperlink ref="A412" r:id="rId411" display="https://hashtagbasketball.com/36104/player" xr:uid="{CDBEDD71-EC1A-A345-84DE-1F165FB2C0F8}"/>
    <hyperlink ref="A413" r:id="rId412" display="https://hashtagbasketball.com/13792/player" xr:uid="{0307A031-AEA1-0A42-9AD9-53F64E01EDFE}"/>
    <hyperlink ref="A414" r:id="rId413" display="https://hashtagbasketball.com/120227/player" xr:uid="{B0129B4B-8375-7D48-A3ED-307EB64617FC}"/>
    <hyperlink ref="A415" r:id="rId414" display="https://hashtagbasketball.com/120052/player" xr:uid="{8DCF5CF5-89A6-F246-B154-F4074A3BADB3}"/>
    <hyperlink ref="A416" r:id="rId415" display="https://hashtagbasketball.com/120016/player" xr:uid="{16431C2C-8DD0-0C46-99EE-D9F848A8DB0E}"/>
    <hyperlink ref="A417" r:id="rId416" display="https://hashtagbasketball.com/120215/player" xr:uid="{5A8F33A5-72C9-3B44-B9AC-FC64AC2D69DB}"/>
    <hyperlink ref="A418" r:id="rId417" display="https://hashtagbasketball.com/13740/player" xr:uid="{A94CBB4C-61F2-C944-BC54-75E88C2D7B72}"/>
    <hyperlink ref="A419" r:id="rId418" display="https://hashtagbasketball.com/31039/player" xr:uid="{6259CBDD-5457-4248-BF0E-EA3F426AE24A}"/>
    <hyperlink ref="A420" r:id="rId419" display="https://hashtagbasketball.com/15199/player" xr:uid="{B5A6B9B6-7951-C44A-9883-117BADDC0F43}"/>
    <hyperlink ref="A421" r:id="rId420" display="https://hashtagbasketball.com/9220/player" xr:uid="{E14DF584-CA51-3D4C-8211-6FEB49BF4C9C}"/>
    <hyperlink ref="A422" r:id="rId421" display="https://hashtagbasketball.com/111234/player" xr:uid="{FB24A10B-B7F1-934C-BB19-70AEFE0439B0}"/>
    <hyperlink ref="A423" r:id="rId422" display="https://hashtagbasketball.com/120231/player" xr:uid="{9C31EF9E-1828-D449-A7CB-22935D2BA95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E0C5-3AE1-AC48-AC97-3D8509552E16}">
  <sheetPr>
    <tabColor theme="5"/>
  </sheetPr>
  <dimension ref="A1:BO1305"/>
  <sheetViews>
    <sheetView topLeftCell="A8" zoomScaleNormal="90" workbookViewId="0">
      <selection activeCell="P14" sqref="P14"/>
    </sheetView>
  </sheetViews>
  <sheetFormatPr baseColWidth="10" defaultRowHeight="16"/>
  <cols>
    <col min="1" max="1" width="32.1640625" customWidth="1"/>
    <col min="2" max="2" width="8.6640625" customWidth="1"/>
    <col min="3" max="3" width="9.33203125" customWidth="1"/>
    <col min="4" max="5" width="5.1640625" customWidth="1"/>
    <col min="6" max="6" width="6.83203125" customWidth="1"/>
    <col min="7" max="7" width="9.6640625" customWidth="1"/>
    <col min="8" max="8" width="11" customWidth="1"/>
    <col min="9" max="14" width="9.6640625" customWidth="1"/>
    <col min="15" max="15" width="8" customWidth="1"/>
    <col min="16" max="16" width="3" customWidth="1"/>
    <col min="17" max="17" width="7.5" style="19" customWidth="1"/>
    <col min="18" max="20" width="6.1640625" customWidth="1"/>
    <col min="21" max="21" width="12.6640625" customWidth="1"/>
    <col min="22" max="22" width="11.33203125" customWidth="1"/>
    <col min="23" max="23" width="14.83203125" customWidth="1"/>
    <col min="24" max="25" width="5.5" customWidth="1"/>
    <col min="26" max="34" width="5.1640625" customWidth="1"/>
    <col min="66" max="66" width="18.5" customWidth="1"/>
  </cols>
  <sheetData>
    <row r="1" spans="1:67">
      <c r="F1" t="s">
        <v>950</v>
      </c>
    </row>
    <row r="2" spans="1:67" ht="37" customHeight="1">
      <c r="A2" t="s">
        <v>247</v>
      </c>
      <c r="B2" t="s">
        <v>281</v>
      </c>
      <c r="C2" t="s">
        <v>282</v>
      </c>
      <c r="D2" t="s">
        <v>283</v>
      </c>
      <c r="E2" t="s">
        <v>284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R2" s="18"/>
      <c r="S2" s="18"/>
      <c r="T2" s="18" t="s">
        <v>945</v>
      </c>
      <c r="U2">
        <f>COUNT(B1:B15)</f>
        <v>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>
        <v>10.15</v>
      </c>
      <c r="AN2" t="s">
        <v>411</v>
      </c>
      <c r="AO2" t="s">
        <v>413</v>
      </c>
      <c r="AP2" t="s">
        <v>414</v>
      </c>
      <c r="AQ2" t="s">
        <v>415</v>
      </c>
      <c r="AR2" t="s">
        <v>416</v>
      </c>
      <c r="AS2" t="s">
        <v>417</v>
      </c>
      <c r="AT2" t="s">
        <v>418</v>
      </c>
      <c r="AU2" t="s">
        <v>419</v>
      </c>
      <c r="AV2">
        <v>10.19</v>
      </c>
      <c r="AX2">
        <v>10.15</v>
      </c>
      <c r="AY2" t="s">
        <v>411</v>
      </c>
      <c r="AZ2" t="s">
        <v>413</v>
      </c>
      <c r="BA2" t="s">
        <v>414</v>
      </c>
      <c r="BB2" t="s">
        <v>415</v>
      </c>
      <c r="BC2" t="s">
        <v>416</v>
      </c>
      <c r="BD2" t="s">
        <v>417</v>
      </c>
      <c r="BE2" t="s">
        <v>418</v>
      </c>
      <c r="BF2" t="s">
        <v>419</v>
      </c>
      <c r="BG2">
        <v>10.19</v>
      </c>
      <c r="BM2" t="s">
        <v>405</v>
      </c>
      <c r="BN2" t="s">
        <v>247</v>
      </c>
      <c r="BO2" t="s">
        <v>406</v>
      </c>
    </row>
    <row r="3" spans="1:67">
      <c r="A3" t="s">
        <v>97</v>
      </c>
      <c r="B3" s="30">
        <f>IFERROR(VLOOKUP($A3,'2026-2027 projections'!$B:$AF,17,FALSE),"")</f>
        <v>9.1999999999999993</v>
      </c>
      <c r="C3" s="29">
        <f>IFERROR(VLOOKUP($A3,'2026-2027 projections'!$B:$AF,18,FALSE),"")</f>
        <v>19.7</v>
      </c>
      <c r="D3" s="17">
        <f>IFERROR(VLOOKUP($A3,'2026-2027 projections'!$B:$AF,20,FALSE),"")</f>
        <v>4.5999999999999996</v>
      </c>
      <c r="E3" s="17">
        <f>IFERROR(VLOOKUP($A3,'2026-2027 projections'!$B:$AF,21,FALSE),"")</f>
        <v>5.6</v>
      </c>
      <c r="F3" s="17"/>
      <c r="G3" s="5">
        <f>IFERROR(B3/C3,"")</f>
        <v>0.46700507614213194</v>
      </c>
      <c r="H3" s="28">
        <f>IFERROR(D3/E3,"")</f>
        <v>0.8214285714285714</v>
      </c>
      <c r="I3" s="9">
        <f>IFERROR(VLOOKUP($A3,'2026-2027 projections'!$B:$AF,9,FALSE),"")</f>
        <v>2</v>
      </c>
      <c r="J3" s="9">
        <f>IFERROR(VLOOKUP($A3,'2026-2027 projections'!$B:$AF,10,FALSE),"")</f>
        <v>25</v>
      </c>
      <c r="K3" s="9">
        <f>IFERROR(VLOOKUP($A3,'2026-2027 projections'!$B:$AJ,11,FALSE),"")</f>
        <v>5.8</v>
      </c>
      <c r="L3" s="9">
        <f>IFERROR(VLOOKUP($A3,'2026-2027 projections'!$B:$AJ,12,FALSE),"")</f>
        <v>9.8000000000000007</v>
      </c>
      <c r="M3" s="9">
        <f>IFERROR(VLOOKUP($A3,'2026-2027 projections'!$B:$AJ,13,FALSE),"")</f>
        <v>1.3</v>
      </c>
      <c r="N3" s="9">
        <f>IFERROR(VLOOKUP($A3,'2026-2027 projections'!$B:$AJ,14,FALSE),"")</f>
        <v>0.8</v>
      </c>
      <c r="O3" s="9">
        <f>IFERROR(VLOOKUP($A3,'2026-2027 projections'!$B:$AJ,15,FALSE),"")</f>
        <v>4.0999999999999996</v>
      </c>
      <c r="Q3" s="20"/>
      <c r="S3" t="s">
        <v>281</v>
      </c>
      <c r="T3" t="s">
        <v>282</v>
      </c>
      <c r="U3" s="5" t="s">
        <v>283</v>
      </c>
      <c r="V3" s="5" t="s">
        <v>284</v>
      </c>
      <c r="W3" s="5" t="s">
        <v>6</v>
      </c>
      <c r="X3" s="5" t="s">
        <v>7</v>
      </c>
      <c r="Y3" s="5" t="s">
        <v>8</v>
      </c>
      <c r="Z3" s="7" t="s">
        <v>9</v>
      </c>
      <c r="AA3" s="7" t="s">
        <v>10</v>
      </c>
      <c r="AB3" s="7" t="s">
        <v>11</v>
      </c>
      <c r="AC3" s="7" t="s">
        <v>12</v>
      </c>
      <c r="AD3" s="7" t="s">
        <v>13</v>
      </c>
      <c r="AE3" s="7" t="s">
        <v>14</v>
      </c>
      <c r="AF3" s="7"/>
      <c r="AG3" s="7"/>
      <c r="AH3" s="7"/>
      <c r="AM3">
        <f>SUMIFS($BM:$BM,$BN:$BN,$Q3,$BO:$BO,AM$2)</f>
        <v>0</v>
      </c>
      <c r="AN3">
        <f>SUMIFS($BM:$BM,$BN:$BN,$Q3,$BO:$BO,AN$2)</f>
        <v>0</v>
      </c>
      <c r="AO3">
        <f>SUMIFS($BM:$BM,$BN:$BN,$Q3,$BO:$BO,AO$2)</f>
        <v>0</v>
      </c>
      <c r="AP3">
        <f>SUMIFS($BM:$BM,$BN:$BN,$Q3,$BO:$BO,AP$2)</f>
        <v>0</v>
      </c>
      <c r="AQ3">
        <f>SUMIFS($BM:$BM,$BN:$BN,$Q3,$BO:$BO,AQ$2)</f>
        <v>0</v>
      </c>
      <c r="AR3">
        <f>SUMIFS($BM:$BM,$BN:$BN,$Q3,$BO:$BO,AR$2)</f>
        <v>0</v>
      </c>
      <c r="AS3">
        <f>SUMIFS($BM:$BM,$BN:$BN,$Q3,$BO:$BO,AS$2)</f>
        <v>0</v>
      </c>
      <c r="AT3">
        <f>SUMIFS($BM:$BM,$BN:$BN,$Q3,$BO:$BO,AT$2)</f>
        <v>0</v>
      </c>
      <c r="AU3">
        <f>SUMIFS($BM:$BM,$BN:$BN,$Q3,$BO:$BO,AU$2)</f>
        <v>0</v>
      </c>
      <c r="AV3">
        <f>SUMIFS($BM:$BM,$BN:$BN,$Q3,$BO:$BO,AV$2)</f>
        <v>0</v>
      </c>
      <c r="BM3">
        <v>1</v>
      </c>
      <c r="BN3" t="s">
        <v>30</v>
      </c>
      <c r="BO3">
        <v>10.15</v>
      </c>
    </row>
    <row r="4" spans="1:67">
      <c r="A4" t="s">
        <v>67</v>
      </c>
      <c r="B4" s="30">
        <f>IFERROR(VLOOKUP($A4,'2026-2027 projections'!$B:$AF,17,FALSE),"")</f>
        <v>9</v>
      </c>
      <c r="C4" s="29">
        <f>IFERROR(VLOOKUP($A4,'2026-2027 projections'!$B:$AF,18,FALSE),"")</f>
        <v>18.899999999999999</v>
      </c>
      <c r="D4" s="17">
        <f>IFERROR(VLOOKUP($A4,'2026-2027 projections'!$B:$AF,20,FALSE),"")</f>
        <v>5.0999999999999996</v>
      </c>
      <c r="E4" s="17">
        <f>IFERROR(VLOOKUP($A4,'2026-2027 projections'!$B:$AF,21,FALSE),"")</f>
        <v>6.1</v>
      </c>
      <c r="F4" s="17"/>
      <c r="G4" s="5">
        <f t="shared" ref="G4:G15" si="0">IFERROR(B4/C4,"")</f>
        <v>0.47619047619047622</v>
      </c>
      <c r="H4" s="28">
        <f t="shared" ref="H4:H15" si="1">IFERROR(D4/E4,"")</f>
        <v>0.83606557377049184</v>
      </c>
      <c r="I4" s="9">
        <f>IFERROR(VLOOKUP($A4,'2026-2027 projections'!$B:$AF,9,FALSE),"")</f>
        <v>2.5</v>
      </c>
      <c r="J4" s="9">
        <f>IFERROR(VLOOKUP($A4,'2026-2027 projections'!$B:$AF,10,FALSE),"")</f>
        <v>25.5</v>
      </c>
      <c r="K4" s="9">
        <f>IFERROR(VLOOKUP($A4,'2026-2027 projections'!$B:$AJ,11,FALSE),"")</f>
        <v>3.1</v>
      </c>
      <c r="L4" s="9">
        <f>IFERROR(VLOOKUP($A4,'2026-2027 projections'!$B:$AJ,12,FALSE),"")</f>
        <v>6.9</v>
      </c>
      <c r="M4" s="9">
        <f>IFERROR(VLOOKUP($A4,'2026-2027 projections'!$B:$AJ,13,FALSE),"")</f>
        <v>0.8</v>
      </c>
      <c r="N4" s="9">
        <f>IFERROR(VLOOKUP($A4,'2026-2027 projections'!$B:$AJ,14,FALSE),"")</f>
        <v>0.1</v>
      </c>
      <c r="O4" s="9">
        <f>IFERROR(VLOOKUP($A4,'2026-2027 projections'!$B:$AJ,15,FALSE),"")</f>
        <v>2.4</v>
      </c>
      <c r="S4">
        <v>5.7721393034825876</v>
      </c>
      <c r="T4">
        <v>11.958706467661695</v>
      </c>
      <c r="U4" s="27">
        <v>2.6900497512437807</v>
      </c>
      <c r="V4" s="27">
        <v>3.384079601990047</v>
      </c>
      <c r="W4" s="27">
        <v>0.48267254649082653</v>
      </c>
      <c r="X4" s="27">
        <v>0.79491326080564595</v>
      </c>
      <c r="Y4" s="27">
        <v>1.667164179104478</v>
      </c>
      <c r="Z4" s="7">
        <v>15.897014925373128</v>
      </c>
      <c r="AA4">
        <v>5.5970149253731334</v>
      </c>
      <c r="AB4">
        <v>3.527860696517414</v>
      </c>
      <c r="AC4">
        <v>1</v>
      </c>
      <c r="AD4">
        <v>0.67</v>
      </c>
      <c r="AE4">
        <v>1.8024875621890541</v>
      </c>
      <c r="AG4" s="7"/>
      <c r="AH4" s="7"/>
      <c r="AM4">
        <f>SUMIFS($BM:$BM,$BN:$BN,$Q4,$BO:$BO,AM$2)</f>
        <v>0</v>
      </c>
      <c r="AN4">
        <f>SUMIFS($BM:$BM,$BN:$BN,$Q4,$BO:$BO,AN$2)</f>
        <v>0</v>
      </c>
      <c r="AO4">
        <f>SUMIFS($BM:$BM,$BN:$BN,$Q4,$BO:$BO,AO$2)</f>
        <v>0</v>
      </c>
      <c r="AP4">
        <f>SUMIFS($BM:$BM,$BN:$BN,$Q4,$BO:$BO,AP$2)</f>
        <v>0</v>
      </c>
      <c r="AQ4">
        <f>SUMIFS($BM:$BM,$BN:$BN,$Q4,$BO:$BO,AQ$2)</f>
        <v>0</v>
      </c>
      <c r="AR4">
        <f>SUMIFS($BM:$BM,$BN:$BN,$Q4,$BO:$BO,AR$2)</f>
        <v>0</v>
      </c>
      <c r="AS4">
        <f>SUMIFS($BM:$BM,$BN:$BN,$Q4,$BO:$BO,AS$2)</f>
        <v>0</v>
      </c>
      <c r="AT4">
        <f>SUMIFS($BM:$BM,$BN:$BN,$Q4,$BO:$BO,AT$2)</f>
        <v>0</v>
      </c>
      <c r="AU4">
        <f>SUMIFS($BM:$BM,$BN:$BN,$Q4,$BO:$BO,AU$2)</f>
        <v>0</v>
      </c>
      <c r="AV4">
        <f>SUMIFS($BM:$BM,$BN:$BN,$Q4,$BO:$BO,AV$2)</f>
        <v>0</v>
      </c>
      <c r="BM4">
        <v>2</v>
      </c>
      <c r="BN4" t="s">
        <v>407</v>
      </c>
      <c r="BO4">
        <v>10.15</v>
      </c>
    </row>
    <row r="5" spans="1:67">
      <c r="B5" s="30" t="str">
        <f>IFERROR(VLOOKUP($A5,'2026-2027 projections'!$B:$AF,17,FALSE),"")</f>
        <v/>
      </c>
      <c r="C5" s="29" t="str">
        <f>IFERROR(VLOOKUP($A5,'2026-2027 projections'!$B:$AF,18,FALSE),"")</f>
        <v/>
      </c>
      <c r="D5" s="17" t="str">
        <f>IFERROR(VLOOKUP($A5,'2026-2027 projections'!$B:$AF,20,FALSE),"")</f>
        <v/>
      </c>
      <c r="E5" s="17" t="str">
        <f>IFERROR(VLOOKUP($A5,'2026-2027 projections'!$B:$AF,21,FALSE),"")</f>
        <v/>
      </c>
      <c r="F5" s="17"/>
      <c r="G5" s="5" t="str">
        <f t="shared" si="0"/>
        <v/>
      </c>
      <c r="H5" s="28" t="str">
        <f t="shared" si="1"/>
        <v/>
      </c>
      <c r="I5" s="9" t="str">
        <f>IFERROR(VLOOKUP($A5,'2026-2027 projections'!$B:$AF,9,FALSE),"")</f>
        <v/>
      </c>
      <c r="J5" s="9" t="str">
        <f>IFERROR(VLOOKUP($A5,'2026-2027 projections'!$B:$AF,10,FALSE),"")</f>
        <v/>
      </c>
      <c r="K5" s="9" t="str">
        <f>IFERROR(VLOOKUP($A5,'2026-2027 projections'!$B:$AJ,11,FALSE),"")</f>
        <v/>
      </c>
      <c r="L5" s="9" t="str">
        <f>IFERROR(VLOOKUP($A5,'2026-2027 projections'!$B:$AJ,12,FALSE),"")</f>
        <v/>
      </c>
      <c r="M5" s="9" t="str">
        <f>IFERROR(VLOOKUP($A5,'2026-2027 projections'!$B:$AJ,13,FALSE),"")</f>
        <v/>
      </c>
      <c r="N5" s="9" t="str">
        <f>IFERROR(VLOOKUP($A5,'2026-2027 projections'!$B:$AJ,14,FALSE),"")</f>
        <v/>
      </c>
      <c r="O5" s="9" t="str">
        <f>IFERROR(VLOOKUP($A5,'2026-2027 projections'!$B:$AJ,15,FALSE),"")</f>
        <v/>
      </c>
      <c r="Q5" s="20"/>
      <c r="U5" s="5"/>
      <c r="V5" s="5"/>
      <c r="W5" s="5"/>
      <c r="X5" s="5"/>
      <c r="Y5" s="5"/>
      <c r="Z5" s="7"/>
      <c r="AA5" s="7"/>
      <c r="AB5" s="7"/>
      <c r="AC5" s="7"/>
      <c r="AD5" s="7"/>
      <c r="AE5" s="7"/>
      <c r="AF5" s="7"/>
      <c r="AG5" s="7"/>
      <c r="AH5" s="7"/>
      <c r="AM5">
        <f>SUMIFS($BM:$BM,$BN:$BN,$Q5,$BO:$BO,AM$2)</f>
        <v>0</v>
      </c>
      <c r="AN5">
        <f>SUMIFS($BM:$BM,$BN:$BN,$Q5,$BO:$BO,AN$2)</f>
        <v>0</v>
      </c>
      <c r="AO5">
        <f>SUMIFS($BM:$BM,$BN:$BN,$Q5,$BO:$BO,AO$2)</f>
        <v>0</v>
      </c>
      <c r="AP5">
        <f>SUMIFS($BM:$BM,$BN:$BN,$Q5,$BO:$BO,AP$2)</f>
        <v>0</v>
      </c>
      <c r="AQ5">
        <f>SUMIFS($BM:$BM,$BN:$BN,$Q5,$BO:$BO,AQ$2)</f>
        <v>0</v>
      </c>
      <c r="AR5">
        <f>SUMIFS($BM:$BM,$BN:$BN,$Q5,$BO:$BO,AR$2)</f>
        <v>0</v>
      </c>
      <c r="AS5">
        <f>SUMIFS($BM:$BM,$BN:$BN,$Q5,$BO:$BO,AS$2)</f>
        <v>0</v>
      </c>
      <c r="AT5">
        <f>SUMIFS($BM:$BM,$BN:$BN,$Q5,$BO:$BO,AT$2)</f>
        <v>0</v>
      </c>
      <c r="AU5">
        <f>SUMIFS($BM:$BM,$BN:$BN,$Q5,$BO:$BO,AU$2)</f>
        <v>0</v>
      </c>
      <c r="AV5">
        <f>SUMIFS($BM:$BM,$BN:$BN,$Q5,$BO:$BO,AV$2)</f>
        <v>0</v>
      </c>
      <c r="BM5">
        <v>3</v>
      </c>
      <c r="BN5" t="s">
        <v>408</v>
      </c>
      <c r="BO5">
        <v>10.15</v>
      </c>
    </row>
    <row r="6" spans="1:67">
      <c r="B6" s="30" t="str">
        <f>IFERROR(VLOOKUP($A6,'2026-2027 projections'!$B:$AF,17,FALSE),"")</f>
        <v/>
      </c>
      <c r="C6" s="29" t="str">
        <f>IFERROR(VLOOKUP($A6,'2026-2027 projections'!$B:$AF,18,FALSE),"")</f>
        <v/>
      </c>
      <c r="D6" s="17" t="str">
        <f>IFERROR(VLOOKUP($A6,'2026-2027 projections'!$B:$AF,20,FALSE),"")</f>
        <v/>
      </c>
      <c r="E6" s="17" t="str">
        <f>IFERROR(VLOOKUP($A6,'2026-2027 projections'!$B:$AF,21,FALSE),"")</f>
        <v/>
      </c>
      <c r="F6" s="17"/>
      <c r="G6" s="5" t="str">
        <f t="shared" si="0"/>
        <v/>
      </c>
      <c r="H6" s="28" t="str">
        <f t="shared" si="1"/>
        <v/>
      </c>
      <c r="I6" s="9" t="str">
        <f>IFERROR(VLOOKUP($A6,'2026-2027 projections'!$B:$AF,9,FALSE),"")</f>
        <v/>
      </c>
      <c r="J6" s="9" t="str">
        <f>IFERROR(VLOOKUP($A6,'2026-2027 projections'!$B:$AF,10,FALSE),"")</f>
        <v/>
      </c>
      <c r="K6" s="9" t="str">
        <f>IFERROR(VLOOKUP($A6,'2026-2027 projections'!$B:$AJ,11,FALSE),"")</f>
        <v/>
      </c>
      <c r="L6" s="9" t="str">
        <f>IFERROR(VLOOKUP($A6,'2026-2027 projections'!$B:$AJ,12,FALSE),"")</f>
        <v/>
      </c>
      <c r="M6" s="9" t="str">
        <f>IFERROR(VLOOKUP($A6,'2026-2027 projections'!$B:$AJ,13,FALSE),"")</f>
        <v/>
      </c>
      <c r="N6" s="9" t="str">
        <f>IFERROR(VLOOKUP($A6,'2026-2027 projections'!$B:$AJ,14,FALSE),"")</f>
        <v/>
      </c>
      <c r="O6" s="9" t="str">
        <f>IFERROR(VLOOKUP($A6,'2026-2027 projections'!$B:$AJ,15,FALSE),"")</f>
        <v/>
      </c>
      <c r="Q6" s="20"/>
      <c r="U6" s="5"/>
      <c r="V6" s="5"/>
      <c r="W6" s="5"/>
      <c r="X6" s="5"/>
      <c r="Y6" s="5"/>
      <c r="Z6" s="7"/>
      <c r="AA6" s="7"/>
      <c r="AB6" s="7"/>
      <c r="AC6" s="7"/>
      <c r="AD6" s="7"/>
      <c r="AE6" s="7"/>
      <c r="AF6" s="7"/>
      <c r="AG6" s="7"/>
      <c r="AH6" s="7"/>
      <c r="AM6">
        <f>SUMIFS($BM:$BM,$BN:$BN,$Q6,$BO:$BO,AM$2)</f>
        <v>0</v>
      </c>
      <c r="AN6">
        <f>SUMIFS($BM:$BM,$BN:$BN,$Q6,$BO:$BO,AN$2)</f>
        <v>0</v>
      </c>
      <c r="AO6">
        <f>SUMIFS($BM:$BM,$BN:$BN,$Q6,$BO:$BO,AO$2)</f>
        <v>0</v>
      </c>
      <c r="AP6">
        <f>SUMIFS($BM:$BM,$BN:$BN,$Q6,$BO:$BO,AP$2)</f>
        <v>0</v>
      </c>
      <c r="AQ6">
        <f>SUMIFS($BM:$BM,$BN:$BN,$Q6,$BO:$BO,AQ$2)</f>
        <v>0</v>
      </c>
      <c r="AR6">
        <f>SUMIFS($BM:$BM,$BN:$BN,$Q6,$BO:$BO,AR$2)</f>
        <v>0</v>
      </c>
      <c r="AS6">
        <f>SUMIFS($BM:$BM,$BN:$BN,$Q6,$BO:$BO,AS$2)</f>
        <v>0</v>
      </c>
      <c r="AT6">
        <f>SUMIFS($BM:$BM,$BN:$BN,$Q6,$BO:$BO,AT$2)</f>
        <v>0</v>
      </c>
      <c r="AU6">
        <f>SUMIFS($BM:$BM,$BN:$BN,$Q6,$BO:$BO,AU$2)</f>
        <v>0</v>
      </c>
      <c r="AV6">
        <f>SUMIFS($BM:$BM,$BN:$BN,$Q6,$BO:$BO,AV$2)</f>
        <v>0</v>
      </c>
      <c r="BM6">
        <v>4</v>
      </c>
      <c r="BN6" t="s">
        <v>21</v>
      </c>
      <c r="BO6">
        <v>10.15</v>
      </c>
    </row>
    <row r="7" spans="1:67">
      <c r="B7" s="30" t="str">
        <f>IFERROR(VLOOKUP($A7,'2026-2027 projections'!$B:$AF,17,FALSE),"")</f>
        <v/>
      </c>
      <c r="C7" s="29" t="str">
        <f>IFERROR(VLOOKUP($A7,'2026-2027 projections'!$B:$AF,18,FALSE),"")</f>
        <v/>
      </c>
      <c r="D7" s="17" t="str">
        <f>IFERROR(VLOOKUP($A7,'2026-2027 projections'!$B:$AF,20,FALSE),"")</f>
        <v/>
      </c>
      <c r="E7" s="17" t="str">
        <f>IFERROR(VLOOKUP($A7,'2026-2027 projections'!$B:$AF,21,FALSE),"")</f>
        <v/>
      </c>
      <c r="F7" s="17"/>
      <c r="G7" s="5" t="str">
        <f t="shared" si="0"/>
        <v/>
      </c>
      <c r="H7" s="28" t="str">
        <f t="shared" si="1"/>
        <v/>
      </c>
      <c r="I7" s="9" t="str">
        <f>IFERROR(VLOOKUP($A7,'2026-2027 projections'!$B:$AF,9,FALSE),"")</f>
        <v/>
      </c>
      <c r="J7" s="9" t="str">
        <f>IFERROR(VLOOKUP($A7,'2026-2027 projections'!$B:$AF,10,FALSE),"")</f>
        <v/>
      </c>
      <c r="K7" s="9" t="str">
        <f>IFERROR(VLOOKUP($A7,'2026-2027 projections'!$B:$AJ,11,FALSE),"")</f>
        <v/>
      </c>
      <c r="L7" s="9" t="str">
        <f>IFERROR(VLOOKUP($A7,'2026-2027 projections'!$B:$AJ,12,FALSE),"")</f>
        <v/>
      </c>
      <c r="M7" s="9" t="str">
        <f>IFERROR(VLOOKUP($A7,'2026-2027 projections'!$B:$AJ,13,FALSE),"")</f>
        <v/>
      </c>
      <c r="N7" s="9" t="str">
        <f>IFERROR(VLOOKUP($A7,'2026-2027 projections'!$B:$AJ,14,FALSE),"")</f>
        <v/>
      </c>
      <c r="O7" s="9" t="str">
        <f>IFERROR(VLOOKUP($A7,'2026-2027 projections'!$B:$AJ,15,FALSE),"")</f>
        <v/>
      </c>
      <c r="Q7" s="20"/>
      <c r="U7" s="5"/>
      <c r="V7" s="5"/>
      <c r="W7" s="5"/>
      <c r="X7" s="5"/>
      <c r="Y7" s="5"/>
      <c r="Z7" s="7"/>
      <c r="AA7" s="7"/>
      <c r="AB7" s="7"/>
      <c r="AC7" s="7"/>
      <c r="AD7" s="7"/>
      <c r="AE7" s="7"/>
      <c r="AF7" s="7"/>
      <c r="AG7" s="7"/>
      <c r="AH7" s="7"/>
      <c r="AM7">
        <f>SUMIFS($BM:$BM,$BN:$BN,$Q7,$BO:$BO,AM$2)</f>
        <v>0</v>
      </c>
      <c r="AN7">
        <f>SUMIFS($BM:$BM,$BN:$BN,$Q7,$BO:$BO,AN$2)</f>
        <v>0</v>
      </c>
      <c r="AO7">
        <f>SUMIFS($BM:$BM,$BN:$BN,$Q7,$BO:$BO,AO$2)</f>
        <v>0</v>
      </c>
      <c r="AP7">
        <f>SUMIFS($BM:$BM,$BN:$BN,$Q7,$BO:$BO,AP$2)</f>
        <v>0</v>
      </c>
      <c r="AQ7">
        <f>SUMIFS($BM:$BM,$BN:$BN,$Q7,$BO:$BO,AQ$2)</f>
        <v>0</v>
      </c>
      <c r="AR7">
        <f>SUMIFS($BM:$BM,$BN:$BN,$Q7,$BO:$BO,AR$2)</f>
        <v>0</v>
      </c>
      <c r="AS7">
        <f>SUMIFS($BM:$BM,$BN:$BN,$Q7,$BO:$BO,AS$2)</f>
        <v>0</v>
      </c>
      <c r="AT7">
        <f>SUMIFS($BM:$BM,$BN:$BN,$Q7,$BO:$BO,AT$2)</f>
        <v>0</v>
      </c>
      <c r="AU7">
        <f>SUMIFS($BM:$BM,$BN:$BN,$Q7,$BO:$BO,AU$2)</f>
        <v>0</v>
      </c>
      <c r="AV7">
        <f>SUMIFS($BM:$BM,$BN:$BN,$Q7,$BO:$BO,AV$2)</f>
        <v>0</v>
      </c>
      <c r="BM7">
        <v>5</v>
      </c>
      <c r="BN7" t="s">
        <v>65</v>
      </c>
      <c r="BO7">
        <v>10.15</v>
      </c>
    </row>
    <row r="8" spans="1:67">
      <c r="B8" s="30" t="str">
        <f>IFERROR(VLOOKUP($A8,'2026-2027 projections'!$B:$AF,17,FALSE),"")</f>
        <v/>
      </c>
      <c r="C8" s="29" t="str">
        <f>IFERROR(VLOOKUP($A8,'2026-2027 projections'!$B:$AF,18,FALSE),"")</f>
        <v/>
      </c>
      <c r="D8" s="17" t="str">
        <f>IFERROR(VLOOKUP($A8,'2026-2027 projections'!$B:$AF,20,FALSE),"")</f>
        <v/>
      </c>
      <c r="E8" s="17" t="str">
        <f>IFERROR(VLOOKUP($A8,'2026-2027 projections'!$B:$AF,21,FALSE),"")</f>
        <v/>
      </c>
      <c r="F8" s="17"/>
      <c r="G8" s="5" t="str">
        <f t="shared" si="0"/>
        <v/>
      </c>
      <c r="H8" s="28" t="str">
        <f t="shared" si="1"/>
        <v/>
      </c>
      <c r="I8" s="9" t="str">
        <f>IFERROR(VLOOKUP($A8,'2026-2027 projections'!$B:$AF,9,FALSE),"")</f>
        <v/>
      </c>
      <c r="J8" s="9" t="str">
        <f>IFERROR(VLOOKUP($A8,'2026-2027 projections'!$B:$AF,10,FALSE),"")</f>
        <v/>
      </c>
      <c r="K8" s="9" t="str">
        <f>IFERROR(VLOOKUP($A8,'2026-2027 projections'!$B:$AJ,11,FALSE),"")</f>
        <v/>
      </c>
      <c r="L8" s="9" t="str">
        <f>IFERROR(VLOOKUP($A8,'2026-2027 projections'!$B:$AJ,12,FALSE),"")</f>
        <v/>
      </c>
      <c r="M8" s="9" t="str">
        <f>IFERROR(VLOOKUP($A8,'2026-2027 projections'!$B:$AJ,13,FALSE),"")</f>
        <v/>
      </c>
      <c r="N8" s="9" t="str">
        <f>IFERROR(VLOOKUP($A8,'2026-2027 projections'!$B:$AJ,14,FALSE),"")</f>
        <v/>
      </c>
      <c r="O8" s="9" t="str">
        <f>IFERROR(VLOOKUP($A8,'2026-2027 projections'!$B:$AJ,15,FALSE),"")</f>
        <v/>
      </c>
      <c r="Q8" s="20"/>
      <c r="S8" t="s">
        <v>381</v>
      </c>
      <c r="T8" t="s">
        <v>382</v>
      </c>
      <c r="U8" s="5" t="s">
        <v>383</v>
      </c>
      <c r="V8" s="5" t="s">
        <v>384</v>
      </c>
      <c r="W8" s="5" t="s">
        <v>372</v>
      </c>
      <c r="X8" s="5" t="s">
        <v>373</v>
      </c>
      <c r="Y8" s="5" t="s">
        <v>374</v>
      </c>
      <c r="Z8" s="7" t="s">
        <v>375</v>
      </c>
      <c r="AA8" s="7" t="s">
        <v>376</v>
      </c>
      <c r="AB8" s="7" t="s">
        <v>377</v>
      </c>
      <c r="AC8" s="7" t="s">
        <v>378</v>
      </c>
      <c r="AD8" s="7" t="s">
        <v>379</v>
      </c>
      <c r="AE8" s="7" t="s">
        <v>380</v>
      </c>
      <c r="AF8" s="7"/>
      <c r="AG8" s="7"/>
      <c r="AH8" s="7"/>
      <c r="AM8">
        <f>SUMIFS($BM:$BM,$BN:$BN,$Q8,$BO:$BO,AM$2)</f>
        <v>0</v>
      </c>
      <c r="AN8">
        <f>SUMIFS($BM:$BM,$BN:$BN,$Q8,$BO:$BO,AN$2)</f>
        <v>0</v>
      </c>
      <c r="AO8">
        <f>SUMIFS($BM:$BM,$BN:$BN,$Q8,$BO:$BO,AO$2)</f>
        <v>0</v>
      </c>
      <c r="AP8">
        <f>SUMIFS($BM:$BM,$BN:$BN,$Q8,$BO:$BO,AP$2)</f>
        <v>0</v>
      </c>
      <c r="AQ8">
        <f>SUMIFS($BM:$BM,$BN:$BN,$Q8,$BO:$BO,AQ$2)</f>
        <v>0</v>
      </c>
      <c r="AR8">
        <f>SUMIFS($BM:$BM,$BN:$BN,$Q8,$BO:$BO,AR$2)</f>
        <v>0</v>
      </c>
      <c r="AS8">
        <f>SUMIFS($BM:$BM,$BN:$BN,$Q8,$BO:$BO,AS$2)</f>
        <v>0</v>
      </c>
      <c r="AT8">
        <f>SUMIFS($BM:$BM,$BN:$BN,$Q8,$BO:$BO,AT$2)</f>
        <v>0</v>
      </c>
      <c r="AU8">
        <f>SUMIFS($BM:$BM,$BN:$BN,$Q8,$BO:$BO,AU$2)</f>
        <v>0</v>
      </c>
      <c r="AV8">
        <f>SUMIFS($BM:$BM,$BN:$BN,$Q8,$BO:$BO,AV$2)</f>
        <v>0</v>
      </c>
      <c r="BM8">
        <v>6</v>
      </c>
      <c r="BN8" t="s">
        <v>24</v>
      </c>
      <c r="BO8">
        <v>10.15</v>
      </c>
    </row>
    <row r="9" spans="1:67">
      <c r="B9" s="30" t="str">
        <f>IFERROR(VLOOKUP($A9,'2026-2027 projections'!$B:$AF,17,FALSE),"")</f>
        <v/>
      </c>
      <c r="C9" s="29" t="str">
        <f>IFERROR(VLOOKUP($A9,'2026-2027 projections'!$B:$AF,18,FALSE),"")</f>
        <v/>
      </c>
      <c r="D9" s="17" t="str">
        <f>IFERROR(VLOOKUP($A9,'2026-2027 projections'!$B:$AF,20,FALSE),"")</f>
        <v/>
      </c>
      <c r="E9" s="17" t="str">
        <f>IFERROR(VLOOKUP($A9,'2026-2027 projections'!$B:$AF,21,FALSE),"")</f>
        <v/>
      </c>
      <c r="F9" s="17"/>
      <c r="G9" s="5" t="str">
        <f t="shared" si="0"/>
        <v/>
      </c>
      <c r="H9" s="28" t="str">
        <f t="shared" si="1"/>
        <v/>
      </c>
      <c r="I9" s="9" t="str">
        <f>IFERROR(VLOOKUP($A9,'2026-2027 projections'!$B:$AF,9,FALSE),"")</f>
        <v/>
      </c>
      <c r="J9" s="9" t="str">
        <f>IFERROR(VLOOKUP($A9,'2026-2027 projections'!$B:$AF,10,FALSE),"")</f>
        <v/>
      </c>
      <c r="K9" s="9" t="str">
        <f>IFERROR(VLOOKUP($A9,'2026-2027 projections'!$B:$AJ,11,FALSE),"")</f>
        <v/>
      </c>
      <c r="L9" s="9" t="str">
        <f>IFERROR(VLOOKUP($A9,'2026-2027 projections'!$B:$AJ,12,FALSE),"")</f>
        <v/>
      </c>
      <c r="M9" s="9" t="str">
        <f>IFERROR(VLOOKUP($A9,'2026-2027 projections'!$B:$AJ,13,FALSE),"")</f>
        <v/>
      </c>
      <c r="N9" s="9" t="str">
        <f>IFERROR(VLOOKUP($A9,'2026-2027 projections'!$B:$AJ,14,FALSE),"")</f>
        <v/>
      </c>
      <c r="O9" s="9" t="str">
        <f>IFERROR(VLOOKUP($A9,'2026-2027 projections'!$B:$AJ,15,FALSE),"")</f>
        <v/>
      </c>
      <c r="Q9" s="20"/>
      <c r="S9">
        <v>1.9535240672709993</v>
      </c>
      <c r="T9">
        <v>4.1576205687832752</v>
      </c>
      <c r="U9" s="27">
        <v>1.5927214313209155</v>
      </c>
      <c r="V9" s="27">
        <v>1.9116778786076358</v>
      </c>
      <c r="W9">
        <v>2.2710000000000001E-2</v>
      </c>
      <c r="X9">
        <v>8.5000000000000006E-2</v>
      </c>
      <c r="Y9">
        <v>0.9504295965038374</v>
      </c>
      <c r="Z9">
        <v>5.2828960849875184</v>
      </c>
      <c r="AA9">
        <v>2.4031031969360708</v>
      </c>
      <c r="AB9">
        <v>1.9367787535747367</v>
      </c>
      <c r="AC9">
        <v>0.34070383689886691</v>
      </c>
      <c r="AD9">
        <v>0.49253431327293662</v>
      </c>
      <c r="AE9">
        <v>0.73279910436843998</v>
      </c>
      <c r="AF9" s="7"/>
      <c r="AG9" s="7"/>
      <c r="AH9" s="7"/>
      <c r="AM9">
        <f>SUMIFS($BM:$BM,$BN:$BN,#REF!,$BO:$BO,AM$2)</f>
        <v>0</v>
      </c>
      <c r="AN9">
        <f>SUMIFS($BM:$BM,$BN:$BN,#REF!,$BO:$BO,AN$2)</f>
        <v>0</v>
      </c>
      <c r="AO9">
        <f>SUMIFS($BM:$BM,$BN:$BN,#REF!,$BO:$BO,AO$2)</f>
        <v>0</v>
      </c>
      <c r="AP9">
        <f>SUMIFS($BM:$BM,$BN:$BN,#REF!,$BO:$BO,AP$2)</f>
        <v>0</v>
      </c>
      <c r="AQ9">
        <f>SUMIFS($BM:$BM,$BN:$BN,#REF!,$BO:$BO,AQ$2)</f>
        <v>0</v>
      </c>
      <c r="AR9">
        <f>SUMIFS($BM:$BM,$BN:$BN,#REF!,$BO:$BO,AR$2)</f>
        <v>0</v>
      </c>
      <c r="AS9">
        <f>SUMIFS($BM:$BM,$BN:$BN,#REF!,$BO:$BO,AS$2)</f>
        <v>0</v>
      </c>
      <c r="AT9">
        <f>SUMIFS($BM:$BM,$BN:$BN,#REF!,$BO:$BO,AT$2)</f>
        <v>0</v>
      </c>
      <c r="AU9">
        <f>SUMIFS($BM:$BM,$BN:$BN,#REF!,$BO:$BO,AU$2)</f>
        <v>0</v>
      </c>
      <c r="AV9">
        <f>SUMIFS($BM:$BM,$BN:$BN,#REF!,$BO:$BO,AV$2)</f>
        <v>0</v>
      </c>
      <c r="BM9">
        <v>7</v>
      </c>
      <c r="BN9" t="s">
        <v>74</v>
      </c>
      <c r="BO9">
        <v>10.15</v>
      </c>
    </row>
    <row r="10" spans="1:67">
      <c r="B10" s="30" t="str">
        <f>IFERROR(VLOOKUP($A10,'2026-2027 projections'!$B:$AF,17,FALSE),"")</f>
        <v/>
      </c>
      <c r="C10" s="29" t="str">
        <f>IFERROR(VLOOKUP($A10,'2026-2027 projections'!$B:$AF,18,FALSE),"")</f>
        <v/>
      </c>
      <c r="D10" s="17" t="str">
        <f>IFERROR(VLOOKUP($A10,'2026-2027 projections'!$B:$AF,20,FALSE),"")</f>
        <v/>
      </c>
      <c r="E10" s="17" t="str">
        <f>IFERROR(VLOOKUP($A10,'2026-2027 projections'!$B:$AF,21,FALSE),"")</f>
        <v/>
      </c>
      <c r="F10" s="17"/>
      <c r="G10" s="5" t="str">
        <f t="shared" si="0"/>
        <v/>
      </c>
      <c r="H10" s="28" t="str">
        <f t="shared" si="1"/>
        <v/>
      </c>
      <c r="I10" s="9" t="str">
        <f>IFERROR(VLOOKUP($A10,'2026-2027 projections'!$B:$AF,9,FALSE),"")</f>
        <v/>
      </c>
      <c r="J10" s="9" t="str">
        <f>IFERROR(VLOOKUP($A10,'2026-2027 projections'!$B:$AF,10,FALSE),"")</f>
        <v/>
      </c>
      <c r="K10" s="9" t="str">
        <f>IFERROR(VLOOKUP($A10,'2026-2027 projections'!$B:$AJ,11,FALSE),"")</f>
        <v/>
      </c>
      <c r="L10" s="9" t="str">
        <f>IFERROR(VLOOKUP($A10,'2026-2027 projections'!$B:$AJ,12,FALSE),"")</f>
        <v/>
      </c>
      <c r="M10" s="9" t="str">
        <f>IFERROR(VLOOKUP($A10,'2026-2027 projections'!$B:$AJ,13,FALSE),"")</f>
        <v/>
      </c>
      <c r="N10" s="9" t="str">
        <f>IFERROR(VLOOKUP($A10,'2026-2027 projections'!$B:$AJ,14,FALSE),"")</f>
        <v/>
      </c>
      <c r="O10" s="9" t="str">
        <f>IFERROR(VLOOKUP($A10,'2026-2027 projections'!$B:$AJ,15,FALSE),"")</f>
        <v/>
      </c>
      <c r="U10" s="5"/>
      <c r="V10" s="5"/>
      <c r="W10" s="5"/>
      <c r="X10" s="5"/>
      <c r="Y10" s="5"/>
      <c r="Z10" s="7"/>
      <c r="AA10" s="7"/>
      <c r="AB10" s="7"/>
      <c r="AC10" s="7"/>
      <c r="AD10" s="7"/>
      <c r="AE10" s="7"/>
      <c r="AF10" s="7"/>
      <c r="AG10" s="7"/>
      <c r="AH10" s="7"/>
      <c r="AM10">
        <f>SUMIFS($BM:$BM,$BN:$BN,$Q9,$BO:$BO,AM$2)</f>
        <v>0</v>
      </c>
      <c r="AN10">
        <f>SUMIFS($BM:$BM,$BN:$BN,$Q9,$BO:$BO,AN$2)</f>
        <v>0</v>
      </c>
      <c r="AO10">
        <f>SUMIFS($BM:$BM,$BN:$BN,$Q9,$BO:$BO,AO$2)</f>
        <v>0</v>
      </c>
      <c r="AP10">
        <f>SUMIFS($BM:$BM,$BN:$BN,$Q9,$BO:$BO,AP$2)</f>
        <v>0</v>
      </c>
      <c r="AQ10">
        <f>SUMIFS($BM:$BM,$BN:$BN,$Q9,$BO:$BO,AQ$2)</f>
        <v>0</v>
      </c>
      <c r="AR10">
        <f>SUMIFS($BM:$BM,$BN:$BN,$Q9,$BO:$BO,AR$2)</f>
        <v>0</v>
      </c>
      <c r="AS10">
        <f>SUMIFS($BM:$BM,$BN:$BN,$Q9,$BO:$BO,AS$2)</f>
        <v>0</v>
      </c>
      <c r="AT10">
        <f>SUMIFS($BM:$BM,$BN:$BN,$Q9,$BO:$BO,AT$2)</f>
        <v>0</v>
      </c>
      <c r="AU10">
        <f>SUMIFS($BM:$BM,$BN:$BN,$Q9,$BO:$BO,AU$2)</f>
        <v>0</v>
      </c>
      <c r="AV10">
        <f>SUMIFS($BM:$BM,$BN:$BN,$Q9,$BO:$BO,AV$2)</f>
        <v>0</v>
      </c>
      <c r="BM10">
        <v>8</v>
      </c>
      <c r="BN10" t="s">
        <v>16</v>
      </c>
      <c r="BO10">
        <v>10.15</v>
      </c>
    </row>
    <row r="11" spans="1:67">
      <c r="B11" s="30" t="str">
        <f>IFERROR(VLOOKUP($A11,'2026-2027 projections'!$B:$AF,17,FALSE),"")</f>
        <v/>
      </c>
      <c r="C11" s="29" t="str">
        <f>IFERROR(VLOOKUP($A11,'2026-2027 projections'!$B:$AF,18,FALSE),"")</f>
        <v/>
      </c>
      <c r="D11" s="17" t="str">
        <f>IFERROR(VLOOKUP($A11,'2026-2027 projections'!$B:$AF,20,FALSE),"")</f>
        <v/>
      </c>
      <c r="E11" s="17" t="str">
        <f>IFERROR(VLOOKUP($A11,'2026-2027 projections'!$B:$AF,21,FALSE),"")</f>
        <v/>
      </c>
      <c r="F11" s="17"/>
      <c r="G11" s="5" t="str">
        <f t="shared" si="0"/>
        <v/>
      </c>
      <c r="H11" s="28" t="str">
        <f t="shared" si="1"/>
        <v/>
      </c>
      <c r="I11" s="9" t="str">
        <f>IFERROR(VLOOKUP($A11,'2026-2027 projections'!$B:$AF,9,FALSE),"")</f>
        <v/>
      </c>
      <c r="J11" s="9" t="str">
        <f>IFERROR(VLOOKUP($A11,'2026-2027 projections'!$B:$AF,10,FALSE),"")</f>
        <v/>
      </c>
      <c r="K11" s="9" t="str">
        <f>IFERROR(VLOOKUP($A11,'2026-2027 projections'!$B:$AJ,11,FALSE),"")</f>
        <v/>
      </c>
      <c r="L11" s="9" t="str">
        <f>IFERROR(VLOOKUP($A11,'2026-2027 projections'!$B:$AJ,12,FALSE),"")</f>
        <v/>
      </c>
      <c r="M11" s="9" t="str">
        <f>IFERROR(VLOOKUP($A11,'2026-2027 projections'!$B:$AJ,13,FALSE),"")</f>
        <v/>
      </c>
      <c r="N11" s="9" t="str">
        <f>IFERROR(VLOOKUP($A11,'2026-2027 projections'!$B:$AJ,14,FALSE),"")</f>
        <v/>
      </c>
      <c r="O11" s="9" t="str">
        <f>IFERROR(VLOOKUP($A11,'2026-2027 projections'!$B:$AJ,15,FALSE),"")</f>
        <v/>
      </c>
      <c r="U11" s="5"/>
      <c r="V11" s="5"/>
      <c r="W11" s="5"/>
      <c r="X11" s="5"/>
      <c r="Y11" s="5"/>
      <c r="Z11" s="7"/>
      <c r="AA11" s="7"/>
      <c r="AB11" s="7"/>
      <c r="AC11" s="7"/>
      <c r="AD11" s="7"/>
      <c r="AE11" s="7"/>
      <c r="AF11" s="7"/>
      <c r="AG11" s="7"/>
      <c r="AH11" s="7"/>
      <c r="AM11">
        <f>SUMIFS($BM:$BM,$BN:$BN,$Q10,$BO:$BO,AM$2)</f>
        <v>0</v>
      </c>
      <c r="AN11">
        <f>SUMIFS($BM:$BM,$BN:$BN,$Q10,$BO:$BO,AN$2)</f>
        <v>0</v>
      </c>
      <c r="AO11">
        <f>SUMIFS($BM:$BM,$BN:$BN,$Q10,$BO:$BO,AO$2)</f>
        <v>0</v>
      </c>
      <c r="AP11">
        <f>SUMIFS($BM:$BM,$BN:$BN,$Q10,$BO:$BO,AP$2)</f>
        <v>0</v>
      </c>
      <c r="AQ11">
        <f>SUMIFS($BM:$BM,$BN:$BN,$Q10,$BO:$BO,AQ$2)</f>
        <v>0</v>
      </c>
      <c r="AR11">
        <f>SUMIFS($BM:$BM,$BN:$BN,$Q10,$BO:$BO,AR$2)</f>
        <v>0</v>
      </c>
      <c r="AS11">
        <f>SUMIFS($BM:$BM,$BN:$BN,$Q10,$BO:$BO,AS$2)</f>
        <v>0</v>
      </c>
      <c r="AT11">
        <f>SUMIFS($BM:$BM,$BN:$BN,$Q10,$BO:$BO,AT$2)</f>
        <v>0</v>
      </c>
      <c r="AU11">
        <f>SUMIFS($BM:$BM,$BN:$BN,$Q10,$BO:$BO,AU$2)</f>
        <v>0</v>
      </c>
      <c r="AV11">
        <f>SUMIFS($BM:$BM,$BN:$BN,$Q10,$BO:$BO,AV$2)</f>
        <v>0</v>
      </c>
      <c r="BM11">
        <v>9</v>
      </c>
      <c r="BN11" t="s">
        <v>41</v>
      </c>
      <c r="BO11">
        <v>10.15</v>
      </c>
    </row>
    <row r="12" spans="1:67">
      <c r="B12" s="30" t="str">
        <f>IFERROR(VLOOKUP($A12,'2026-2027 projections'!$B:$AF,17,FALSE),"")</f>
        <v/>
      </c>
      <c r="C12" s="29" t="str">
        <f>IFERROR(VLOOKUP($A12,'2026-2027 projections'!$B:$AF,18,FALSE),"")</f>
        <v/>
      </c>
      <c r="D12" s="17" t="str">
        <f>IFERROR(VLOOKUP($A12,'2026-2027 projections'!$B:$AF,20,FALSE),"")</f>
        <v/>
      </c>
      <c r="E12" s="17" t="str">
        <f>IFERROR(VLOOKUP($A12,'2026-2027 projections'!$B:$AF,21,FALSE),"")</f>
        <v/>
      </c>
      <c r="F12" s="17"/>
      <c r="G12" s="5" t="str">
        <f t="shared" si="0"/>
        <v/>
      </c>
      <c r="H12" s="28" t="str">
        <f t="shared" si="1"/>
        <v/>
      </c>
      <c r="I12" s="9" t="str">
        <f>IFERROR(VLOOKUP($A12,'2026-2027 projections'!$B:$AF,9,FALSE),"")</f>
        <v/>
      </c>
      <c r="J12" s="9" t="str">
        <f>IFERROR(VLOOKUP($A12,'2026-2027 projections'!$B:$AF,10,FALSE),"")</f>
        <v/>
      </c>
      <c r="K12" s="9" t="str">
        <f>IFERROR(VLOOKUP($A12,'2026-2027 projections'!$B:$AJ,11,FALSE),"")</f>
        <v/>
      </c>
      <c r="L12" s="9" t="str">
        <f>IFERROR(VLOOKUP($A12,'2026-2027 projections'!$B:$AJ,12,FALSE),"")</f>
        <v/>
      </c>
      <c r="M12" s="9" t="str">
        <f>IFERROR(VLOOKUP($A12,'2026-2027 projections'!$B:$AJ,13,FALSE),"")</f>
        <v/>
      </c>
      <c r="N12" s="9" t="str">
        <f>IFERROR(VLOOKUP($A12,'2026-2027 projections'!$B:$AJ,14,FALSE),"")</f>
        <v/>
      </c>
      <c r="O12" s="9" t="str">
        <f>IFERROR(VLOOKUP($A12,'2026-2027 projections'!$B:$AJ,15,FALSE),"")</f>
        <v/>
      </c>
      <c r="S12" t="s">
        <v>372</v>
      </c>
      <c r="T12" t="s">
        <v>373</v>
      </c>
      <c r="U12" t="s">
        <v>374</v>
      </c>
      <c r="V12" t="s">
        <v>375</v>
      </c>
      <c r="W12" t="s">
        <v>376</v>
      </c>
      <c r="X12" t="s">
        <v>377</v>
      </c>
      <c r="Y12" t="s">
        <v>378</v>
      </c>
      <c r="Z12" t="s">
        <v>379</v>
      </c>
      <c r="AA12" t="s">
        <v>380</v>
      </c>
      <c r="AM12">
        <f>SUMIFS($BM:$BM,$BN:$BN,$Q11,$BO:$BO,AM$2)</f>
        <v>0</v>
      </c>
      <c r="AN12">
        <f>SUMIFS($BM:$BM,$BN:$BN,$Q11,$BO:$BO,AN$2)</f>
        <v>0</v>
      </c>
      <c r="AO12">
        <f>SUMIFS($BM:$BM,$BN:$BN,$Q11,$BO:$BO,AO$2)</f>
        <v>0</v>
      </c>
      <c r="AP12">
        <f>SUMIFS($BM:$BM,$BN:$BN,$Q11,$BO:$BO,AP$2)</f>
        <v>0</v>
      </c>
      <c r="AQ12">
        <f>SUMIFS($BM:$BM,$BN:$BN,$Q11,$BO:$BO,AQ$2)</f>
        <v>0</v>
      </c>
      <c r="AR12">
        <f>SUMIFS($BM:$BM,$BN:$BN,$Q11,$BO:$BO,AR$2)</f>
        <v>0</v>
      </c>
      <c r="AS12">
        <f>SUMIFS($BM:$BM,$BN:$BN,$Q11,$BO:$BO,AS$2)</f>
        <v>0</v>
      </c>
      <c r="AT12">
        <f>SUMIFS($BM:$BM,$BN:$BN,$Q11,$BO:$BO,AT$2)</f>
        <v>0</v>
      </c>
      <c r="AU12">
        <f>SUMIFS($BM:$BM,$BN:$BN,$Q11,$BO:$BO,AU$2)</f>
        <v>0</v>
      </c>
      <c r="AV12">
        <f>SUMIFS($BM:$BM,$BN:$BN,$Q11,$BO:$BO,AV$2)</f>
        <v>0</v>
      </c>
      <c r="BM12">
        <v>10</v>
      </c>
      <c r="BN12" t="s">
        <v>60</v>
      </c>
      <c r="BO12">
        <v>10.15</v>
      </c>
    </row>
    <row r="13" spans="1:67">
      <c r="B13" s="30" t="str">
        <f>IFERROR(VLOOKUP($A13,'2026-2027 projections'!$B:$AF,17,FALSE),"")</f>
        <v/>
      </c>
      <c r="C13" s="29" t="str">
        <f>IFERROR(VLOOKUP($A13,'2026-2027 projections'!$B:$AF,18,FALSE),"")</f>
        <v/>
      </c>
      <c r="D13" s="17" t="str">
        <f>IFERROR(VLOOKUP($A13,'2026-2027 projections'!$B:$AF,20,FALSE),"")</f>
        <v/>
      </c>
      <c r="E13" s="17" t="str">
        <f>IFERROR(VLOOKUP($A13,'2026-2027 projections'!$B:$AF,21,FALSE),"")</f>
        <v/>
      </c>
      <c r="F13" s="17"/>
      <c r="G13" s="5" t="str">
        <f t="shared" si="0"/>
        <v/>
      </c>
      <c r="H13" s="28" t="str">
        <f t="shared" si="1"/>
        <v/>
      </c>
      <c r="I13" s="9" t="str">
        <f>IFERROR(VLOOKUP($A13,'2026-2027 projections'!$B:$AF,9,FALSE),"")</f>
        <v/>
      </c>
      <c r="J13" s="9" t="str">
        <f>IFERROR(VLOOKUP($A13,'2026-2027 projections'!$B:$AF,10,FALSE),"")</f>
        <v/>
      </c>
      <c r="K13" s="9" t="str">
        <f>IFERROR(VLOOKUP($A13,'2026-2027 projections'!$B:$AJ,11,FALSE),"")</f>
        <v/>
      </c>
      <c r="L13" s="9" t="str">
        <f>IFERROR(VLOOKUP($A13,'2026-2027 projections'!$B:$AJ,12,FALSE),"")</f>
        <v/>
      </c>
      <c r="M13" s="9" t="str">
        <f>IFERROR(VLOOKUP($A13,'2026-2027 projections'!$B:$AJ,13,FALSE),"")</f>
        <v/>
      </c>
      <c r="N13" s="9" t="str">
        <f>IFERROR(VLOOKUP($A13,'2026-2027 projections'!$B:$AJ,14,FALSE),"")</f>
        <v/>
      </c>
      <c r="O13" s="9" t="str">
        <f>IFERROR(VLOOKUP($A13,'2026-2027 projections'!$B:$AJ,15,FALSE),"")</f>
        <v/>
      </c>
      <c r="AM13">
        <f>SUMIFS($BM:$BM,$BN:$BN,$Q13,$BO:$BO,AM$2)</f>
        <v>0</v>
      </c>
      <c r="AN13">
        <f>SUMIFS($BM:$BM,$BN:$BN,$Q13,$BO:$BO,AN$2)</f>
        <v>0</v>
      </c>
      <c r="AO13">
        <f>SUMIFS($BM:$BM,$BN:$BN,$Q13,$BO:$BO,AO$2)</f>
        <v>0</v>
      </c>
      <c r="AP13">
        <f>SUMIFS($BM:$BM,$BN:$BN,$Q13,$BO:$BO,AP$2)</f>
        <v>0</v>
      </c>
      <c r="AQ13">
        <f>SUMIFS($BM:$BM,$BN:$BN,$Q13,$BO:$BO,AQ$2)</f>
        <v>0</v>
      </c>
      <c r="AR13">
        <f>SUMIFS($BM:$BM,$BN:$BN,$Q13,$BO:$BO,AR$2)</f>
        <v>0</v>
      </c>
      <c r="AS13">
        <f>SUMIFS($BM:$BM,$BN:$BN,$Q13,$BO:$BO,AS$2)</f>
        <v>0</v>
      </c>
      <c r="AT13">
        <f>SUMIFS($BM:$BM,$BN:$BN,$Q13,$BO:$BO,AT$2)</f>
        <v>0</v>
      </c>
      <c r="AU13">
        <f>SUMIFS($BM:$BM,$BN:$BN,$Q13,$BO:$BO,AU$2)</f>
        <v>0</v>
      </c>
      <c r="AV13">
        <f>SUMIFS($BM:$BM,$BN:$BN,$Q13,$BO:$BO,AV$2)</f>
        <v>0</v>
      </c>
      <c r="BM13">
        <v>11</v>
      </c>
      <c r="BN13" t="s">
        <v>52</v>
      </c>
      <c r="BO13">
        <v>10.15</v>
      </c>
    </row>
    <row r="14" spans="1:67">
      <c r="B14" s="30" t="str">
        <f>IFERROR(VLOOKUP($A14,'2026-2027 projections'!$B:$AF,17,FALSE),"")</f>
        <v/>
      </c>
      <c r="C14" s="29" t="str">
        <f>IFERROR(VLOOKUP($A14,'2026-2027 projections'!$B:$AF,18,FALSE),"")</f>
        <v/>
      </c>
      <c r="D14" s="17" t="str">
        <f>IFERROR(VLOOKUP($A14,'2026-2027 projections'!$B:$AF,20,FALSE),"")</f>
        <v/>
      </c>
      <c r="E14" s="17" t="str">
        <f>IFERROR(VLOOKUP($A14,'2026-2027 projections'!$B:$AF,21,FALSE),"")</f>
        <v/>
      </c>
      <c r="F14" s="17"/>
      <c r="G14" s="5" t="str">
        <f t="shared" si="0"/>
        <v/>
      </c>
      <c r="H14" s="28" t="str">
        <f t="shared" si="1"/>
        <v/>
      </c>
      <c r="I14" s="9" t="str">
        <f>IFERROR(VLOOKUP($A14,'2026-2027 projections'!$B:$AF,9,FALSE),"")</f>
        <v/>
      </c>
      <c r="J14" s="9" t="str">
        <f>IFERROR(VLOOKUP($A14,'2026-2027 projections'!$B:$AF,10,FALSE),"")</f>
        <v/>
      </c>
      <c r="K14" s="9" t="str">
        <f>IFERROR(VLOOKUP($A14,'2026-2027 projections'!$B:$AJ,11,FALSE),"")</f>
        <v/>
      </c>
      <c r="L14" s="9" t="str">
        <f>IFERROR(VLOOKUP($A14,'2026-2027 projections'!$B:$AJ,12,FALSE),"")</f>
        <v/>
      </c>
      <c r="M14" s="9" t="str">
        <f>IFERROR(VLOOKUP($A14,'2026-2027 projections'!$B:$AJ,13,FALSE),"")</f>
        <v/>
      </c>
      <c r="N14" s="9" t="str">
        <f>IFERROR(VLOOKUP($A14,'2026-2027 projections'!$B:$AJ,14,FALSE),"")</f>
        <v/>
      </c>
      <c r="O14" s="9" t="str">
        <f>IFERROR(VLOOKUP($A14,'2026-2027 projections'!$B:$AJ,15,FALSE),"")</f>
        <v/>
      </c>
      <c r="Z14" s="1"/>
      <c r="AA14" s="1"/>
      <c r="AB14" s="1"/>
      <c r="AC14" s="1"/>
      <c r="AD14" s="1"/>
      <c r="AE14" s="1"/>
      <c r="AF14" s="1"/>
      <c r="AG14" s="1"/>
      <c r="AH14" s="1"/>
      <c r="AM14">
        <f>SUMIFS($BM:$BM,$BN:$BN,$Q14,$BO:$BO,AM$2)</f>
        <v>0</v>
      </c>
      <c r="AN14">
        <f>SUMIFS($BM:$BM,$BN:$BN,$Q14,$BO:$BO,AN$2)</f>
        <v>0</v>
      </c>
      <c r="AO14">
        <f>SUMIFS($BM:$BM,$BN:$BN,$Q14,$BO:$BO,AO$2)</f>
        <v>0</v>
      </c>
      <c r="AP14">
        <f>SUMIFS($BM:$BM,$BN:$BN,$Q14,$BO:$BO,AP$2)</f>
        <v>0</v>
      </c>
      <c r="AQ14">
        <f>SUMIFS($BM:$BM,$BN:$BN,$Q14,$BO:$BO,AQ$2)</f>
        <v>0</v>
      </c>
      <c r="AR14">
        <f>SUMIFS($BM:$BM,$BN:$BN,$Q14,$BO:$BO,AR$2)</f>
        <v>0</v>
      </c>
      <c r="AS14">
        <f>SUMIFS($BM:$BM,$BN:$BN,$Q14,$BO:$BO,AS$2)</f>
        <v>0</v>
      </c>
      <c r="AT14">
        <f>SUMIFS($BM:$BM,$BN:$BN,$Q14,$BO:$BO,AT$2)</f>
        <v>0</v>
      </c>
      <c r="AU14">
        <f>SUMIFS($BM:$BM,$BN:$BN,$Q14,$BO:$BO,AU$2)</f>
        <v>0</v>
      </c>
      <c r="AV14">
        <f>SUMIFS($BM:$BM,$BN:$BN,$Q14,$BO:$BO,AV$2)</f>
        <v>0</v>
      </c>
      <c r="BM14">
        <v>12</v>
      </c>
      <c r="BN14" t="s">
        <v>62</v>
      </c>
      <c r="BO14">
        <v>10.15</v>
      </c>
    </row>
    <row r="15" spans="1:67">
      <c r="B15" s="30" t="str">
        <f>IFERROR(VLOOKUP($A15,'2026-2027 projections'!$B:$AF,17,FALSE),"")</f>
        <v/>
      </c>
      <c r="C15" s="29" t="str">
        <f>IFERROR(VLOOKUP($A15,'2026-2027 projections'!$B:$AF,18,FALSE),"")</f>
        <v/>
      </c>
      <c r="D15" s="17" t="str">
        <f>IFERROR(VLOOKUP($A15,'2026-2027 projections'!$B:$AF,20,FALSE),"")</f>
        <v/>
      </c>
      <c r="E15" s="17" t="str">
        <f>IFERROR(VLOOKUP($A15,'2026-2027 projections'!$B:$AF,21,FALSE),"")</f>
        <v/>
      </c>
      <c r="F15" s="17"/>
      <c r="G15" s="5" t="str">
        <f t="shared" si="0"/>
        <v/>
      </c>
      <c r="H15" s="28" t="str">
        <f t="shared" si="1"/>
        <v/>
      </c>
      <c r="I15" s="9" t="str">
        <f>IFERROR(VLOOKUP($A15,'2026-2027 projections'!$B:$AF,9,FALSE),"")</f>
        <v/>
      </c>
      <c r="J15" s="9" t="str">
        <f>IFERROR(VLOOKUP($A15,'2026-2027 projections'!$B:$AF,10,FALSE),"")</f>
        <v/>
      </c>
      <c r="K15" s="9" t="str">
        <f>IFERROR(VLOOKUP($A15,'2026-2027 projections'!$B:$AJ,11,FALSE),"")</f>
        <v/>
      </c>
      <c r="L15" s="9" t="str">
        <f>IFERROR(VLOOKUP($A15,'2026-2027 projections'!$B:$AJ,12,FALSE),"")</f>
        <v/>
      </c>
      <c r="M15" s="9" t="str">
        <f>IFERROR(VLOOKUP($A15,'2026-2027 projections'!$B:$AJ,13,FALSE),"")</f>
        <v/>
      </c>
      <c r="N15" s="9" t="str">
        <f>IFERROR(VLOOKUP($A15,'2026-2027 projections'!$B:$AJ,14,FALSE),"")</f>
        <v/>
      </c>
      <c r="O15" s="9" t="str">
        <f>IFERROR(VLOOKUP($A15,'2026-2027 projections'!$B:$AJ,15,FALSE),"")</f>
        <v/>
      </c>
      <c r="S15" s="7"/>
      <c r="U15" s="5"/>
      <c r="V15" s="5"/>
      <c r="W15" s="5"/>
      <c r="X15" s="5"/>
      <c r="Y15" s="5"/>
      <c r="Z15" s="7"/>
      <c r="AA15" s="7"/>
      <c r="AB15" s="7"/>
      <c r="AC15" s="7"/>
      <c r="AD15" s="7"/>
      <c r="AE15" s="7"/>
      <c r="AF15" s="7"/>
      <c r="AG15" s="7"/>
      <c r="AH15" s="7"/>
      <c r="AM15">
        <f>SUMIFS($BM:$BM,$BN:$BN,$Q15,$BO:$BO,AM$2)</f>
        <v>0</v>
      </c>
      <c r="AN15">
        <f>SUMIFS($BM:$BM,$BN:$BN,$Q15,$BO:$BO,AN$2)</f>
        <v>0</v>
      </c>
      <c r="AO15">
        <f>SUMIFS($BM:$BM,$BN:$BN,$Q15,$BO:$BO,AO$2)</f>
        <v>0</v>
      </c>
      <c r="AP15">
        <f>SUMIFS($BM:$BM,$BN:$BN,$Q15,$BO:$BO,AP$2)</f>
        <v>0</v>
      </c>
      <c r="AQ15">
        <f>SUMIFS($BM:$BM,$BN:$BN,$Q15,$BO:$BO,AQ$2)</f>
        <v>0</v>
      </c>
      <c r="AR15">
        <f>SUMIFS($BM:$BM,$BN:$BN,$Q15,$BO:$BO,AR$2)</f>
        <v>0</v>
      </c>
      <c r="AS15">
        <f>SUMIFS($BM:$BM,$BN:$BN,$Q15,$BO:$BO,AS$2)</f>
        <v>0</v>
      </c>
      <c r="AT15">
        <f>SUMIFS($BM:$BM,$BN:$BN,$Q15,$BO:$BO,AT$2)</f>
        <v>0</v>
      </c>
      <c r="AU15">
        <f>SUMIFS($BM:$BM,$BN:$BN,$Q15,$BO:$BO,AU$2)</f>
        <v>0</v>
      </c>
      <c r="AV15">
        <f>SUMIFS($BM:$BM,$BN:$BN,$Q15,$BO:$BO,AV$2)</f>
        <v>0</v>
      </c>
      <c r="BM15">
        <v>13</v>
      </c>
      <c r="BN15" t="s">
        <v>46</v>
      </c>
      <c r="BO15">
        <v>10.15</v>
      </c>
    </row>
    <row r="16" spans="1:67">
      <c r="H16" s="9"/>
      <c r="I16" s="9"/>
      <c r="J16" s="9"/>
      <c r="K16" s="9"/>
      <c r="L16" s="9"/>
      <c r="M16" s="9"/>
      <c r="N16" s="9"/>
      <c r="O16" s="9"/>
      <c r="U16" s="27"/>
      <c r="V16" s="27"/>
      <c r="W16" s="27"/>
      <c r="X16" s="27"/>
      <c r="Y16" s="27"/>
      <c r="Z16" s="7"/>
      <c r="AA16" s="7"/>
      <c r="AB16" s="7"/>
      <c r="AC16" s="7"/>
      <c r="AD16" s="7"/>
      <c r="AE16" s="7"/>
      <c r="AF16" s="7"/>
      <c r="AG16" s="7"/>
      <c r="AH16" s="7"/>
      <c r="AM16">
        <f>SUMIFS($BM:$BM,$BN:$BN,$Q16,$BO:$BO,AM$2)</f>
        <v>0</v>
      </c>
      <c r="AN16">
        <f>SUMIFS($BM:$BM,$BN:$BN,$Q16,$BO:$BO,AN$2)</f>
        <v>0</v>
      </c>
      <c r="AO16">
        <f>SUMIFS($BM:$BM,$BN:$BN,$Q16,$BO:$BO,AO$2)</f>
        <v>0</v>
      </c>
      <c r="AP16">
        <f>SUMIFS($BM:$BM,$BN:$BN,$Q16,$BO:$BO,AP$2)</f>
        <v>0</v>
      </c>
      <c r="AQ16">
        <f>SUMIFS($BM:$BM,$BN:$BN,$Q16,$BO:$BO,AQ$2)</f>
        <v>0</v>
      </c>
      <c r="AR16">
        <f>SUMIFS($BM:$BM,$BN:$BN,$Q16,$BO:$BO,AR$2)</f>
        <v>0</v>
      </c>
      <c r="AS16">
        <f>SUMIFS($BM:$BM,$BN:$BN,$Q16,$BO:$BO,AS$2)</f>
        <v>0</v>
      </c>
      <c r="AT16">
        <f>SUMIFS($BM:$BM,$BN:$BN,$Q16,$BO:$BO,AT$2)</f>
        <v>0</v>
      </c>
      <c r="AU16">
        <f>SUMIFS($BM:$BM,$BN:$BN,$Q16,$BO:$BO,AU$2)</f>
        <v>0</v>
      </c>
      <c r="AV16">
        <f>SUMIFS($BM:$BM,$BN:$BN,$Q16,$BO:$BO,AV$2)</f>
        <v>0</v>
      </c>
      <c r="BM16">
        <v>14</v>
      </c>
      <c r="BN16" t="s">
        <v>35</v>
      </c>
      <c r="BO16">
        <v>10.15</v>
      </c>
    </row>
    <row r="17" spans="1:67">
      <c r="H17" s="9"/>
      <c r="I17" s="9"/>
      <c r="J17" s="9"/>
      <c r="K17" s="9"/>
      <c r="L17" s="9"/>
      <c r="M17" s="9"/>
      <c r="N17" s="9"/>
      <c r="O17" s="9"/>
      <c r="Q17" s="20"/>
      <c r="U17" s="5"/>
      <c r="V17" s="5"/>
      <c r="W17" s="5"/>
      <c r="X17" s="5"/>
      <c r="Y17" s="5"/>
      <c r="Z17" s="7"/>
      <c r="AA17" s="7"/>
      <c r="AB17" s="7"/>
      <c r="AC17" s="7"/>
      <c r="AD17" s="7"/>
      <c r="AE17" s="7"/>
      <c r="AF17" s="7"/>
      <c r="AG17" s="7"/>
      <c r="AH17" s="7"/>
      <c r="AM17">
        <f>SUMIFS($BM:$BM,$BN:$BN,$Q17,$BO:$BO,AM$2)</f>
        <v>0</v>
      </c>
      <c r="AN17">
        <f>SUMIFS($BM:$BM,$BN:$BN,$Q17,$BO:$BO,AN$2)</f>
        <v>0</v>
      </c>
      <c r="AO17">
        <f>SUMIFS($BM:$BM,$BN:$BN,$Q17,$BO:$BO,AO$2)</f>
        <v>0</v>
      </c>
      <c r="AP17">
        <f>SUMIFS($BM:$BM,$BN:$BN,$Q17,$BO:$BO,AP$2)</f>
        <v>0</v>
      </c>
      <c r="AQ17">
        <f>SUMIFS($BM:$BM,$BN:$BN,$Q17,$BO:$BO,AQ$2)</f>
        <v>0</v>
      </c>
      <c r="AR17">
        <f>SUMIFS($BM:$BM,$BN:$BN,$Q17,$BO:$BO,AR$2)</f>
        <v>0</v>
      </c>
      <c r="AS17">
        <f>SUMIFS($BM:$BM,$BN:$BN,$Q17,$BO:$BO,AS$2)</f>
        <v>0</v>
      </c>
      <c r="AT17">
        <f>SUMIFS($BM:$BM,$BN:$BN,$Q17,$BO:$BO,AT$2)</f>
        <v>0</v>
      </c>
      <c r="AU17">
        <f>SUMIFS($BM:$BM,$BN:$BN,$Q17,$BO:$BO,AU$2)</f>
        <v>0</v>
      </c>
      <c r="AV17">
        <f>SUMIFS($BM:$BM,$BN:$BN,$Q17,$BO:$BO,AV$2)</f>
        <v>0</v>
      </c>
      <c r="BM17">
        <v>15</v>
      </c>
      <c r="BN17" t="s">
        <v>49</v>
      </c>
      <c r="BO17">
        <v>10.15</v>
      </c>
    </row>
    <row r="18" spans="1:67">
      <c r="Q18" s="20"/>
      <c r="U18" s="5"/>
      <c r="V18" s="5"/>
      <c r="W18" s="5"/>
      <c r="X18" s="5"/>
      <c r="Y18" s="5"/>
      <c r="Z18" s="7"/>
      <c r="AA18" s="7"/>
      <c r="AB18" s="7"/>
      <c r="AC18" s="7"/>
      <c r="AD18" s="7"/>
      <c r="AE18" s="7"/>
      <c r="AF18" s="7"/>
      <c r="AG18" s="7"/>
      <c r="AH18" s="7"/>
      <c r="AM18">
        <f>SUMIFS($BM:$BM,$BN:$BN,$Q18,$BO:$BO,AM$2)</f>
        <v>0</v>
      </c>
      <c r="AN18">
        <f>SUMIFS($BM:$BM,$BN:$BN,$Q18,$BO:$BO,AN$2)</f>
        <v>0</v>
      </c>
      <c r="AO18">
        <f>SUMIFS($BM:$BM,$BN:$BN,$Q18,$BO:$BO,AO$2)</f>
        <v>0</v>
      </c>
      <c r="AP18">
        <f>SUMIFS($BM:$BM,$BN:$BN,$Q18,$BO:$BO,AP$2)</f>
        <v>0</v>
      </c>
      <c r="AQ18">
        <f>SUMIFS($BM:$BM,$BN:$BN,$Q18,$BO:$BO,AQ$2)</f>
        <v>0</v>
      </c>
      <c r="AR18">
        <f>SUMIFS($BM:$BM,$BN:$BN,$Q18,$BO:$BO,AR$2)</f>
        <v>0</v>
      </c>
      <c r="AS18">
        <f>SUMIFS($BM:$BM,$BN:$BN,$Q18,$BO:$BO,AS$2)</f>
        <v>0</v>
      </c>
      <c r="AT18">
        <f>SUMIFS($BM:$BM,$BN:$BN,$Q18,$BO:$BO,AT$2)</f>
        <v>0</v>
      </c>
      <c r="AU18">
        <f>SUMIFS($BM:$BM,$BN:$BN,$Q18,$BO:$BO,AU$2)</f>
        <v>0</v>
      </c>
      <c r="AV18">
        <f>SUMIFS($BM:$BM,$BN:$BN,$Q18,$BO:$BO,AV$2)</f>
        <v>0</v>
      </c>
      <c r="BM18">
        <v>16</v>
      </c>
      <c r="BN18" t="s">
        <v>32</v>
      </c>
      <c r="BO18">
        <v>10.15</v>
      </c>
    </row>
    <row r="19" spans="1:67">
      <c r="Q19" s="20"/>
      <c r="U19" s="5"/>
      <c r="V19" s="5"/>
      <c r="W19" s="5"/>
      <c r="X19" s="5"/>
      <c r="Y19" s="5"/>
      <c r="Z19" s="7"/>
      <c r="AA19" s="7"/>
      <c r="AB19" s="7"/>
      <c r="AC19" s="7"/>
      <c r="AD19" s="7"/>
      <c r="AE19" s="7"/>
      <c r="AF19" s="7"/>
      <c r="AG19" s="7"/>
      <c r="AH19" s="7"/>
      <c r="AM19">
        <f>SUMIFS($BM:$BM,$BN:$BN,$Q19,$BO:$BO,AM$2)</f>
        <v>0</v>
      </c>
      <c r="AN19">
        <f>SUMIFS($BM:$BM,$BN:$BN,$Q19,$BO:$BO,AN$2)</f>
        <v>0</v>
      </c>
      <c r="AO19">
        <f>SUMIFS($BM:$BM,$BN:$BN,$Q19,$BO:$BO,AO$2)</f>
        <v>0</v>
      </c>
      <c r="AP19">
        <f>SUMIFS($BM:$BM,$BN:$BN,$Q19,$BO:$BO,AP$2)</f>
        <v>0</v>
      </c>
      <c r="AQ19">
        <f>SUMIFS($BM:$BM,$BN:$BN,$Q19,$BO:$BO,AQ$2)</f>
        <v>0</v>
      </c>
      <c r="AR19">
        <f>SUMIFS($BM:$BM,$BN:$BN,$Q19,$BO:$BO,AR$2)</f>
        <v>0</v>
      </c>
      <c r="AS19">
        <f>SUMIFS($BM:$BM,$BN:$BN,$Q19,$BO:$BO,AS$2)</f>
        <v>0</v>
      </c>
      <c r="AT19">
        <f>SUMIFS($BM:$BM,$BN:$BN,$Q19,$BO:$BO,AT$2)</f>
        <v>0</v>
      </c>
      <c r="AU19">
        <f>SUMIFS($BM:$BM,$BN:$BN,$Q19,$BO:$BO,AU$2)</f>
        <v>0</v>
      </c>
      <c r="AV19">
        <f>SUMIFS($BM:$BM,$BN:$BN,$Q19,$BO:$BO,AV$2)</f>
        <v>0</v>
      </c>
      <c r="BM19">
        <v>17</v>
      </c>
      <c r="BN19" t="s">
        <v>64</v>
      </c>
      <c r="BO19">
        <v>10.15</v>
      </c>
    </row>
    <row r="20" spans="1:67">
      <c r="Q20" s="20"/>
      <c r="U20" s="5"/>
      <c r="V20" s="5"/>
      <c r="W20" s="27"/>
      <c r="X20" s="5"/>
      <c r="Y20" s="5"/>
      <c r="Z20" s="7"/>
      <c r="AA20" s="7"/>
      <c r="AB20" s="7"/>
      <c r="AC20" s="7"/>
      <c r="AD20" s="7"/>
      <c r="AE20" s="7"/>
      <c r="AF20" s="7"/>
      <c r="AG20" s="7"/>
      <c r="AH20" s="7"/>
      <c r="AM20">
        <f>SUMIFS($BM:$BM,$BN:$BN,$Q20,$BO:$BO,AM$2)</f>
        <v>0</v>
      </c>
      <c r="AN20">
        <f>SUMIFS($BM:$BM,$BN:$BN,$Q20,$BO:$BO,AN$2)</f>
        <v>0</v>
      </c>
      <c r="AO20">
        <f>SUMIFS($BM:$BM,$BN:$BN,$Q20,$BO:$BO,AO$2)</f>
        <v>0</v>
      </c>
      <c r="AP20">
        <f>SUMIFS($BM:$BM,$BN:$BN,$Q20,$BO:$BO,AP$2)</f>
        <v>0</v>
      </c>
      <c r="AQ20">
        <f>SUMIFS($BM:$BM,$BN:$BN,$Q20,$BO:$BO,AQ$2)</f>
        <v>0</v>
      </c>
      <c r="AR20">
        <f>SUMIFS($BM:$BM,$BN:$BN,$Q20,$BO:$BO,AR$2)</f>
        <v>0</v>
      </c>
      <c r="AS20">
        <f>SUMIFS($BM:$BM,$BN:$BN,$Q20,$BO:$BO,AS$2)</f>
        <v>0</v>
      </c>
      <c r="AT20">
        <f>SUMIFS($BM:$BM,$BN:$BN,$Q20,$BO:$BO,AT$2)</f>
        <v>0</v>
      </c>
      <c r="AU20">
        <f>SUMIFS($BM:$BM,$BN:$BN,$Q20,$BO:$BO,AU$2)</f>
        <v>0</v>
      </c>
      <c r="AV20">
        <f>SUMIFS($BM:$BM,$BN:$BN,$Q20,$BO:$BO,AV$2)</f>
        <v>0</v>
      </c>
      <c r="BM20">
        <v>18</v>
      </c>
      <c r="BN20" t="s">
        <v>69</v>
      </c>
      <c r="BO20">
        <v>10.15</v>
      </c>
    </row>
    <row r="21" spans="1:67">
      <c r="G21" s="32" t="s">
        <v>948</v>
      </c>
      <c r="H21" s="32" t="s">
        <v>7</v>
      </c>
      <c r="I21" s="32" t="s">
        <v>8</v>
      </c>
      <c r="J21" s="32" t="s">
        <v>9</v>
      </c>
      <c r="K21" s="32" t="s">
        <v>944</v>
      </c>
      <c r="L21" s="32" t="s">
        <v>11</v>
      </c>
      <c r="M21" s="32" t="s">
        <v>12</v>
      </c>
      <c r="N21" s="32" t="s">
        <v>13</v>
      </c>
      <c r="O21" s="32" t="s">
        <v>14</v>
      </c>
      <c r="Q21" s="20"/>
      <c r="U21" s="5"/>
      <c r="V21" s="5"/>
      <c r="W21" s="27"/>
      <c r="X21" s="5"/>
      <c r="Y21" s="5"/>
      <c r="Z21" s="7"/>
      <c r="AA21" s="7"/>
      <c r="AB21" s="7"/>
      <c r="AC21" s="7"/>
      <c r="AD21" s="7"/>
      <c r="AE21" s="7"/>
      <c r="AF21" s="7"/>
      <c r="AG21" s="7"/>
      <c r="AH21" s="7"/>
      <c r="AM21">
        <f>SUMIFS($BM:$BM,$BN:$BN,$Q21,$BO:$BO,AM$2)</f>
        <v>0</v>
      </c>
      <c r="AN21">
        <f>SUMIFS($BM:$BM,$BN:$BN,$Q21,$BO:$BO,AN$2)</f>
        <v>0</v>
      </c>
      <c r="AO21">
        <f>SUMIFS($BM:$BM,$BN:$BN,$Q21,$BO:$BO,AO$2)</f>
        <v>0</v>
      </c>
      <c r="AP21">
        <f>SUMIFS($BM:$BM,$BN:$BN,$Q21,$BO:$BO,AP$2)</f>
        <v>0</v>
      </c>
      <c r="AQ21">
        <f>SUMIFS($BM:$BM,$BN:$BN,$Q21,$BO:$BO,AQ$2)</f>
        <v>0</v>
      </c>
      <c r="AR21">
        <f>SUMIFS($BM:$BM,$BN:$BN,$Q21,$BO:$BO,AR$2)</f>
        <v>0</v>
      </c>
      <c r="AS21">
        <f>SUMIFS($BM:$BM,$BN:$BN,$Q21,$BO:$BO,AS$2)</f>
        <v>0</v>
      </c>
      <c r="AT21">
        <f>SUMIFS($BM:$BM,$BN:$BN,$Q21,$BO:$BO,AT$2)</f>
        <v>0</v>
      </c>
      <c r="AU21">
        <f>SUMIFS($BM:$BM,$BN:$BN,$Q21,$BO:$BO,AU$2)</f>
        <v>0</v>
      </c>
      <c r="AV21">
        <f>SUMIFS($BM:$BM,$BN:$BN,$Q21,$BO:$BO,AV$2)</f>
        <v>0</v>
      </c>
      <c r="BM21">
        <v>19</v>
      </c>
      <c r="BN21" t="s">
        <v>43</v>
      </c>
      <c r="BO21">
        <v>10.15</v>
      </c>
    </row>
    <row r="22" spans="1:67">
      <c r="D22" t="s">
        <v>947</v>
      </c>
      <c r="G22" s="36">
        <f>SUM(B3:B20)/SUM(C3:C20)</f>
        <v>0.47150259067357519</v>
      </c>
      <c r="H22" s="31">
        <f>SUM(D3:D20)/SUM(E3:E20)</f>
        <v>0.829059829059829</v>
      </c>
      <c r="I22" s="34">
        <f>AVERAGE(I3:I21)</f>
        <v>2.25</v>
      </c>
      <c r="J22" s="34">
        <f>AVERAGE(J3:J21)</f>
        <v>25.25</v>
      </c>
      <c r="K22" s="34">
        <f t="shared" ref="K22:O22" si="2">AVERAGE(K3:K21)</f>
        <v>4.45</v>
      </c>
      <c r="L22" s="34">
        <f t="shared" si="2"/>
        <v>8.3500000000000014</v>
      </c>
      <c r="M22" s="9">
        <f t="shared" si="2"/>
        <v>1.05</v>
      </c>
      <c r="N22" s="34">
        <f t="shared" si="2"/>
        <v>0.45</v>
      </c>
      <c r="O22" s="34">
        <f t="shared" si="2"/>
        <v>3.25</v>
      </c>
      <c r="U22" s="5"/>
      <c r="V22" s="5"/>
      <c r="W22" s="27"/>
      <c r="X22" s="5"/>
      <c r="Y22" s="5"/>
      <c r="Z22" s="7"/>
      <c r="AA22" s="7"/>
      <c r="AB22" s="7"/>
      <c r="AC22" s="7"/>
      <c r="AD22" s="7"/>
      <c r="AE22" s="7"/>
      <c r="AF22" s="7"/>
      <c r="AG22" s="7"/>
      <c r="AH22" s="7"/>
      <c r="AM22">
        <f>SUMIFS($BM:$BM,$BN:$BN,$Q22,$BO:$BO,AM$2)</f>
        <v>0</v>
      </c>
      <c r="AN22">
        <f>SUMIFS($BM:$BM,$BN:$BN,$Q22,$BO:$BO,AN$2)</f>
        <v>0</v>
      </c>
      <c r="AO22">
        <f>SUMIFS($BM:$BM,$BN:$BN,$Q22,$BO:$BO,AO$2)</f>
        <v>0</v>
      </c>
      <c r="AP22">
        <f>SUMIFS($BM:$BM,$BN:$BN,$Q22,$BO:$BO,AP$2)</f>
        <v>0</v>
      </c>
      <c r="AQ22">
        <f>SUMIFS($BM:$BM,$BN:$BN,$Q22,$BO:$BO,AQ$2)</f>
        <v>0</v>
      </c>
      <c r="AR22">
        <f>SUMIFS($BM:$BM,$BN:$BN,$Q22,$BO:$BO,AR$2)</f>
        <v>0</v>
      </c>
      <c r="AS22">
        <f>SUMIFS($BM:$BM,$BN:$BN,$Q22,$BO:$BO,AS$2)</f>
        <v>0</v>
      </c>
      <c r="AT22">
        <f>SUMIFS($BM:$BM,$BN:$BN,$Q22,$BO:$BO,AT$2)</f>
        <v>0</v>
      </c>
      <c r="AU22">
        <f>SUMIFS($BM:$BM,$BN:$BN,$Q22,$BO:$BO,AU$2)</f>
        <v>0</v>
      </c>
      <c r="AV22">
        <f>SUMIFS($BM:$BM,$BN:$BN,$Q22,$BO:$BO,AV$2)</f>
        <v>0</v>
      </c>
      <c r="BM22">
        <v>20</v>
      </c>
      <c r="BN22" t="s">
        <v>72</v>
      </c>
      <c r="BO22">
        <v>10.15</v>
      </c>
    </row>
    <row r="23" spans="1:67">
      <c r="D23" t="s">
        <v>949</v>
      </c>
      <c r="G23" s="35">
        <v>0.48</v>
      </c>
      <c r="H23" s="35">
        <v>0.79500000000000004</v>
      </c>
      <c r="I23" s="33">
        <v>1.71</v>
      </c>
      <c r="J23" s="33">
        <v>16</v>
      </c>
      <c r="K23" s="33">
        <v>5.6</v>
      </c>
      <c r="L23" s="33">
        <v>3.5</v>
      </c>
      <c r="M23" s="33">
        <v>1</v>
      </c>
      <c r="N23" s="9" t="e">
        <f>#REF!</f>
        <v>#REF!</v>
      </c>
      <c r="O23" s="33">
        <f>AE4</f>
        <v>1.8024875621890541</v>
      </c>
      <c r="U23" s="5"/>
      <c r="V23" s="5"/>
      <c r="W23" s="27"/>
      <c r="X23" s="5"/>
      <c r="Y23" s="5"/>
      <c r="Z23" s="7"/>
      <c r="AA23" s="7"/>
      <c r="AB23" s="7"/>
      <c r="AC23" s="7"/>
      <c r="AD23" s="7"/>
      <c r="AE23" s="7"/>
      <c r="AF23" s="7"/>
      <c r="AG23" s="7"/>
      <c r="AH23" s="7"/>
      <c r="AM23">
        <f>SUMIFS($BM:$BM,$BN:$BN,$Q23,$BO:$BO,AM$2)</f>
        <v>0</v>
      </c>
      <c r="AN23">
        <f>SUMIFS($BM:$BM,$BN:$BN,$Q23,$BO:$BO,AN$2)</f>
        <v>0</v>
      </c>
      <c r="AO23">
        <f>SUMIFS($BM:$BM,$BN:$BN,$Q23,$BO:$BO,AO$2)</f>
        <v>0</v>
      </c>
      <c r="AP23">
        <f>SUMIFS($BM:$BM,$BN:$BN,$Q23,$BO:$BO,AP$2)</f>
        <v>0</v>
      </c>
      <c r="AQ23">
        <f>SUMIFS($BM:$BM,$BN:$BN,$Q23,$BO:$BO,AQ$2)</f>
        <v>0</v>
      </c>
      <c r="AR23">
        <f>SUMIFS($BM:$BM,$BN:$BN,$Q23,$BO:$BO,AR$2)</f>
        <v>0</v>
      </c>
      <c r="AS23">
        <f>SUMIFS($BM:$BM,$BN:$BN,$Q23,$BO:$BO,AS$2)</f>
        <v>0</v>
      </c>
      <c r="AT23">
        <f>SUMIFS($BM:$BM,$BN:$BN,$Q23,$BO:$BO,AT$2)</f>
        <v>0</v>
      </c>
      <c r="AU23">
        <f>SUMIFS($BM:$BM,$BN:$BN,$Q23,$BO:$BO,AU$2)</f>
        <v>0</v>
      </c>
      <c r="AV23">
        <f>SUMIFS($BM:$BM,$BN:$BN,$Q23,$BO:$BO,AV$2)</f>
        <v>0</v>
      </c>
      <c r="BM23">
        <v>21</v>
      </c>
      <c r="BN23" t="s">
        <v>83</v>
      </c>
      <c r="BO23">
        <v>10.15</v>
      </c>
    </row>
    <row r="24" spans="1:67">
      <c r="G24" s="12"/>
      <c r="H24" s="12"/>
      <c r="I24" s="12"/>
      <c r="J24" s="12"/>
      <c r="K24" s="12"/>
      <c r="L24" s="12"/>
      <c r="M24" s="12"/>
      <c r="N24" s="12"/>
      <c r="O24" s="12"/>
      <c r="P24" s="7"/>
      <c r="U24" s="5"/>
      <c r="V24" s="5"/>
      <c r="W24" s="27"/>
      <c r="X24" s="5"/>
      <c r="Y24" s="5"/>
      <c r="Z24" s="7"/>
      <c r="AA24" s="7"/>
      <c r="AB24" s="7"/>
      <c r="AC24" s="7"/>
      <c r="AD24" s="7"/>
      <c r="AE24" s="7"/>
      <c r="AF24" s="7"/>
      <c r="AG24" s="7"/>
      <c r="AH24" s="7"/>
      <c r="AM24">
        <f>SUMIFS($BM:$BM,$BN:$BN,$Q24,$BO:$BO,AM$2)</f>
        <v>0</v>
      </c>
      <c r="AN24">
        <f>SUMIFS($BM:$BM,$BN:$BN,$Q24,$BO:$BO,AN$2)</f>
        <v>0</v>
      </c>
      <c r="AO24">
        <f>SUMIFS($BM:$BM,$BN:$BN,$Q24,$BO:$BO,AO$2)</f>
        <v>0</v>
      </c>
      <c r="AP24">
        <f>SUMIFS($BM:$BM,$BN:$BN,$Q24,$BO:$BO,AP$2)</f>
        <v>0</v>
      </c>
      <c r="AQ24">
        <f>SUMIFS($BM:$BM,$BN:$BN,$Q24,$BO:$BO,AQ$2)</f>
        <v>0</v>
      </c>
      <c r="AR24">
        <f>SUMIFS($BM:$BM,$BN:$BN,$Q24,$BO:$BO,AR$2)</f>
        <v>0</v>
      </c>
      <c r="AS24">
        <f>SUMIFS($BM:$BM,$BN:$BN,$Q24,$BO:$BO,AS$2)</f>
        <v>0</v>
      </c>
      <c r="AT24">
        <f>SUMIFS($BM:$BM,$BN:$BN,$Q24,$BO:$BO,AT$2)</f>
        <v>0</v>
      </c>
      <c r="AU24">
        <f>SUMIFS($BM:$BM,$BN:$BN,$Q24,$BO:$BO,AU$2)</f>
        <v>0</v>
      </c>
      <c r="AV24">
        <f>SUMIFS($BM:$BM,$BN:$BN,$Q24,$BO:$BO,AV$2)</f>
        <v>0</v>
      </c>
      <c r="BM24">
        <v>22</v>
      </c>
      <c r="BN24" t="s">
        <v>45</v>
      </c>
      <c r="BO24">
        <v>10.15</v>
      </c>
    </row>
    <row r="25" spans="1:67" ht="18" customHeight="1">
      <c r="D25" t="s">
        <v>946</v>
      </c>
      <c r="G25" s="9" t="e">
        <f>((SUM(B1:B15)/SUM(C1:C15))-W4)/#REF!*SQRT(SUM(C1:C15)/(COUNT(C1:C15)*T4))</f>
        <v>#REF!</v>
      </c>
      <c r="H25" s="9" t="str">
        <f>IFERROR(((SUM(D1:D15)/SUM(E1:E15)-X4)/#REF!)*SQRT(SUM(E1:E15)/(COUNT(E1:E15)*V4)),"n/a")</f>
        <v>n/a</v>
      </c>
      <c r="I25" s="9" t="e">
        <f>(AVERAGE(I3:I20)-Y4)/#REF!</f>
        <v>#REF!</v>
      </c>
      <c r="J25" s="9" t="e">
        <f>(AVERAGE(J3:J20)-Z4)/#REF!</f>
        <v>#REF!</v>
      </c>
      <c r="K25" s="9" t="e">
        <f>(AVERAGE(K3:K20)-AA4)/#REF!</f>
        <v>#REF!</v>
      </c>
      <c r="L25" s="9" t="e">
        <f>(AVERAGE(L3:L20)-AB4)/#REF!</f>
        <v>#REF!</v>
      </c>
      <c r="M25" s="9" t="e">
        <f>(AVERAGE(M3:M20)-AC4)/#REF!</f>
        <v>#REF!</v>
      </c>
      <c r="N25" s="9" t="e">
        <f>(AVERAGE(N3:N20)-AD4)/#REF!</f>
        <v>#REF!</v>
      </c>
      <c r="O25" s="9" t="e">
        <f>(AVERAGE(O3:O20)-AE4)/#REF!*-1</f>
        <v>#REF!</v>
      </c>
      <c r="U25" s="5"/>
      <c r="V25" s="5"/>
      <c r="W25" s="27"/>
      <c r="X25" s="5"/>
      <c r="Y25" s="5"/>
      <c r="Z25" s="7"/>
      <c r="AA25" s="7"/>
      <c r="AB25" s="7"/>
      <c r="AC25" s="7"/>
      <c r="AD25" s="7"/>
      <c r="AE25" s="7"/>
      <c r="AF25" s="7"/>
      <c r="AG25" s="7"/>
      <c r="AH25" s="7"/>
      <c r="AM25">
        <f>SUMIFS($BM:$BM,$BN:$BN,$Q25,$BO:$BO,AM$2)</f>
        <v>0</v>
      </c>
      <c r="AN25">
        <f>SUMIFS($BM:$BM,$BN:$BN,$Q25,$BO:$BO,AN$2)</f>
        <v>0</v>
      </c>
      <c r="AO25">
        <f>SUMIFS($BM:$BM,$BN:$BN,$Q25,$BO:$BO,AO$2)</f>
        <v>0</v>
      </c>
      <c r="AP25">
        <f>SUMIFS($BM:$BM,$BN:$BN,$Q25,$BO:$BO,AP$2)</f>
        <v>0</v>
      </c>
      <c r="AQ25">
        <f>SUMIFS($BM:$BM,$BN:$BN,$Q25,$BO:$BO,AQ$2)</f>
        <v>0</v>
      </c>
      <c r="AR25">
        <f>SUMIFS($BM:$BM,$BN:$BN,$Q25,$BO:$BO,AR$2)</f>
        <v>0</v>
      </c>
      <c r="AS25">
        <f>SUMIFS($BM:$BM,$BN:$BN,$Q25,$BO:$BO,AS$2)</f>
        <v>0</v>
      </c>
      <c r="AT25">
        <f>SUMIFS($BM:$BM,$BN:$BN,$Q25,$BO:$BO,AT$2)</f>
        <v>0</v>
      </c>
      <c r="AU25">
        <f>SUMIFS($BM:$BM,$BN:$BN,$Q25,$BO:$BO,AU$2)</f>
        <v>0</v>
      </c>
      <c r="AV25">
        <f>SUMIFS($BM:$BM,$BN:$BN,$Q25,$BO:$BO,AV$2)</f>
        <v>0</v>
      </c>
      <c r="BM25">
        <v>23</v>
      </c>
      <c r="BN25" t="s">
        <v>67</v>
      </c>
      <c r="BO25">
        <v>10.15</v>
      </c>
    </row>
    <row r="26" spans="1:67">
      <c r="G26" s="2"/>
      <c r="O26" s="16"/>
      <c r="U26" s="5"/>
      <c r="V26" s="5"/>
      <c r="W26" s="27"/>
      <c r="X26" s="5"/>
      <c r="Y26" s="5"/>
      <c r="Z26" s="7"/>
      <c r="AA26" s="7"/>
      <c r="AB26" s="7"/>
      <c r="AC26" s="7"/>
      <c r="AD26" s="7"/>
      <c r="AE26" s="7"/>
      <c r="AF26" s="7"/>
      <c r="AG26" s="7"/>
      <c r="AH26" s="7"/>
      <c r="AM26">
        <f>SUMIFS($BM:$BM,$BN:$BN,$Q26,$BO:$BO,AM$2)</f>
        <v>0</v>
      </c>
      <c r="AN26">
        <f>SUMIFS($BM:$BM,$BN:$BN,$Q26,$BO:$BO,AN$2)</f>
        <v>0</v>
      </c>
      <c r="AO26">
        <f>SUMIFS($BM:$BM,$BN:$BN,$Q26,$BO:$BO,AO$2)</f>
        <v>0</v>
      </c>
      <c r="AP26">
        <f>SUMIFS($BM:$BM,$BN:$BN,$Q26,$BO:$BO,AP$2)</f>
        <v>0</v>
      </c>
      <c r="AQ26">
        <f>SUMIFS($BM:$BM,$BN:$BN,$Q26,$BO:$BO,AQ$2)</f>
        <v>0</v>
      </c>
      <c r="AR26">
        <f>SUMIFS($BM:$BM,$BN:$BN,$Q26,$BO:$BO,AR$2)</f>
        <v>0</v>
      </c>
      <c r="AS26">
        <f>SUMIFS($BM:$BM,$BN:$BN,$Q26,$BO:$BO,AS$2)</f>
        <v>0</v>
      </c>
      <c r="AT26">
        <f>SUMIFS($BM:$BM,$BN:$BN,$Q26,$BO:$BO,AT$2)</f>
        <v>0</v>
      </c>
      <c r="AU26">
        <f>SUMIFS($BM:$BM,$BN:$BN,$Q26,$BO:$BO,AU$2)</f>
        <v>0</v>
      </c>
      <c r="AV26">
        <f>SUMIFS($BM:$BM,$BN:$BN,$Q26,$BO:$BO,AV$2)</f>
        <v>0</v>
      </c>
      <c r="BM26">
        <v>24</v>
      </c>
      <c r="BN26" t="s">
        <v>58</v>
      </c>
      <c r="BO26">
        <v>10.15</v>
      </c>
    </row>
    <row r="27" spans="1:67">
      <c r="U27" s="5"/>
      <c r="V27" s="5"/>
      <c r="W27" s="27"/>
      <c r="X27" s="5"/>
      <c r="Y27" s="5"/>
      <c r="Z27" s="7"/>
      <c r="AA27" s="7"/>
      <c r="AB27" s="7"/>
      <c r="AC27" s="7"/>
      <c r="AD27" s="7"/>
      <c r="AE27" s="7"/>
      <c r="AF27" s="7"/>
      <c r="AG27" s="7"/>
      <c r="AH27" s="7"/>
      <c r="BM27">
        <v>25</v>
      </c>
      <c r="BN27" t="s">
        <v>66</v>
      </c>
      <c r="BO27">
        <v>10.15</v>
      </c>
    </row>
    <row r="28" spans="1:67">
      <c r="F28" t="s">
        <v>952</v>
      </c>
      <c r="U28" s="5"/>
      <c r="V28" s="5"/>
      <c r="W28" s="27"/>
      <c r="X28" s="5"/>
      <c r="Y28" s="5"/>
      <c r="Z28" s="7"/>
      <c r="AA28" s="7"/>
      <c r="AB28" s="7"/>
      <c r="AC28" s="7"/>
      <c r="AD28" s="7"/>
      <c r="AE28" s="7"/>
      <c r="AF28" s="7"/>
      <c r="AG28" s="7"/>
      <c r="AH28" s="7"/>
      <c r="BM28">
        <v>26</v>
      </c>
      <c r="BN28" t="s">
        <v>54</v>
      </c>
      <c r="BO28">
        <v>10.15</v>
      </c>
    </row>
    <row r="29" spans="1:67">
      <c r="A29" t="s">
        <v>951</v>
      </c>
      <c r="G29" s="32" t="s">
        <v>948</v>
      </c>
      <c r="H29" s="32" t="s">
        <v>7</v>
      </c>
      <c r="I29" s="32" t="s">
        <v>8</v>
      </c>
      <c r="J29" s="32" t="s">
        <v>9</v>
      </c>
      <c r="K29" s="32" t="s">
        <v>944</v>
      </c>
      <c r="L29" s="32" t="s">
        <v>11</v>
      </c>
      <c r="M29" s="32" t="s">
        <v>12</v>
      </c>
      <c r="N29" s="32" t="s">
        <v>13</v>
      </c>
      <c r="O29" s="32" t="s">
        <v>14</v>
      </c>
      <c r="U29" s="5"/>
      <c r="V29" s="5"/>
      <c r="W29" s="27"/>
      <c r="X29" s="5"/>
      <c r="Y29" s="5"/>
      <c r="Z29" s="7"/>
      <c r="AA29" s="7"/>
      <c r="AB29" s="7"/>
      <c r="AC29" s="7"/>
      <c r="AD29" s="7"/>
      <c r="AE29" s="7"/>
      <c r="AF29" s="7"/>
      <c r="AG29" s="7"/>
      <c r="AH29" s="7"/>
      <c r="BM29">
        <v>27</v>
      </c>
      <c r="BN29" t="s">
        <v>248</v>
      </c>
      <c r="BO29">
        <v>10.15</v>
      </c>
    </row>
    <row r="30" spans="1:67" ht="19" customHeight="1">
      <c r="A30" s="39" t="s">
        <v>64</v>
      </c>
      <c r="B30" s="30">
        <f>IFERROR(VLOOKUP($A30,'2026-2027 projections'!$B:$AF,17,FALSE),"")</f>
        <v>5.9</v>
      </c>
      <c r="C30" s="29">
        <f>IFERROR(VLOOKUP($A30,'2026-2027 projections'!$B:$AF,18,FALSE),"")</f>
        <v>14</v>
      </c>
      <c r="D30" s="17">
        <f>IFERROR(VLOOKUP($A30,'2026-2027 projections'!$B:$AF,20,FALSE),"")</f>
        <v>5.6</v>
      </c>
      <c r="E30" s="17">
        <f>IFERROR(VLOOKUP($A30,'2026-2027 projections'!$B:$AF,21,FALSE),"")</f>
        <v>6.4</v>
      </c>
      <c r="F30" s="17"/>
      <c r="G30" s="5">
        <f t="shared" ref="G30" si="3">IFERROR(B30/C30,"")</f>
        <v>0.42142857142857143</v>
      </c>
      <c r="H30" s="28">
        <f>IFERROR(D30/E30,"")</f>
        <v>0.87499999999999989</v>
      </c>
      <c r="I30" s="9">
        <f>IFERROR(VLOOKUP($A30,'2026-2027 projections'!$B:$AF,9,FALSE),"")</f>
        <v>2.6</v>
      </c>
      <c r="J30" s="9">
        <f>IFERROR(VLOOKUP($A30,'2026-2027 projections'!$B:$AF,10,FALSE),"")</f>
        <v>20</v>
      </c>
      <c r="K30" s="9">
        <f>IFERROR(VLOOKUP($A30,'2026-2027 projections'!$B:$AJ,11,FALSE),"")</f>
        <v>4.5999999999999996</v>
      </c>
      <c r="L30" s="9">
        <f>IFERROR(VLOOKUP($A30,'2026-2027 projections'!$B:$AJ,12,FALSE),"")</f>
        <v>8.1999999999999993</v>
      </c>
      <c r="M30" s="9">
        <f>IFERROR(VLOOKUP($A30,'2026-2027 projections'!$B:$AJ,13,FALSE),"")</f>
        <v>1.1000000000000001</v>
      </c>
      <c r="N30" s="9">
        <f>IFERROR(VLOOKUP($A30,'2026-2027 projections'!$B:$AJ,14,FALSE),"")</f>
        <v>0.5</v>
      </c>
      <c r="O30" s="9">
        <f>IFERROR(VLOOKUP($A30,'2026-2027 projections'!$B:$AJ,15,FALSE),"")</f>
        <v>3.4</v>
      </c>
      <c r="U30" s="5"/>
      <c r="V30" s="5"/>
      <c r="W30" s="5"/>
      <c r="X30" s="5"/>
      <c r="Y30" s="5"/>
      <c r="BM30">
        <v>28</v>
      </c>
      <c r="BN30" t="s">
        <v>40</v>
      </c>
      <c r="BO30">
        <v>10.15</v>
      </c>
    </row>
    <row r="31" spans="1:67" ht="18" hidden="1">
      <c r="A31" s="13"/>
      <c r="B31" s="30"/>
      <c r="C31" s="29"/>
      <c r="D31" s="17"/>
      <c r="E31" s="17"/>
      <c r="F31" s="17" t="s">
        <v>954</v>
      </c>
      <c r="G31" s="35">
        <f>G22</f>
        <v>0.47150259067357519</v>
      </c>
      <c r="H31" s="35">
        <f>H22</f>
        <v>0.829059829059829</v>
      </c>
      <c r="I31" s="34">
        <f>I22</f>
        <v>2.25</v>
      </c>
      <c r="J31" s="34">
        <f t="shared" ref="J31:O31" si="4">J22</f>
        <v>25.25</v>
      </c>
      <c r="K31" s="34">
        <f t="shared" si="4"/>
        <v>4.45</v>
      </c>
      <c r="L31" s="34">
        <f t="shared" si="4"/>
        <v>8.3500000000000014</v>
      </c>
      <c r="M31" s="34">
        <f t="shared" si="4"/>
        <v>1.05</v>
      </c>
      <c r="N31" s="34">
        <f t="shared" si="4"/>
        <v>0.45</v>
      </c>
      <c r="O31" s="34">
        <f t="shared" si="4"/>
        <v>3.25</v>
      </c>
      <c r="U31" s="5"/>
      <c r="V31" s="5"/>
      <c r="W31" s="5"/>
      <c r="X31" s="5"/>
      <c r="Y31" s="5"/>
    </row>
    <row r="32" spans="1:67" ht="18" hidden="1">
      <c r="A32" s="13"/>
      <c r="B32" s="30"/>
      <c r="C32" s="29"/>
      <c r="D32" s="17"/>
      <c r="E32" s="17"/>
      <c r="F32" s="17" t="s">
        <v>953</v>
      </c>
      <c r="G32" s="31">
        <f>SUM(B3:B15,B30)/SUM(C3:C15,C30)</f>
        <v>0.45817490494296587</v>
      </c>
      <c r="H32" s="31">
        <f>SUM(D3:D15,D30)/SUM(E3:E15,E30)</f>
        <v>0.84530386740331476</v>
      </c>
      <c r="I32" s="9">
        <f t="shared" ref="I32:O32" si="5">AVERAGE(I3:I15,I30)</f>
        <v>2.3666666666666667</v>
      </c>
      <c r="J32" s="9">
        <f t="shared" si="5"/>
        <v>23.5</v>
      </c>
      <c r="K32" s="9">
        <f t="shared" si="5"/>
        <v>4.5</v>
      </c>
      <c r="L32" s="9">
        <f t="shared" si="5"/>
        <v>8.3000000000000007</v>
      </c>
      <c r="M32" s="9">
        <f t="shared" si="5"/>
        <v>1.0666666666666667</v>
      </c>
      <c r="N32" s="9">
        <f t="shared" si="5"/>
        <v>0.46666666666666662</v>
      </c>
      <c r="O32" s="9">
        <f t="shared" si="5"/>
        <v>3.3000000000000003</v>
      </c>
      <c r="U32" s="5"/>
      <c r="V32" s="5"/>
      <c r="W32" s="5"/>
      <c r="X32" s="5"/>
      <c r="Y32" s="5"/>
    </row>
    <row r="33" spans="1:67" ht="18" hidden="1">
      <c r="A33" s="13"/>
      <c r="B33" s="30"/>
      <c r="C33" s="29"/>
      <c r="D33" s="17"/>
      <c r="E33" s="17"/>
      <c r="F33" s="17" t="s">
        <v>249</v>
      </c>
      <c r="G33" s="38">
        <f t="shared" ref="G33:O33" si="6">G32-G31</f>
        <v>-1.3327685730609329E-2</v>
      </c>
      <c r="H33" s="38">
        <f t="shared" si="6"/>
        <v>1.6244038343485756E-2</v>
      </c>
      <c r="I33" s="9">
        <f t="shared" si="6"/>
        <v>0.1166666666666667</v>
      </c>
      <c r="J33" s="9">
        <f t="shared" si="6"/>
        <v>-1.75</v>
      </c>
      <c r="K33" s="9">
        <f t="shared" si="6"/>
        <v>4.9999999999999822E-2</v>
      </c>
      <c r="L33" s="9">
        <f t="shared" si="6"/>
        <v>-5.0000000000000711E-2</v>
      </c>
      <c r="M33" s="9">
        <f t="shared" si="6"/>
        <v>1.6666666666666607E-2</v>
      </c>
      <c r="N33" s="9">
        <f t="shared" si="6"/>
        <v>1.6666666666666607E-2</v>
      </c>
      <c r="O33" s="9">
        <f t="shared" si="6"/>
        <v>5.0000000000000266E-2</v>
      </c>
      <c r="U33" s="5"/>
      <c r="V33" s="5"/>
      <c r="W33" s="5"/>
      <c r="X33" s="5"/>
      <c r="Y33" s="5"/>
    </row>
    <row r="34" spans="1:67" ht="24" customHeight="1">
      <c r="G34" s="32" t="s">
        <v>948</v>
      </c>
      <c r="H34" s="32" t="s">
        <v>7</v>
      </c>
      <c r="I34" s="32" t="s">
        <v>8</v>
      </c>
      <c r="J34" s="32" t="s">
        <v>9</v>
      </c>
      <c r="K34" s="32" t="s">
        <v>944</v>
      </c>
      <c r="L34" s="32" t="s">
        <v>11</v>
      </c>
      <c r="M34" s="32" t="s">
        <v>12</v>
      </c>
      <c r="N34" s="32" t="s">
        <v>13</v>
      </c>
      <c r="O34" s="32" t="s">
        <v>14</v>
      </c>
      <c r="BM34">
        <v>29</v>
      </c>
      <c r="BN34" t="s">
        <v>51</v>
      </c>
      <c r="BO34">
        <v>10.15</v>
      </c>
    </row>
    <row r="35" spans="1:67">
      <c r="A35" s="17"/>
      <c r="B35" s="17"/>
      <c r="C35" s="17"/>
      <c r="D35" s="17"/>
      <c r="E35" s="17"/>
      <c r="F35" t="s">
        <v>954</v>
      </c>
      <c r="G35" s="9" t="e">
        <f t="shared" ref="G35:O35" si="7">G25</f>
        <v>#REF!</v>
      </c>
      <c r="H35" s="9" t="str">
        <f t="shared" si="7"/>
        <v>n/a</v>
      </c>
      <c r="I35" s="9" t="e">
        <f t="shared" si="7"/>
        <v>#REF!</v>
      </c>
      <c r="J35" s="9" t="e">
        <f t="shared" si="7"/>
        <v>#REF!</v>
      </c>
      <c r="K35" s="9" t="e">
        <f t="shared" si="7"/>
        <v>#REF!</v>
      </c>
      <c r="L35" s="9" t="e">
        <f t="shared" si="7"/>
        <v>#REF!</v>
      </c>
      <c r="M35" s="9" t="e">
        <f t="shared" si="7"/>
        <v>#REF!</v>
      </c>
      <c r="N35" s="9" t="e">
        <f t="shared" si="7"/>
        <v>#REF!</v>
      </c>
      <c r="O35" s="9" t="e">
        <f t="shared" si="7"/>
        <v>#REF!</v>
      </c>
      <c r="Q35" s="20"/>
      <c r="U35" s="15"/>
      <c r="V35" s="15"/>
      <c r="W35" s="15"/>
      <c r="X35" s="15"/>
      <c r="Y35" s="15"/>
      <c r="Z35" s="1"/>
      <c r="AA35" s="1"/>
      <c r="AB35" s="1"/>
      <c r="AC35" s="1"/>
      <c r="AD35" s="1"/>
      <c r="AE35" s="1"/>
      <c r="AF35" s="1"/>
      <c r="AG35" s="1"/>
      <c r="AH35" s="1"/>
      <c r="BM35">
        <v>30</v>
      </c>
      <c r="BN35" t="s">
        <v>85</v>
      </c>
      <c r="BO35">
        <v>10.15</v>
      </c>
    </row>
    <row r="36" spans="1:67">
      <c r="B36" s="30"/>
      <c r="C36" s="29"/>
      <c r="D36" s="17"/>
      <c r="E36" s="17"/>
      <c r="F36" s="17" t="s">
        <v>249</v>
      </c>
      <c r="G36" s="9" t="e">
        <f t="shared" ref="G36:O36" si="8">G37-G35</f>
        <v>#REF!</v>
      </c>
      <c r="H36" s="9" t="e">
        <f t="shared" si="8"/>
        <v>#REF!</v>
      </c>
      <c r="I36" s="9" t="e">
        <f t="shared" si="8"/>
        <v>#REF!</v>
      </c>
      <c r="J36" s="9" t="e">
        <f t="shared" si="8"/>
        <v>#REF!</v>
      </c>
      <c r="K36" s="9" t="e">
        <f t="shared" si="8"/>
        <v>#REF!</v>
      </c>
      <c r="L36" s="9" t="e">
        <f t="shared" si="8"/>
        <v>#REF!</v>
      </c>
      <c r="M36" s="9" t="e">
        <f t="shared" si="8"/>
        <v>#REF!</v>
      </c>
      <c r="N36" s="9" t="e">
        <f t="shared" si="8"/>
        <v>#REF!</v>
      </c>
      <c r="O36" s="9" t="e">
        <f t="shared" si="8"/>
        <v>#REF!</v>
      </c>
      <c r="U36" s="5"/>
      <c r="V36" s="5"/>
      <c r="W36" s="5"/>
      <c r="X36" s="5"/>
      <c r="Y36" s="5"/>
      <c r="Z36" s="7"/>
      <c r="AA36" s="7"/>
      <c r="AB36" s="7"/>
      <c r="AC36" s="7"/>
      <c r="AD36" s="7"/>
      <c r="AE36" s="7"/>
      <c r="AF36" s="7"/>
      <c r="AG36" s="7"/>
      <c r="AH36" s="7"/>
      <c r="BM36">
        <v>31</v>
      </c>
      <c r="BN36" t="s">
        <v>86</v>
      </c>
      <c r="BO36">
        <v>10.15</v>
      </c>
    </row>
    <row r="37" spans="1:67">
      <c r="F37" s="17" t="s">
        <v>953</v>
      </c>
      <c r="G37" s="37" t="e">
        <f>((SUM(B1:B15,B30)/SUM(C1:C15,C30))-W4)/#REF!*SQRT(SUM(C1:C15,C30)/(COUNT(C1:C15,C30)*T4))</f>
        <v>#REF!</v>
      </c>
      <c r="H37" s="37" t="e">
        <f>((SUM(D1:D15,D30)/SUM(E1:E15,E30)-X4)/#REF!)*SQRT(SUM(E1:E15,E30)/(COUNT(E1:E15,E30)*V4))</f>
        <v>#REF!</v>
      </c>
      <c r="I37" s="9" t="e">
        <f>(AVERAGE(I3:I20,I30)-Y4)/#REF!</f>
        <v>#REF!</v>
      </c>
      <c r="J37" s="9" t="e">
        <f>(AVERAGE(J3:J20,J30)-Z4)/#REF!</f>
        <v>#REF!</v>
      </c>
      <c r="K37" s="9" t="e">
        <f>(AVERAGE(K3:K20,K30)-AA4)/#REF!</f>
        <v>#REF!</v>
      </c>
      <c r="L37" s="9" t="e">
        <f>(AVERAGE(L3:L20,L30)-AB4)/#REF!</f>
        <v>#REF!</v>
      </c>
      <c r="M37" s="9" t="e">
        <f>(AVERAGE(M3:M20,M30)-AC4)/#REF!</f>
        <v>#REF!</v>
      </c>
      <c r="N37" s="9" t="e">
        <f>(AVERAGE(N3:N20,N30)-AD4)/#REF!</f>
        <v>#REF!</v>
      </c>
      <c r="O37" s="9" t="e">
        <f>(AVERAGE(O3:O20,O30)-AE4)/#REF!*-1</f>
        <v>#REF!</v>
      </c>
      <c r="U37" s="5"/>
      <c r="V37" s="5"/>
      <c r="W37" s="5"/>
      <c r="X37" s="5"/>
      <c r="Y37" s="5"/>
      <c r="Z37" s="7"/>
      <c r="AA37" s="7"/>
      <c r="AB37" s="7"/>
      <c r="AC37" s="7"/>
      <c r="AD37" s="7"/>
      <c r="AE37" s="7"/>
      <c r="AF37" s="7"/>
      <c r="AG37" s="7"/>
      <c r="AH37" s="7"/>
      <c r="BM37">
        <v>32</v>
      </c>
      <c r="BN37" t="s">
        <v>97</v>
      </c>
      <c r="BO37">
        <v>10.15</v>
      </c>
    </row>
    <row r="38" spans="1:67">
      <c r="U38" s="5"/>
      <c r="V38" s="5"/>
      <c r="W38" s="5"/>
      <c r="X38" s="5"/>
      <c r="Y38" s="5"/>
      <c r="Z38" s="7"/>
      <c r="AA38" s="7"/>
      <c r="AB38" s="7"/>
      <c r="AC38" s="7"/>
      <c r="AD38" s="7"/>
      <c r="AE38" s="7"/>
      <c r="AF38" s="7"/>
      <c r="AG38" s="7"/>
      <c r="AH38" s="7"/>
      <c r="BM38">
        <v>33</v>
      </c>
      <c r="BN38" t="s">
        <v>56</v>
      </c>
      <c r="BO38">
        <v>10.15</v>
      </c>
    </row>
    <row r="39" spans="1:67">
      <c r="G39" s="9"/>
      <c r="H39" s="9"/>
      <c r="I39" s="9"/>
      <c r="J39" s="9"/>
      <c r="K39" s="9"/>
      <c r="L39" s="9"/>
      <c r="M39" s="9"/>
      <c r="N39" s="9"/>
      <c r="O39" s="9"/>
      <c r="U39" s="5"/>
      <c r="V39" s="5"/>
      <c r="W39" s="5"/>
      <c r="X39" s="5"/>
      <c r="Y39" s="5"/>
      <c r="Z39" s="7"/>
      <c r="AA39" s="7"/>
      <c r="AB39" s="7"/>
      <c r="AC39" s="7"/>
      <c r="AD39" s="7"/>
      <c r="AE39" s="7"/>
      <c r="AF39" s="7"/>
      <c r="AG39" s="7"/>
      <c r="AH39" s="7"/>
      <c r="BM39">
        <v>34</v>
      </c>
      <c r="BN39" t="s">
        <v>168</v>
      </c>
      <c r="BO39">
        <v>10.15</v>
      </c>
    </row>
    <row r="40" spans="1:67">
      <c r="G40" s="9"/>
      <c r="H40" s="9"/>
      <c r="I40" s="9"/>
      <c r="J40" s="9"/>
      <c r="K40" s="9"/>
      <c r="L40" s="9"/>
      <c r="M40" s="9"/>
      <c r="N40" s="9"/>
      <c r="O40" s="9"/>
      <c r="Q40" s="20"/>
      <c r="U40" s="5"/>
      <c r="V40" s="5"/>
      <c r="W40" s="5"/>
      <c r="X40" s="5"/>
      <c r="Y40" s="5"/>
      <c r="Z40" s="7"/>
      <c r="AA40" s="7"/>
      <c r="AB40" s="7"/>
      <c r="AC40" s="7"/>
      <c r="AD40" s="7"/>
      <c r="AE40" s="7"/>
      <c r="AF40" s="7"/>
      <c r="AG40" s="7"/>
      <c r="AH40" s="7"/>
      <c r="BM40">
        <v>35</v>
      </c>
      <c r="BN40" t="s">
        <v>96</v>
      </c>
      <c r="BO40">
        <v>10.15</v>
      </c>
    </row>
    <row r="41" spans="1:67">
      <c r="G41" s="9"/>
      <c r="H41" s="9"/>
      <c r="I41" s="9"/>
      <c r="J41" s="9"/>
      <c r="K41" s="9"/>
      <c r="L41" s="9"/>
      <c r="M41" s="9"/>
      <c r="N41" s="9"/>
      <c r="O41" s="9"/>
      <c r="U41" s="5"/>
      <c r="V41" s="5"/>
      <c r="W41" s="5"/>
      <c r="X41" s="5"/>
      <c r="Y41" s="5"/>
      <c r="Z41" s="7"/>
      <c r="AA41" s="7"/>
      <c r="AB41" s="7"/>
      <c r="AC41" s="7"/>
      <c r="AD41" s="7"/>
      <c r="AE41" s="7"/>
      <c r="AF41" s="7"/>
      <c r="AG41" s="7"/>
      <c r="AH41" s="7"/>
      <c r="BM41">
        <v>36</v>
      </c>
      <c r="BN41" t="s">
        <v>87</v>
      </c>
      <c r="BO41">
        <v>10.15</v>
      </c>
    </row>
    <row r="42" spans="1:67">
      <c r="G42" s="9"/>
      <c r="H42" s="9"/>
      <c r="I42" s="9"/>
      <c r="J42" s="9"/>
      <c r="K42" s="9"/>
      <c r="L42" s="9"/>
      <c r="M42" s="9"/>
      <c r="N42" s="9"/>
      <c r="O42" s="9"/>
      <c r="U42" s="5"/>
      <c r="V42" s="5"/>
      <c r="W42" s="5"/>
      <c r="X42" s="5"/>
      <c r="Y42" s="5"/>
      <c r="Z42" s="7"/>
      <c r="AA42" s="7"/>
      <c r="AB42" s="7"/>
      <c r="AC42" s="7"/>
      <c r="AD42" s="7"/>
      <c r="AE42" s="7"/>
      <c r="AF42" s="7"/>
      <c r="AG42" s="7"/>
      <c r="AH42" s="7"/>
      <c r="BM42">
        <v>37</v>
      </c>
      <c r="BN42" t="s">
        <v>70</v>
      </c>
      <c r="BO42">
        <v>10.15</v>
      </c>
    </row>
    <row r="43" spans="1:67">
      <c r="G43" s="9"/>
      <c r="H43" s="9"/>
      <c r="I43" s="9"/>
      <c r="J43" s="9"/>
      <c r="K43" s="9"/>
      <c r="L43" s="9"/>
      <c r="M43" s="9"/>
      <c r="N43" s="9"/>
      <c r="O43" s="9"/>
      <c r="Q43" s="20"/>
      <c r="U43" s="5"/>
      <c r="V43" s="5"/>
      <c r="W43" s="5"/>
      <c r="X43" s="5"/>
      <c r="Y43" s="5"/>
      <c r="Z43" s="7"/>
      <c r="AA43" s="7"/>
      <c r="AB43" s="7"/>
      <c r="AC43" s="7"/>
      <c r="AD43" s="7"/>
      <c r="AE43" s="7"/>
      <c r="AF43" s="7"/>
      <c r="AG43" s="7"/>
      <c r="AH43" s="7"/>
      <c r="BM43">
        <v>38</v>
      </c>
      <c r="BN43" t="s">
        <v>81</v>
      </c>
      <c r="BO43">
        <v>10.15</v>
      </c>
    </row>
    <row r="44" spans="1:67">
      <c r="G44" s="9"/>
      <c r="H44" s="9"/>
      <c r="I44" s="9"/>
      <c r="J44" s="9"/>
      <c r="K44" s="9"/>
      <c r="L44" s="9"/>
      <c r="M44" s="9"/>
      <c r="N44" s="9"/>
      <c r="O44" s="9"/>
      <c r="Q44" s="20"/>
      <c r="U44" s="5"/>
      <c r="V44" s="5"/>
      <c r="W44" s="5"/>
      <c r="X44" s="5"/>
      <c r="Y44" s="5"/>
      <c r="Z44" s="7"/>
      <c r="AA44" s="7"/>
      <c r="AB44" s="7"/>
      <c r="AC44" s="7"/>
      <c r="AD44" s="7"/>
      <c r="AE44" s="7"/>
      <c r="AF44" s="7"/>
      <c r="AG44" s="7"/>
      <c r="AH44" s="7"/>
      <c r="BM44">
        <v>39</v>
      </c>
      <c r="BN44" t="s">
        <v>118</v>
      </c>
      <c r="BO44">
        <v>10.15</v>
      </c>
    </row>
    <row r="45" spans="1:67">
      <c r="G45" s="9"/>
      <c r="H45" s="9"/>
      <c r="I45" s="9"/>
      <c r="J45" s="9"/>
      <c r="K45" s="9"/>
      <c r="L45" s="9"/>
      <c r="M45" s="9"/>
      <c r="N45" s="9"/>
      <c r="O45" s="9"/>
      <c r="Q45" s="20"/>
      <c r="U45" s="5"/>
      <c r="V45" s="5"/>
      <c r="W45" s="5"/>
      <c r="X45" s="5"/>
      <c r="Y45" s="5"/>
      <c r="Z45" s="7"/>
      <c r="AA45" s="7"/>
      <c r="AB45" s="7"/>
      <c r="AC45" s="7"/>
      <c r="AD45" s="7"/>
      <c r="AE45" s="7"/>
      <c r="AF45" s="7"/>
      <c r="AG45" s="7"/>
      <c r="AH45" s="7"/>
      <c r="BM45">
        <v>40</v>
      </c>
      <c r="BN45" t="s">
        <v>93</v>
      </c>
      <c r="BO45">
        <v>10.15</v>
      </c>
    </row>
    <row r="46" spans="1:67">
      <c r="G46" s="9"/>
      <c r="H46" s="9"/>
      <c r="I46" s="9"/>
      <c r="J46" s="9"/>
      <c r="K46" s="9"/>
      <c r="L46" s="9"/>
      <c r="M46" s="9"/>
      <c r="N46" s="9"/>
      <c r="O46" s="9"/>
      <c r="U46" s="5"/>
      <c r="V46" s="5"/>
      <c r="W46" s="5"/>
      <c r="X46" s="5"/>
      <c r="Y46" s="5"/>
      <c r="Z46" s="7"/>
      <c r="AA46" s="7"/>
      <c r="AB46" s="7"/>
      <c r="AC46" s="7"/>
      <c r="AD46" s="7"/>
      <c r="AE46" s="7"/>
      <c r="AF46" s="7"/>
      <c r="AG46" s="7"/>
      <c r="AH46" s="7"/>
      <c r="BM46">
        <v>41</v>
      </c>
      <c r="BN46" t="s">
        <v>159</v>
      </c>
      <c r="BO46">
        <v>10.15</v>
      </c>
    </row>
    <row r="47" spans="1:67">
      <c r="G47" s="7"/>
      <c r="H47" s="7"/>
      <c r="I47" s="7"/>
      <c r="J47" s="7"/>
      <c r="K47" s="7"/>
      <c r="L47" s="7"/>
      <c r="M47" s="7"/>
      <c r="N47" s="7"/>
      <c r="O47" s="7"/>
      <c r="U47" s="5"/>
      <c r="V47" s="5"/>
      <c r="W47" s="5"/>
      <c r="X47" s="5"/>
      <c r="Y47" s="5"/>
      <c r="Z47" s="7"/>
      <c r="AA47" s="7"/>
      <c r="AB47" s="7"/>
      <c r="AC47" s="7"/>
      <c r="AD47" s="7"/>
      <c r="AE47" s="7"/>
      <c r="AF47" s="7"/>
      <c r="AG47" s="7"/>
      <c r="AH47" s="7"/>
      <c r="BM47">
        <v>42</v>
      </c>
      <c r="BN47" t="s">
        <v>128</v>
      </c>
      <c r="BO47">
        <v>10.15</v>
      </c>
    </row>
    <row r="48" spans="1:67">
      <c r="G48" s="7"/>
      <c r="H48" s="7"/>
      <c r="I48" s="7"/>
      <c r="J48" s="7"/>
      <c r="K48" s="7"/>
      <c r="L48" s="7"/>
      <c r="M48" s="7"/>
      <c r="N48" s="7"/>
      <c r="O48" s="7"/>
      <c r="Z48" s="7"/>
      <c r="AA48" s="7"/>
      <c r="AB48" s="7"/>
      <c r="AC48" s="7"/>
      <c r="AD48" s="7"/>
      <c r="AE48" s="7"/>
      <c r="AF48" s="7"/>
      <c r="AG48" s="7"/>
      <c r="AH48" s="7"/>
      <c r="BM48">
        <v>43</v>
      </c>
      <c r="BN48" t="s">
        <v>78</v>
      </c>
      <c r="BO48">
        <v>10.15</v>
      </c>
    </row>
    <row r="49" spans="1:67">
      <c r="G49" s="7"/>
      <c r="H49" s="7"/>
      <c r="I49" s="7"/>
      <c r="J49" s="7"/>
      <c r="K49" s="7"/>
      <c r="L49" s="7"/>
      <c r="M49" s="7"/>
      <c r="N49" s="7"/>
      <c r="O49" s="7"/>
      <c r="Q49" s="20"/>
      <c r="U49" s="15"/>
      <c r="V49" s="15"/>
      <c r="W49" s="15"/>
      <c r="X49" s="15"/>
      <c r="Y49" s="15"/>
      <c r="Z49" s="1"/>
      <c r="AA49" s="1"/>
      <c r="AB49" s="1"/>
      <c r="AC49" s="1"/>
      <c r="AD49" s="1"/>
      <c r="AE49" s="1"/>
      <c r="AF49" s="1"/>
      <c r="AG49" s="1"/>
      <c r="AH49" s="1"/>
      <c r="BM49">
        <v>44</v>
      </c>
      <c r="BN49" t="s">
        <v>102</v>
      </c>
      <c r="BO49">
        <v>10.15</v>
      </c>
    </row>
    <row r="50" spans="1:67">
      <c r="G50" s="7"/>
      <c r="H50" s="7"/>
      <c r="I50" s="7"/>
      <c r="J50" s="7"/>
      <c r="K50" s="7"/>
      <c r="L50" s="7"/>
      <c r="M50" s="7"/>
      <c r="N50" s="7"/>
      <c r="O50" s="7"/>
      <c r="U50" s="5"/>
      <c r="V50" s="5"/>
      <c r="W50" s="5"/>
      <c r="X50" s="5"/>
      <c r="Y50" s="5"/>
      <c r="Z50" s="7"/>
      <c r="AA50" s="7"/>
      <c r="AB50" s="7"/>
      <c r="AC50" s="7"/>
      <c r="AD50" s="7"/>
      <c r="AE50" s="7"/>
      <c r="AF50" s="7"/>
      <c r="AG50" s="7"/>
      <c r="AH50" s="7"/>
      <c r="BM50">
        <v>45</v>
      </c>
      <c r="BN50" t="s">
        <v>76</v>
      </c>
      <c r="BO50">
        <v>10.15</v>
      </c>
    </row>
    <row r="51" spans="1:67">
      <c r="G51" s="7"/>
      <c r="H51" s="7"/>
      <c r="I51" s="7"/>
      <c r="J51" s="7"/>
      <c r="K51" s="7"/>
      <c r="L51" s="7"/>
      <c r="M51" s="7"/>
      <c r="N51" s="7"/>
      <c r="O51" s="7"/>
      <c r="U51" s="5"/>
      <c r="V51" s="5"/>
      <c r="W51" s="5"/>
      <c r="X51" s="5"/>
      <c r="Y51" s="5"/>
      <c r="Z51" s="7"/>
      <c r="AA51" s="7"/>
      <c r="AB51" s="7"/>
      <c r="AC51" s="7"/>
      <c r="AD51" s="7"/>
      <c r="AE51" s="7"/>
      <c r="AF51" s="7"/>
      <c r="AG51" s="7"/>
      <c r="AH51" s="7"/>
      <c r="BM51">
        <v>46</v>
      </c>
      <c r="BN51" t="s">
        <v>37</v>
      </c>
      <c r="BO51">
        <v>10.15</v>
      </c>
    </row>
    <row r="52" spans="1:67">
      <c r="G52" s="7"/>
      <c r="H52" s="7"/>
      <c r="I52" s="7"/>
      <c r="J52" s="7"/>
      <c r="K52" s="7"/>
      <c r="L52" s="7"/>
      <c r="M52" s="7"/>
      <c r="N52" s="7"/>
      <c r="O52" s="7"/>
      <c r="U52" s="5"/>
      <c r="V52" s="5"/>
      <c r="W52" s="5"/>
      <c r="X52" s="5"/>
      <c r="Y52" s="5"/>
      <c r="Z52" s="7"/>
      <c r="AA52" s="7"/>
      <c r="AB52" s="7"/>
      <c r="AC52" s="7"/>
      <c r="AD52" s="7"/>
      <c r="AE52" s="7"/>
      <c r="AF52" s="7"/>
      <c r="AG52" s="7"/>
      <c r="AH52" s="7"/>
      <c r="BM52">
        <v>47</v>
      </c>
      <c r="BN52" t="s">
        <v>148</v>
      </c>
      <c r="BO52">
        <v>10.15</v>
      </c>
    </row>
    <row r="53" spans="1:67">
      <c r="G53" s="7"/>
      <c r="H53" s="7"/>
      <c r="I53" s="7"/>
      <c r="J53" s="7"/>
      <c r="K53" s="7"/>
      <c r="L53" s="7"/>
      <c r="M53" s="7"/>
      <c r="N53" s="7"/>
      <c r="O53" s="7"/>
      <c r="Q53" s="20"/>
      <c r="U53" s="5"/>
      <c r="V53" s="5"/>
      <c r="W53" s="5"/>
      <c r="X53" s="5"/>
      <c r="Y53" s="5"/>
      <c r="Z53" s="7"/>
      <c r="AA53" s="7"/>
      <c r="AB53" s="7"/>
      <c r="AC53" s="7"/>
      <c r="AD53" s="7"/>
      <c r="AE53" s="7"/>
      <c r="AF53" s="7"/>
      <c r="AG53" s="7"/>
      <c r="AH53" s="7"/>
      <c r="BM53">
        <v>48</v>
      </c>
      <c r="BN53" t="s">
        <v>99</v>
      </c>
      <c r="BO53">
        <v>10.15</v>
      </c>
    </row>
    <row r="54" spans="1:67">
      <c r="U54" s="5"/>
      <c r="V54" s="5"/>
      <c r="W54" s="5"/>
      <c r="X54" s="5"/>
      <c r="Y54" s="5"/>
      <c r="Z54" s="7"/>
      <c r="AA54" s="7"/>
      <c r="AB54" s="7"/>
      <c r="AC54" s="7"/>
      <c r="AD54" s="7"/>
      <c r="AE54" s="7"/>
      <c r="AF54" s="7"/>
      <c r="AG54" s="7"/>
      <c r="AH54" s="7"/>
      <c r="BM54">
        <v>49</v>
      </c>
      <c r="BN54" t="s">
        <v>111</v>
      </c>
      <c r="BO54">
        <v>10.15</v>
      </c>
    </row>
    <row r="55" spans="1:67">
      <c r="U55" s="5"/>
      <c r="V55" s="5"/>
      <c r="W55" s="5"/>
      <c r="X55" s="5"/>
      <c r="Y55" s="5"/>
      <c r="Z55" s="7"/>
      <c r="AA55" s="7"/>
      <c r="AB55" s="7"/>
      <c r="AC55" s="7"/>
      <c r="AD55" s="7"/>
      <c r="AE55" s="7"/>
      <c r="AF55" s="7"/>
      <c r="AG55" s="7"/>
      <c r="AH55" s="7"/>
      <c r="BM55">
        <v>50</v>
      </c>
      <c r="BN55" t="s">
        <v>89</v>
      </c>
      <c r="BO55">
        <v>10.15</v>
      </c>
    </row>
    <row r="56" spans="1:67">
      <c r="G56" s="12"/>
      <c r="H56" s="12"/>
      <c r="I56" s="12"/>
      <c r="J56" s="12"/>
      <c r="K56" s="12"/>
      <c r="L56" s="12"/>
      <c r="M56" s="12"/>
      <c r="N56" s="12"/>
      <c r="O56" s="12"/>
      <c r="P56" s="7"/>
      <c r="U56" s="5"/>
      <c r="V56" s="5"/>
      <c r="W56" s="5"/>
      <c r="X56" s="5"/>
      <c r="Y56" s="5"/>
      <c r="Z56" s="7"/>
      <c r="AA56" s="7"/>
      <c r="AB56" s="7"/>
      <c r="AC56" s="7"/>
      <c r="AD56" s="7"/>
      <c r="AE56" s="7"/>
      <c r="AF56" s="7"/>
      <c r="AG56" s="7"/>
      <c r="AH56" s="7"/>
      <c r="BM56">
        <v>51</v>
      </c>
      <c r="BN56" t="s">
        <v>133</v>
      </c>
      <c r="BO56">
        <v>10.15</v>
      </c>
    </row>
    <row r="57" spans="1:67">
      <c r="G57" s="7"/>
      <c r="H57" s="7"/>
      <c r="I57" s="7"/>
      <c r="J57" s="7"/>
      <c r="K57" s="7"/>
      <c r="L57" s="7"/>
      <c r="M57" s="7"/>
      <c r="N57" s="7"/>
      <c r="O57" s="7"/>
      <c r="P57" s="7"/>
      <c r="U57" s="5"/>
      <c r="V57" s="5"/>
      <c r="W57" s="5"/>
      <c r="X57" s="5"/>
      <c r="Y57" s="5"/>
      <c r="Z57" s="7"/>
      <c r="AA57" s="7"/>
      <c r="AB57" s="7"/>
      <c r="AC57" s="7"/>
      <c r="AD57" s="7"/>
      <c r="AE57" s="7"/>
      <c r="AF57" s="7"/>
      <c r="AG57" s="7"/>
      <c r="AH57" s="7"/>
      <c r="BM57">
        <v>52</v>
      </c>
      <c r="BN57" t="s">
        <v>101</v>
      </c>
      <c r="BO57">
        <v>10.15</v>
      </c>
    </row>
    <row r="58" spans="1:67">
      <c r="U58" s="5"/>
      <c r="V58" s="5"/>
      <c r="W58" s="5"/>
      <c r="X58" s="5"/>
      <c r="Y58" s="5"/>
      <c r="Z58" s="7"/>
      <c r="AA58" s="7"/>
      <c r="AB58" s="7"/>
      <c r="AC58" s="7"/>
      <c r="AD58" s="7"/>
      <c r="AE58" s="7"/>
      <c r="AF58" s="7"/>
      <c r="AG58" s="7"/>
      <c r="AH58" s="7"/>
      <c r="BM58">
        <v>53</v>
      </c>
      <c r="BN58" t="s">
        <v>122</v>
      </c>
      <c r="BO58">
        <v>10.15</v>
      </c>
    </row>
    <row r="59" spans="1:67">
      <c r="U59" s="5"/>
      <c r="V59" s="5"/>
      <c r="W59" s="5"/>
      <c r="X59" s="5"/>
      <c r="Y59" s="5"/>
      <c r="Z59" s="7"/>
      <c r="AA59" s="7"/>
      <c r="AB59" s="7"/>
      <c r="AC59" s="7"/>
      <c r="AD59" s="7"/>
      <c r="AE59" s="7"/>
      <c r="AF59" s="7"/>
      <c r="AG59" s="7"/>
      <c r="AH59" s="7"/>
      <c r="BM59">
        <v>54</v>
      </c>
      <c r="BN59" t="s">
        <v>119</v>
      </c>
      <c r="BO59">
        <v>10.15</v>
      </c>
    </row>
    <row r="60" spans="1:67">
      <c r="U60" s="5"/>
      <c r="V60" s="5"/>
      <c r="W60" s="5"/>
      <c r="X60" s="5"/>
      <c r="Y60" s="5"/>
      <c r="Z60" s="7"/>
      <c r="AA60" s="7"/>
      <c r="AB60" s="7"/>
      <c r="AC60" s="7"/>
      <c r="AD60" s="7"/>
      <c r="AE60" s="7"/>
      <c r="AF60" s="7"/>
      <c r="AG60" s="7"/>
      <c r="AH60" s="7"/>
      <c r="BM60">
        <v>55</v>
      </c>
      <c r="BN60" t="s">
        <v>103</v>
      </c>
      <c r="BO60">
        <v>10.15</v>
      </c>
    </row>
    <row r="61" spans="1:67">
      <c r="Z61" s="7"/>
      <c r="AA61" s="7"/>
      <c r="AB61" s="7"/>
      <c r="AC61" s="7"/>
      <c r="AD61" s="7"/>
      <c r="AE61" s="7"/>
      <c r="AF61" s="7"/>
      <c r="AG61" s="7"/>
      <c r="AH61" s="7"/>
      <c r="BM61">
        <v>56</v>
      </c>
      <c r="BN61" t="s">
        <v>84</v>
      </c>
      <c r="BO61">
        <v>10.15</v>
      </c>
    </row>
    <row r="62" spans="1:67">
      <c r="G62" s="1"/>
      <c r="H62" s="1"/>
      <c r="I62" s="1"/>
      <c r="J62" s="1"/>
      <c r="K62" s="1"/>
      <c r="L62" s="1"/>
      <c r="M62" s="1"/>
      <c r="N62" s="1"/>
      <c r="O62" s="1"/>
      <c r="Q62" s="20"/>
      <c r="U62" s="15"/>
      <c r="V62" s="15"/>
      <c r="W62" s="15"/>
      <c r="X62" s="15"/>
      <c r="Y62" s="15"/>
      <c r="Z62" s="1"/>
      <c r="AA62" s="1"/>
      <c r="AB62" s="1"/>
      <c r="AC62" s="1"/>
      <c r="AD62" s="1"/>
      <c r="AE62" s="1"/>
      <c r="AF62" s="1"/>
      <c r="AG62" s="1"/>
      <c r="AH62" s="1"/>
      <c r="BM62">
        <v>57</v>
      </c>
      <c r="BN62" t="s">
        <v>80</v>
      </c>
      <c r="BO62">
        <v>10.15</v>
      </c>
    </row>
    <row r="63" spans="1:67">
      <c r="A63" s="17"/>
      <c r="B63" s="17"/>
      <c r="C63" s="17"/>
      <c r="D63" s="17"/>
      <c r="E63" s="17"/>
      <c r="F63" s="17"/>
      <c r="G63" s="9"/>
      <c r="H63" s="9"/>
      <c r="I63" s="9"/>
      <c r="J63" s="9"/>
      <c r="K63" s="9"/>
      <c r="L63" s="9"/>
      <c r="M63" s="9"/>
      <c r="N63" s="9"/>
      <c r="O63" s="9"/>
      <c r="U63" s="5"/>
      <c r="V63" s="5"/>
      <c r="W63" s="5"/>
      <c r="X63" s="5"/>
      <c r="Y63" s="5"/>
      <c r="Z63" s="7"/>
      <c r="AA63" s="7"/>
      <c r="AB63" s="7"/>
      <c r="AC63" s="7"/>
      <c r="AD63" s="7"/>
      <c r="AE63" s="7"/>
      <c r="AF63" s="7"/>
      <c r="AG63" s="7"/>
      <c r="AH63" s="7"/>
      <c r="BM63">
        <v>58</v>
      </c>
      <c r="BN63" t="s">
        <v>107</v>
      </c>
      <c r="BO63">
        <v>10.15</v>
      </c>
    </row>
    <row r="64" spans="1:67">
      <c r="G64" s="9"/>
      <c r="H64" s="9"/>
      <c r="I64" s="9"/>
      <c r="J64" s="9"/>
      <c r="K64" s="9"/>
      <c r="L64" s="9"/>
      <c r="M64" s="9"/>
      <c r="N64" s="9"/>
      <c r="O64" s="9"/>
      <c r="U64" s="5"/>
      <c r="V64" s="5"/>
      <c r="W64" s="5"/>
      <c r="X64" s="5"/>
      <c r="Y64" s="5"/>
      <c r="Z64" s="7"/>
      <c r="AA64" s="7"/>
      <c r="AB64" s="7"/>
      <c r="AC64" s="7"/>
      <c r="AD64" s="7"/>
      <c r="AE64" s="7"/>
      <c r="AF64" s="7"/>
      <c r="AG64" s="7"/>
      <c r="AH64" s="7"/>
      <c r="BM64">
        <v>59</v>
      </c>
      <c r="BN64" t="s">
        <v>124</v>
      </c>
      <c r="BO64">
        <v>10.15</v>
      </c>
    </row>
    <row r="65" spans="7:67">
      <c r="G65" s="9"/>
      <c r="H65" s="9"/>
      <c r="I65" s="9"/>
      <c r="J65" s="9"/>
      <c r="K65" s="9"/>
      <c r="L65" s="9"/>
      <c r="M65" s="9"/>
      <c r="N65" s="9"/>
      <c r="O65" s="9"/>
      <c r="U65" s="5"/>
      <c r="V65" s="5"/>
      <c r="W65" s="5"/>
      <c r="X65" s="5"/>
      <c r="Y65" s="5"/>
      <c r="Z65" s="7"/>
      <c r="AA65" s="7"/>
      <c r="AB65" s="7"/>
      <c r="AC65" s="7"/>
      <c r="AD65" s="7"/>
      <c r="AE65" s="7"/>
      <c r="AF65" s="7"/>
      <c r="AG65" s="7"/>
      <c r="AH65" s="7"/>
      <c r="BM65">
        <v>60</v>
      </c>
      <c r="BN65" t="s">
        <v>110</v>
      </c>
      <c r="BO65">
        <v>10.15</v>
      </c>
    </row>
    <row r="66" spans="7:67">
      <c r="G66" s="9"/>
      <c r="H66" s="9"/>
      <c r="I66" s="9"/>
      <c r="J66" s="9"/>
      <c r="K66" s="9"/>
      <c r="L66" s="9"/>
      <c r="M66" s="9"/>
      <c r="N66" s="9"/>
      <c r="O66" s="9"/>
      <c r="U66" s="5"/>
      <c r="V66" s="5"/>
      <c r="W66" s="5"/>
      <c r="X66" s="5"/>
      <c r="Y66" s="5"/>
      <c r="Z66" s="7"/>
      <c r="AA66" s="7"/>
      <c r="AB66" s="7"/>
      <c r="AC66" s="7"/>
      <c r="AD66" s="7"/>
      <c r="AE66" s="7"/>
      <c r="AF66" s="7"/>
      <c r="AG66" s="7"/>
      <c r="AH66" s="7"/>
      <c r="BM66">
        <v>61</v>
      </c>
      <c r="BN66" t="s">
        <v>171</v>
      </c>
      <c r="BO66">
        <v>10.15</v>
      </c>
    </row>
    <row r="67" spans="7:67">
      <c r="G67" s="9"/>
      <c r="H67" s="9"/>
      <c r="I67" s="9"/>
      <c r="J67" s="9"/>
      <c r="K67" s="9"/>
      <c r="L67" s="9"/>
      <c r="M67" s="9"/>
      <c r="N67" s="9"/>
      <c r="O67" s="9"/>
      <c r="U67" s="5"/>
      <c r="V67" s="5"/>
      <c r="W67" s="5"/>
      <c r="X67" s="5"/>
      <c r="Y67" s="5"/>
      <c r="Z67" s="7"/>
      <c r="AA67" s="7"/>
      <c r="AB67" s="7"/>
      <c r="AC67" s="7"/>
      <c r="AD67" s="7"/>
      <c r="AE67" s="7"/>
      <c r="AF67" s="7"/>
      <c r="AG67" s="7"/>
      <c r="AH67" s="7"/>
      <c r="BM67">
        <v>62</v>
      </c>
      <c r="BN67" t="s">
        <v>137</v>
      </c>
      <c r="BO67">
        <v>10.15</v>
      </c>
    </row>
    <row r="68" spans="7:67">
      <c r="G68" s="9"/>
      <c r="H68" s="9"/>
      <c r="I68" s="9"/>
      <c r="J68" s="9"/>
      <c r="K68" s="9"/>
      <c r="L68" s="9"/>
      <c r="M68" s="9"/>
      <c r="N68" s="9"/>
      <c r="O68" s="9"/>
      <c r="U68" s="5"/>
      <c r="V68" s="5"/>
      <c r="W68" s="5"/>
      <c r="X68" s="5"/>
      <c r="Y68" s="5"/>
      <c r="Z68" s="7"/>
      <c r="AA68" s="7"/>
      <c r="AB68" s="7"/>
      <c r="AC68" s="7"/>
      <c r="AD68" s="7"/>
      <c r="AE68" s="7"/>
      <c r="AF68" s="7"/>
      <c r="AG68" s="7"/>
      <c r="AH68" s="7"/>
      <c r="BM68">
        <v>63</v>
      </c>
      <c r="BN68" t="s">
        <v>409</v>
      </c>
      <c r="BO68">
        <v>10.15</v>
      </c>
    </row>
    <row r="69" spans="7:67">
      <c r="G69" s="9"/>
      <c r="H69" s="9"/>
      <c r="I69" s="9"/>
      <c r="J69" s="9"/>
      <c r="K69" s="9"/>
      <c r="L69" s="9"/>
      <c r="M69" s="9"/>
      <c r="N69" s="9"/>
      <c r="O69" s="9"/>
      <c r="U69" s="5"/>
      <c r="V69" s="5"/>
      <c r="W69" s="5"/>
      <c r="X69" s="5"/>
      <c r="Y69" s="5"/>
      <c r="Z69" s="7"/>
      <c r="AA69" s="7"/>
      <c r="AB69" s="7"/>
      <c r="AC69" s="7"/>
      <c r="AD69" s="7"/>
      <c r="AE69" s="7"/>
      <c r="AF69" s="7"/>
      <c r="AG69" s="7"/>
      <c r="AH69" s="7"/>
      <c r="BM69">
        <v>64</v>
      </c>
      <c r="BN69" t="s">
        <v>88</v>
      </c>
      <c r="BO69">
        <v>10.15</v>
      </c>
    </row>
    <row r="70" spans="7:67">
      <c r="G70" s="9"/>
      <c r="H70" s="9"/>
      <c r="I70" s="9"/>
      <c r="J70" s="9"/>
      <c r="K70" s="9"/>
      <c r="L70" s="9"/>
      <c r="M70" s="9"/>
      <c r="N70" s="9"/>
      <c r="O70" s="9"/>
      <c r="Q70" s="20"/>
      <c r="U70" s="5"/>
      <c r="V70" s="5"/>
      <c r="W70" s="5"/>
      <c r="X70" s="5"/>
      <c r="Y70" s="5"/>
      <c r="Z70" s="7"/>
      <c r="AA70" s="7"/>
      <c r="AB70" s="7"/>
      <c r="AC70" s="7"/>
      <c r="AD70" s="7"/>
      <c r="AE70" s="7"/>
      <c r="AF70" s="7"/>
      <c r="AG70" s="7"/>
      <c r="AH70" s="7"/>
      <c r="BM70">
        <v>65</v>
      </c>
      <c r="BN70" t="s">
        <v>104</v>
      </c>
      <c r="BO70">
        <v>10.15</v>
      </c>
    </row>
    <row r="71" spans="7:67">
      <c r="G71" s="9"/>
      <c r="H71" s="9"/>
      <c r="I71" s="9"/>
      <c r="J71" s="9"/>
      <c r="K71" s="9"/>
      <c r="L71" s="9"/>
      <c r="M71" s="9"/>
      <c r="N71" s="9"/>
      <c r="O71" s="9"/>
      <c r="U71" s="5"/>
      <c r="V71" s="5"/>
      <c r="W71" s="5"/>
      <c r="X71" s="5"/>
      <c r="Y71" s="5"/>
      <c r="Z71" s="7"/>
      <c r="AA71" s="7"/>
      <c r="AB71" s="7"/>
      <c r="AC71" s="7"/>
      <c r="AD71" s="7"/>
      <c r="AE71" s="7"/>
      <c r="AF71" s="7"/>
      <c r="AG71" s="7"/>
      <c r="AH71" s="7"/>
      <c r="BM71">
        <v>66</v>
      </c>
      <c r="BN71" t="s">
        <v>126</v>
      </c>
      <c r="BO71">
        <v>10.15</v>
      </c>
    </row>
    <row r="72" spans="7:67">
      <c r="G72" s="9"/>
      <c r="H72" s="9"/>
      <c r="I72" s="9"/>
      <c r="J72" s="9"/>
      <c r="K72" s="9"/>
      <c r="L72" s="9"/>
      <c r="M72" s="9"/>
      <c r="N72" s="9"/>
      <c r="O72" s="9"/>
      <c r="U72" s="5"/>
      <c r="V72" s="5"/>
      <c r="W72" s="5"/>
      <c r="X72" s="5"/>
      <c r="Y72" s="5"/>
      <c r="Z72" s="7"/>
      <c r="AA72" s="7"/>
      <c r="AB72" s="7"/>
      <c r="AC72" s="7"/>
      <c r="AD72" s="7"/>
      <c r="AE72" s="7"/>
      <c r="AF72" s="7"/>
      <c r="AG72" s="7"/>
      <c r="AH72" s="7"/>
      <c r="BM72">
        <v>67</v>
      </c>
      <c r="BN72" t="s">
        <v>166</v>
      </c>
      <c r="BO72">
        <v>10.15</v>
      </c>
    </row>
    <row r="73" spans="7:67">
      <c r="G73" s="9"/>
      <c r="H73" s="9"/>
      <c r="I73" s="9"/>
      <c r="J73" s="9"/>
      <c r="K73" s="9"/>
      <c r="L73" s="9"/>
      <c r="M73" s="9"/>
      <c r="N73" s="9"/>
      <c r="O73" s="9"/>
      <c r="U73" s="5"/>
      <c r="V73" s="5"/>
      <c r="W73" s="5"/>
      <c r="X73" s="5"/>
      <c r="Y73" s="5"/>
      <c r="Z73" s="7"/>
      <c r="AA73" s="7"/>
      <c r="AB73" s="7"/>
      <c r="AC73" s="7"/>
      <c r="AD73" s="7"/>
      <c r="AE73" s="7"/>
      <c r="AF73" s="7"/>
      <c r="AG73" s="7"/>
      <c r="AH73" s="7"/>
      <c r="BM73">
        <v>68</v>
      </c>
      <c r="BN73" t="s">
        <v>108</v>
      </c>
      <c r="BO73">
        <v>10.15</v>
      </c>
    </row>
    <row r="74" spans="7:67">
      <c r="G74" s="9"/>
      <c r="H74" s="9"/>
      <c r="I74" s="9"/>
      <c r="J74" s="9"/>
      <c r="K74" s="9"/>
      <c r="L74" s="9"/>
      <c r="M74" s="9"/>
      <c r="N74" s="9"/>
      <c r="O74" s="9"/>
      <c r="U74" s="5"/>
      <c r="V74" s="5"/>
      <c r="W74" s="5"/>
      <c r="X74" s="5"/>
      <c r="Y74" s="5"/>
      <c r="Z74" s="7"/>
      <c r="AA74" s="7"/>
      <c r="AB74" s="7"/>
      <c r="AC74" s="7"/>
      <c r="AD74" s="7"/>
      <c r="AE74" s="7"/>
      <c r="AF74" s="7"/>
      <c r="AG74" s="7"/>
      <c r="AH74" s="7"/>
      <c r="BM74">
        <v>69</v>
      </c>
      <c r="BN74" t="s">
        <v>163</v>
      </c>
      <c r="BO74">
        <v>10.15</v>
      </c>
    </row>
    <row r="75" spans="7:67">
      <c r="G75" s="7"/>
      <c r="H75" s="7"/>
      <c r="I75" s="7"/>
      <c r="J75" s="7"/>
      <c r="K75" s="7"/>
      <c r="L75" s="7"/>
      <c r="M75" s="7"/>
      <c r="N75" s="7"/>
      <c r="O75" s="7"/>
      <c r="U75" s="5"/>
      <c r="V75" s="5"/>
      <c r="W75" s="5"/>
      <c r="X75" s="5"/>
      <c r="Y75" s="5"/>
      <c r="Z75" s="7"/>
      <c r="AA75" s="7"/>
      <c r="AB75" s="7"/>
      <c r="AC75" s="7"/>
      <c r="AD75" s="7"/>
      <c r="AE75" s="7"/>
      <c r="AF75" s="7"/>
      <c r="AG75" s="7"/>
      <c r="AH75" s="7"/>
      <c r="BM75">
        <v>70</v>
      </c>
      <c r="BN75" t="s">
        <v>115</v>
      </c>
      <c r="BO75">
        <v>10.15</v>
      </c>
    </row>
    <row r="76" spans="7:67">
      <c r="G76" s="7"/>
      <c r="H76" s="7"/>
      <c r="I76" s="7"/>
      <c r="J76" s="7"/>
      <c r="K76" s="7"/>
      <c r="L76" s="7"/>
      <c r="M76" s="7"/>
      <c r="N76" s="7"/>
      <c r="O76" s="7"/>
      <c r="Q76" s="21"/>
      <c r="U76" s="5"/>
      <c r="V76" s="5"/>
      <c r="W76" s="5"/>
      <c r="X76" s="5"/>
      <c r="Y76" s="5"/>
      <c r="Z76" s="7"/>
      <c r="AA76" s="7"/>
      <c r="AB76" s="7"/>
      <c r="AC76" s="7"/>
      <c r="AD76" s="7"/>
      <c r="AE76" s="7"/>
      <c r="AF76" s="7"/>
      <c r="AG76" s="7"/>
      <c r="AH76" s="7"/>
      <c r="BM76">
        <v>71</v>
      </c>
      <c r="BN76" t="s">
        <v>169</v>
      </c>
      <c r="BO76">
        <v>10.15</v>
      </c>
    </row>
    <row r="77" spans="7:67">
      <c r="G77" s="7"/>
      <c r="H77" s="7"/>
      <c r="I77" s="7"/>
      <c r="J77" s="7"/>
      <c r="K77" s="7"/>
      <c r="L77" s="7"/>
      <c r="M77" s="7"/>
      <c r="N77" s="7"/>
      <c r="O77" s="7"/>
      <c r="Q77" s="20"/>
      <c r="U77" s="5"/>
      <c r="V77" s="5"/>
      <c r="W77" s="5"/>
      <c r="X77" s="5"/>
      <c r="Y77" s="5"/>
      <c r="Z77" s="7"/>
      <c r="AA77" s="7"/>
      <c r="AB77" s="7"/>
      <c r="AC77" s="7"/>
      <c r="AD77" s="7"/>
      <c r="AE77" s="7"/>
      <c r="AF77" s="7"/>
      <c r="AG77" s="7"/>
      <c r="AH77" s="7"/>
      <c r="BM77">
        <v>72</v>
      </c>
      <c r="BN77" t="s">
        <v>109</v>
      </c>
      <c r="BO77">
        <v>10.15</v>
      </c>
    </row>
    <row r="78" spans="7:67">
      <c r="G78" s="7"/>
      <c r="H78" s="7"/>
      <c r="I78" s="7"/>
      <c r="J78" s="7"/>
      <c r="K78" s="7"/>
      <c r="L78" s="7"/>
      <c r="M78" s="7"/>
      <c r="N78" s="7"/>
      <c r="O78" s="7"/>
      <c r="BM78">
        <v>73</v>
      </c>
      <c r="BN78" t="s">
        <v>90</v>
      </c>
      <c r="BO78">
        <v>10.15</v>
      </c>
    </row>
    <row r="79" spans="7:67">
      <c r="G79" s="7"/>
      <c r="H79" s="7"/>
      <c r="I79" s="7"/>
      <c r="J79" s="7"/>
      <c r="K79" s="7"/>
      <c r="L79" s="7"/>
      <c r="M79" s="7"/>
      <c r="N79" s="7"/>
      <c r="O79" s="7"/>
      <c r="Q79" s="20"/>
      <c r="U79" s="15"/>
      <c r="V79" s="15"/>
      <c r="W79" s="15"/>
      <c r="X79" s="15"/>
      <c r="Y79" s="15"/>
      <c r="Z79" s="1"/>
      <c r="AA79" s="1"/>
      <c r="AB79" s="1"/>
      <c r="AC79" s="1"/>
      <c r="AD79" s="1"/>
      <c r="AE79" s="1"/>
      <c r="AF79" s="1"/>
      <c r="AG79" s="1"/>
      <c r="AH79" s="1"/>
      <c r="BM79">
        <v>74</v>
      </c>
      <c r="BN79" t="s">
        <v>138</v>
      </c>
      <c r="BO79">
        <v>10.15</v>
      </c>
    </row>
    <row r="80" spans="7:67">
      <c r="G80" s="7"/>
      <c r="H80" s="7"/>
      <c r="I80" s="7"/>
      <c r="J80" s="7"/>
      <c r="K80" s="7"/>
      <c r="L80" s="7"/>
      <c r="M80" s="7"/>
      <c r="N80" s="7"/>
      <c r="O80" s="7"/>
      <c r="U80" s="5"/>
      <c r="V80" s="5"/>
      <c r="W80" s="5"/>
      <c r="X80" s="5"/>
      <c r="Y80" s="5"/>
      <c r="Z80" s="7"/>
      <c r="AA80" s="7"/>
      <c r="AB80" s="7"/>
      <c r="AC80" s="7"/>
      <c r="AD80" s="7"/>
      <c r="AE80" s="7"/>
      <c r="AF80" s="7"/>
      <c r="AG80" s="7"/>
      <c r="AH80" s="7"/>
      <c r="BM80">
        <v>75</v>
      </c>
      <c r="BN80" t="s">
        <v>131</v>
      </c>
      <c r="BO80">
        <v>10.15</v>
      </c>
    </row>
    <row r="81" spans="1:67">
      <c r="G81" s="7"/>
      <c r="H81" s="7"/>
      <c r="I81" s="7"/>
      <c r="J81" s="7"/>
      <c r="K81" s="7"/>
      <c r="L81" s="7"/>
      <c r="M81" s="7"/>
      <c r="N81" s="7"/>
      <c r="O81" s="7"/>
      <c r="U81" s="5"/>
      <c r="V81" s="5"/>
      <c r="W81" s="5"/>
      <c r="X81" s="5"/>
      <c r="Y81" s="5"/>
      <c r="Z81" s="7"/>
      <c r="AA81" s="7"/>
      <c r="AB81" s="7"/>
      <c r="AC81" s="7"/>
      <c r="AD81" s="7"/>
      <c r="AE81" s="7"/>
      <c r="AF81" s="7"/>
      <c r="AG81" s="7"/>
      <c r="AH81" s="7"/>
      <c r="BM81">
        <v>76</v>
      </c>
      <c r="BN81" t="s">
        <v>143</v>
      </c>
      <c r="BO81">
        <v>10.15</v>
      </c>
    </row>
    <row r="82" spans="1:67">
      <c r="U82" s="5"/>
      <c r="V82" s="5"/>
      <c r="W82" s="5"/>
      <c r="X82" s="5"/>
      <c r="Y82" s="5"/>
      <c r="Z82" s="7"/>
      <c r="AA82" s="7"/>
      <c r="AB82" s="7"/>
      <c r="AC82" s="7"/>
      <c r="AD82" s="7"/>
      <c r="AE82" s="7"/>
      <c r="AF82" s="7"/>
      <c r="AG82" s="7"/>
      <c r="AH82" s="7"/>
      <c r="BM82">
        <v>77</v>
      </c>
      <c r="BN82" t="s">
        <v>106</v>
      </c>
      <c r="BO82">
        <v>10.15</v>
      </c>
    </row>
    <row r="83" spans="1:67">
      <c r="U83" s="5"/>
      <c r="V83" s="5"/>
      <c r="W83" s="5"/>
      <c r="X83" s="5"/>
      <c r="Y83" s="5"/>
      <c r="Z83" s="7"/>
      <c r="AA83" s="7"/>
      <c r="AB83" s="7"/>
      <c r="AC83" s="7"/>
      <c r="AD83" s="7"/>
      <c r="AE83" s="7"/>
      <c r="AF83" s="7"/>
      <c r="AG83" s="7"/>
      <c r="AH83" s="7"/>
      <c r="BM83">
        <v>78</v>
      </c>
      <c r="BN83" t="s">
        <v>94</v>
      </c>
      <c r="BO83">
        <v>10.15</v>
      </c>
    </row>
    <row r="84" spans="1:67">
      <c r="G84" s="12"/>
      <c r="H84" s="12"/>
      <c r="I84" s="12"/>
      <c r="J84" s="12"/>
      <c r="K84" s="12"/>
      <c r="L84" s="12"/>
      <c r="M84" s="12"/>
      <c r="N84" s="12"/>
      <c r="O84" s="12"/>
      <c r="P84" s="7"/>
      <c r="U84" s="5"/>
      <c r="V84" s="5"/>
      <c r="W84" s="5"/>
      <c r="X84" s="5"/>
      <c r="Y84" s="5"/>
      <c r="Z84" s="7"/>
      <c r="AA84" s="7"/>
      <c r="AB84" s="7"/>
      <c r="AC84" s="7"/>
      <c r="AD84" s="7"/>
      <c r="AE84" s="7"/>
      <c r="AF84" s="7"/>
      <c r="AG84" s="7"/>
      <c r="AH84" s="7"/>
      <c r="BM84">
        <v>79</v>
      </c>
      <c r="BN84" t="s">
        <v>140</v>
      </c>
      <c r="BO84">
        <v>10.15</v>
      </c>
    </row>
    <row r="85" spans="1:67">
      <c r="G85" s="7"/>
      <c r="H85" s="7"/>
      <c r="I85" s="7"/>
      <c r="J85" s="7"/>
      <c r="K85" s="7"/>
      <c r="L85" s="7"/>
      <c r="M85" s="7"/>
      <c r="N85" s="7"/>
      <c r="O85" s="7"/>
      <c r="P85" s="7"/>
      <c r="U85" s="5"/>
      <c r="V85" s="5"/>
      <c r="W85" s="5"/>
      <c r="X85" s="5"/>
      <c r="Y85" s="5"/>
      <c r="Z85" s="7"/>
      <c r="AA85" s="7"/>
      <c r="AB85" s="7"/>
      <c r="AC85" s="7"/>
      <c r="AD85" s="7"/>
      <c r="AE85" s="7"/>
      <c r="AF85" s="7"/>
      <c r="AG85" s="7"/>
      <c r="AH85" s="7"/>
      <c r="BM85">
        <v>80</v>
      </c>
      <c r="BN85" t="s">
        <v>410</v>
      </c>
      <c r="BO85">
        <v>10.15</v>
      </c>
    </row>
    <row r="86" spans="1:67">
      <c r="Q86" s="20"/>
      <c r="U86" s="5"/>
      <c r="V86" s="5"/>
      <c r="W86" s="5"/>
      <c r="X86" s="5"/>
      <c r="Y86" s="5"/>
      <c r="Z86" s="7"/>
      <c r="AA86" s="7"/>
      <c r="AB86" s="7"/>
      <c r="AC86" s="7"/>
      <c r="AD86" s="7"/>
      <c r="AE86" s="7"/>
      <c r="AF86" s="7"/>
      <c r="AG86" s="7"/>
      <c r="AH86" s="7"/>
      <c r="BM86">
        <v>81</v>
      </c>
      <c r="BN86" t="s">
        <v>113</v>
      </c>
      <c r="BO86">
        <v>10.15</v>
      </c>
    </row>
    <row r="87" spans="1:67">
      <c r="U87" s="5"/>
      <c r="V87" s="5"/>
      <c r="W87" s="5"/>
      <c r="X87" s="5"/>
      <c r="Y87" s="5"/>
      <c r="Z87" s="7"/>
      <c r="AA87" s="7"/>
      <c r="AB87" s="7"/>
      <c r="AC87" s="7"/>
      <c r="AD87" s="7"/>
      <c r="AE87" s="7"/>
      <c r="AF87" s="7"/>
      <c r="AG87" s="7"/>
      <c r="AH87" s="7"/>
      <c r="BM87">
        <v>82</v>
      </c>
      <c r="BN87" t="s">
        <v>134</v>
      </c>
      <c r="BO87">
        <v>10.15</v>
      </c>
    </row>
    <row r="88" spans="1:67">
      <c r="U88" s="5"/>
      <c r="V88" s="5"/>
      <c r="W88" s="5"/>
      <c r="X88" s="5"/>
      <c r="Y88" s="5"/>
      <c r="Z88" s="7"/>
      <c r="AA88" s="7"/>
      <c r="AB88" s="7"/>
      <c r="AC88" s="7"/>
      <c r="AD88" s="7"/>
      <c r="AE88" s="7"/>
      <c r="AF88" s="7"/>
      <c r="AG88" s="7"/>
      <c r="AH88" s="7"/>
      <c r="BM88">
        <v>83</v>
      </c>
      <c r="BN88" t="s">
        <v>146</v>
      </c>
      <c r="BO88">
        <v>10.15</v>
      </c>
    </row>
    <row r="89" spans="1:67">
      <c r="U89" s="5"/>
      <c r="V89" s="5"/>
      <c r="W89" s="5"/>
      <c r="X89" s="5"/>
      <c r="Y89" s="5"/>
      <c r="Z89" s="7"/>
      <c r="AA89" s="7"/>
      <c r="AB89" s="7"/>
      <c r="AC89" s="7"/>
      <c r="AD89" s="7"/>
      <c r="AE89" s="7"/>
      <c r="AF89" s="7"/>
      <c r="AG89" s="7"/>
      <c r="AH89" s="7"/>
      <c r="BM89">
        <v>84</v>
      </c>
      <c r="BN89" t="s">
        <v>125</v>
      </c>
      <c r="BO89">
        <v>10.15</v>
      </c>
    </row>
    <row r="90" spans="1:67">
      <c r="G90" s="1"/>
      <c r="H90" s="1"/>
      <c r="I90" s="1"/>
      <c r="J90" s="1"/>
      <c r="K90" s="1"/>
      <c r="L90" s="1"/>
      <c r="M90" s="1"/>
      <c r="N90" s="1"/>
      <c r="O90" s="1"/>
      <c r="U90" s="5"/>
      <c r="V90" s="5"/>
      <c r="W90" s="5"/>
      <c r="X90" s="5"/>
      <c r="Y90" s="5"/>
      <c r="Z90" s="7"/>
      <c r="AA90" s="7"/>
      <c r="AB90" s="7"/>
      <c r="AC90" s="7"/>
      <c r="AD90" s="7"/>
      <c r="AE90" s="7"/>
      <c r="AF90" s="7"/>
      <c r="AG90" s="7"/>
      <c r="AH90" s="7"/>
      <c r="BM90">
        <v>85</v>
      </c>
      <c r="BN90" t="s">
        <v>123</v>
      </c>
      <c r="BO90">
        <v>10.15</v>
      </c>
    </row>
    <row r="91" spans="1:67">
      <c r="A91" s="17"/>
      <c r="B91" s="17"/>
      <c r="C91" s="17"/>
      <c r="D91" s="17"/>
      <c r="E91" s="17"/>
      <c r="F91" s="17"/>
      <c r="G91" s="9"/>
      <c r="H91" s="9"/>
      <c r="I91" s="9"/>
      <c r="J91" s="9"/>
      <c r="K91" s="9"/>
      <c r="L91" s="9"/>
      <c r="M91" s="9"/>
      <c r="N91" s="9"/>
      <c r="O91" s="9"/>
      <c r="U91" s="5"/>
      <c r="V91" s="5"/>
      <c r="W91" s="5"/>
      <c r="X91" s="5"/>
      <c r="Y91" s="5"/>
      <c r="Z91" s="7"/>
      <c r="AA91" s="7"/>
      <c r="AB91" s="7"/>
      <c r="AC91" s="7"/>
      <c r="AD91" s="7"/>
      <c r="AE91" s="7"/>
      <c r="AF91" s="7"/>
      <c r="AG91" s="7"/>
      <c r="AH91" s="7"/>
      <c r="BM91">
        <v>86</v>
      </c>
      <c r="BN91" t="s">
        <v>100</v>
      </c>
      <c r="BO91">
        <v>10.15</v>
      </c>
    </row>
    <row r="92" spans="1:67">
      <c r="G92" s="9"/>
      <c r="H92" s="9"/>
      <c r="I92" s="9"/>
      <c r="J92" s="9"/>
      <c r="K92" s="9"/>
      <c r="L92" s="9"/>
      <c r="M92" s="9"/>
      <c r="N92" s="9"/>
      <c r="O92" s="9"/>
      <c r="U92" s="5"/>
      <c r="V92" s="5"/>
      <c r="W92" s="5"/>
      <c r="X92" s="5"/>
      <c r="Y92" s="5"/>
      <c r="Z92" s="7"/>
      <c r="AA92" s="7"/>
      <c r="AB92" s="7"/>
      <c r="AC92" s="7"/>
      <c r="AD92" s="7"/>
      <c r="AE92" s="7"/>
      <c r="AF92" s="7"/>
      <c r="AG92" s="7"/>
      <c r="AH92" s="7"/>
      <c r="BM92">
        <v>87</v>
      </c>
      <c r="BN92" t="s">
        <v>179</v>
      </c>
      <c r="BO92">
        <v>10.15</v>
      </c>
    </row>
    <row r="93" spans="1:67">
      <c r="G93" s="9"/>
      <c r="H93" s="9"/>
      <c r="I93" s="9"/>
      <c r="J93" s="9"/>
      <c r="K93" s="9"/>
      <c r="L93" s="9"/>
      <c r="M93" s="9"/>
      <c r="N93" s="9"/>
      <c r="O93" s="9"/>
      <c r="U93" s="5"/>
      <c r="V93" s="5"/>
      <c r="W93" s="5"/>
      <c r="X93" s="5"/>
      <c r="Y93" s="5"/>
      <c r="Z93" s="7"/>
      <c r="AA93" s="7"/>
      <c r="AB93" s="7"/>
      <c r="AC93" s="7"/>
      <c r="AD93" s="7"/>
      <c r="AE93" s="7"/>
      <c r="AF93" s="7"/>
      <c r="AG93" s="7"/>
      <c r="AH93" s="7"/>
      <c r="BM93">
        <v>88</v>
      </c>
      <c r="BN93" t="s">
        <v>142</v>
      </c>
      <c r="BO93">
        <v>10.15</v>
      </c>
    </row>
    <row r="94" spans="1:67">
      <c r="G94" s="9"/>
      <c r="H94" s="9"/>
      <c r="I94" s="9"/>
      <c r="J94" s="9"/>
      <c r="K94" s="9"/>
      <c r="L94" s="9"/>
      <c r="M94" s="9"/>
      <c r="N94" s="9"/>
      <c r="O94" s="9"/>
      <c r="U94" s="5"/>
      <c r="V94" s="5"/>
      <c r="W94" s="5"/>
      <c r="X94" s="5"/>
      <c r="Y94" s="5"/>
      <c r="Z94" s="7"/>
      <c r="AA94" s="7"/>
      <c r="AB94" s="7"/>
      <c r="AC94" s="7"/>
      <c r="AD94" s="7"/>
      <c r="AE94" s="7"/>
      <c r="AF94" s="7"/>
      <c r="AG94" s="7"/>
      <c r="AH94" s="7"/>
      <c r="BM94">
        <v>89</v>
      </c>
      <c r="BN94" t="s">
        <v>156</v>
      </c>
      <c r="BO94">
        <v>10.15</v>
      </c>
    </row>
    <row r="95" spans="1:67">
      <c r="G95" s="9"/>
      <c r="H95" s="9"/>
      <c r="I95" s="9"/>
      <c r="J95" s="9"/>
      <c r="K95" s="9"/>
      <c r="L95" s="9"/>
      <c r="M95" s="9"/>
      <c r="N95" s="9"/>
      <c r="O95" s="9"/>
      <c r="U95" s="5"/>
      <c r="V95" s="5"/>
      <c r="W95" s="5"/>
      <c r="X95" s="5"/>
      <c r="Y95" s="5"/>
      <c r="Z95" s="7"/>
      <c r="AA95" s="7"/>
      <c r="AB95" s="7"/>
      <c r="AC95" s="7"/>
      <c r="AD95" s="7"/>
      <c r="AE95" s="7"/>
      <c r="AF95" s="7"/>
      <c r="AG95" s="7"/>
      <c r="AH95" s="7"/>
      <c r="BM95">
        <v>90</v>
      </c>
      <c r="BN95" t="s">
        <v>167</v>
      </c>
      <c r="BO95">
        <v>10.15</v>
      </c>
    </row>
    <row r="96" spans="1:67">
      <c r="G96" s="9"/>
      <c r="H96" s="9"/>
      <c r="I96" s="9"/>
      <c r="J96" s="9"/>
      <c r="K96" s="9"/>
      <c r="L96" s="9"/>
      <c r="M96" s="9"/>
      <c r="N96" s="9"/>
      <c r="O96" s="9"/>
      <c r="U96" s="5"/>
      <c r="V96" s="5"/>
      <c r="W96" s="5"/>
      <c r="X96" s="5"/>
      <c r="Y96" s="5"/>
      <c r="Z96" s="7"/>
      <c r="AA96" s="7"/>
      <c r="AB96" s="7"/>
      <c r="AC96" s="7"/>
      <c r="AD96" s="7"/>
      <c r="AE96" s="7"/>
      <c r="AF96" s="7"/>
      <c r="AG96" s="7"/>
      <c r="AH96" s="7"/>
      <c r="BM96">
        <v>91</v>
      </c>
      <c r="BN96" t="s">
        <v>198</v>
      </c>
      <c r="BO96">
        <v>10.15</v>
      </c>
    </row>
    <row r="97" spans="7:67">
      <c r="G97" s="9"/>
      <c r="H97" s="9"/>
      <c r="I97" s="9"/>
      <c r="J97" s="9"/>
      <c r="K97" s="9"/>
      <c r="L97" s="9"/>
      <c r="M97" s="9"/>
      <c r="N97" s="9"/>
      <c r="O97" s="9"/>
      <c r="BM97">
        <v>92</v>
      </c>
      <c r="BN97" t="s">
        <v>117</v>
      </c>
      <c r="BO97">
        <v>10.15</v>
      </c>
    </row>
    <row r="98" spans="7:67">
      <c r="G98" s="9"/>
      <c r="H98" s="9"/>
      <c r="I98" s="9"/>
      <c r="J98" s="9"/>
      <c r="K98" s="9"/>
      <c r="L98" s="9"/>
      <c r="M98" s="9"/>
      <c r="N98" s="9"/>
      <c r="O98" s="9"/>
      <c r="BM98">
        <v>93</v>
      </c>
      <c r="BN98" t="s">
        <v>132</v>
      </c>
      <c r="BO98">
        <v>10.15</v>
      </c>
    </row>
    <row r="99" spans="7:67">
      <c r="G99" s="9"/>
      <c r="H99" s="9"/>
      <c r="I99" s="9"/>
      <c r="J99" s="9"/>
      <c r="K99" s="9"/>
      <c r="L99" s="9"/>
      <c r="M99" s="9"/>
      <c r="N99" s="9"/>
      <c r="O99" s="9"/>
      <c r="Q99" s="20"/>
      <c r="U99" s="15"/>
      <c r="V99" s="15"/>
      <c r="W99" s="15"/>
      <c r="X99" s="15"/>
      <c r="Y99" s="15"/>
      <c r="Z99" s="1"/>
      <c r="AA99" s="1"/>
      <c r="AB99" s="1"/>
      <c r="AC99" s="1"/>
      <c r="AD99" s="1"/>
      <c r="AE99" s="1"/>
      <c r="AF99" s="1"/>
      <c r="AG99" s="1"/>
      <c r="AH99" s="1"/>
      <c r="BM99">
        <v>94</v>
      </c>
      <c r="BN99" t="s">
        <v>199</v>
      </c>
      <c r="BO99">
        <v>10.15</v>
      </c>
    </row>
    <row r="100" spans="7:67">
      <c r="G100" s="9"/>
      <c r="H100" s="9"/>
      <c r="I100" s="9"/>
      <c r="J100" s="9"/>
      <c r="K100" s="9"/>
      <c r="L100" s="9"/>
      <c r="M100" s="9"/>
      <c r="N100" s="9"/>
      <c r="O100" s="9"/>
      <c r="U100" s="14"/>
      <c r="V100" s="14"/>
      <c r="W100" s="14"/>
      <c r="X100" s="14"/>
      <c r="Y100" s="14"/>
      <c r="Z100" s="7"/>
      <c r="AA100" s="7"/>
      <c r="AB100" s="7"/>
      <c r="AC100" s="7"/>
      <c r="AD100" s="7"/>
      <c r="AE100" s="7"/>
      <c r="AF100" s="7"/>
      <c r="AG100" s="7"/>
      <c r="AH100" s="7"/>
      <c r="BM100">
        <v>95</v>
      </c>
      <c r="BN100" t="s">
        <v>129</v>
      </c>
      <c r="BO100">
        <v>10.15</v>
      </c>
    </row>
    <row r="101" spans="7:67">
      <c r="G101" s="9"/>
      <c r="H101" s="9"/>
      <c r="I101" s="9"/>
      <c r="J101" s="9"/>
      <c r="K101" s="9"/>
      <c r="L101" s="9"/>
      <c r="M101" s="9"/>
      <c r="N101" s="9"/>
      <c r="O101" s="9"/>
      <c r="U101" s="14"/>
      <c r="V101" s="14"/>
      <c r="W101" s="14"/>
      <c r="X101" s="14"/>
      <c r="Y101" s="14"/>
      <c r="Z101" s="7"/>
      <c r="AA101" s="7"/>
      <c r="AB101" s="7"/>
      <c r="AC101" s="7"/>
      <c r="AD101" s="7"/>
      <c r="AE101" s="7"/>
      <c r="AF101" s="7"/>
      <c r="AG101" s="7"/>
      <c r="AH101" s="7"/>
      <c r="BM101">
        <v>96</v>
      </c>
      <c r="BN101" t="s">
        <v>162</v>
      </c>
      <c r="BO101">
        <v>10.15</v>
      </c>
    </row>
    <row r="102" spans="7:67">
      <c r="G102" s="9"/>
      <c r="H102" s="9"/>
      <c r="I102" s="9"/>
      <c r="J102" s="9"/>
      <c r="K102" s="9"/>
      <c r="L102" s="9"/>
      <c r="M102" s="9"/>
      <c r="N102" s="9"/>
      <c r="O102" s="9"/>
      <c r="U102" s="14"/>
      <c r="V102" s="14"/>
      <c r="W102" s="14"/>
      <c r="X102" s="14"/>
      <c r="Y102" s="14"/>
      <c r="Z102" s="7"/>
      <c r="AA102" s="7"/>
      <c r="AB102" s="7"/>
      <c r="AC102" s="7"/>
      <c r="AD102" s="7"/>
      <c r="AE102" s="7"/>
      <c r="AF102" s="7"/>
      <c r="AG102" s="7"/>
      <c r="AH102" s="7"/>
      <c r="BM102">
        <v>97</v>
      </c>
      <c r="BN102" t="s">
        <v>150</v>
      </c>
      <c r="BO102">
        <v>10.15</v>
      </c>
    </row>
    <row r="103" spans="7:67">
      <c r="G103" s="7"/>
      <c r="H103" s="7"/>
      <c r="I103" s="7"/>
      <c r="J103" s="7"/>
      <c r="K103" s="7"/>
      <c r="L103" s="7"/>
      <c r="M103" s="7"/>
      <c r="N103" s="7"/>
      <c r="O103" s="7"/>
      <c r="U103" s="14"/>
      <c r="V103" s="14"/>
      <c r="W103" s="14"/>
      <c r="X103" s="14"/>
      <c r="Y103" s="14"/>
      <c r="Z103" s="7"/>
      <c r="AA103" s="7"/>
      <c r="AB103" s="7"/>
      <c r="AC103" s="7"/>
      <c r="AD103" s="7"/>
      <c r="AE103" s="7"/>
      <c r="AF103" s="7"/>
      <c r="AG103" s="7"/>
      <c r="AH103" s="7"/>
      <c r="BM103">
        <v>98</v>
      </c>
      <c r="BN103" t="s">
        <v>190</v>
      </c>
      <c r="BO103">
        <v>10.15</v>
      </c>
    </row>
    <row r="104" spans="7:67">
      <c r="G104" s="7"/>
      <c r="H104" s="7"/>
      <c r="I104" s="7"/>
      <c r="J104" s="7"/>
      <c r="K104" s="7"/>
      <c r="L104" s="7"/>
      <c r="M104" s="7"/>
      <c r="N104" s="7"/>
      <c r="O104" s="7"/>
      <c r="Q104" s="20"/>
      <c r="U104" s="14"/>
      <c r="V104" s="14"/>
      <c r="W104" s="14"/>
      <c r="X104" s="14"/>
      <c r="Y104" s="14"/>
      <c r="Z104" s="7"/>
      <c r="AA104" s="7"/>
      <c r="AB104" s="7"/>
      <c r="AC104" s="7"/>
      <c r="AD104" s="7"/>
      <c r="AE104" s="7"/>
      <c r="AF104" s="7"/>
      <c r="AG104" s="7"/>
      <c r="AH104" s="7"/>
      <c r="BM104">
        <v>99</v>
      </c>
      <c r="BN104" t="s">
        <v>178</v>
      </c>
      <c r="BO104">
        <v>10.15</v>
      </c>
    </row>
    <row r="105" spans="7:67">
      <c r="G105" s="7"/>
      <c r="H105" s="7"/>
      <c r="I105" s="7"/>
      <c r="J105" s="7"/>
      <c r="K105" s="7"/>
      <c r="L105" s="7"/>
      <c r="M105" s="7"/>
      <c r="N105" s="7"/>
      <c r="O105" s="7"/>
      <c r="U105" s="14"/>
      <c r="V105" s="14"/>
      <c r="W105" s="14"/>
      <c r="X105" s="14"/>
      <c r="Y105" s="14"/>
      <c r="Z105" s="7"/>
      <c r="AA105" s="7"/>
      <c r="AB105" s="7"/>
      <c r="AC105" s="7"/>
      <c r="AD105" s="7"/>
      <c r="AE105" s="7"/>
      <c r="AF105" s="7"/>
      <c r="AG105" s="7"/>
      <c r="AH105" s="7"/>
      <c r="BM105">
        <v>100</v>
      </c>
      <c r="BN105" t="s">
        <v>114</v>
      </c>
      <c r="BO105">
        <v>10.15</v>
      </c>
    </row>
    <row r="106" spans="7:67">
      <c r="G106" s="7"/>
      <c r="H106" s="7"/>
      <c r="I106" s="7"/>
      <c r="J106" s="7"/>
      <c r="K106" s="7"/>
      <c r="L106" s="7"/>
      <c r="M106" s="7"/>
      <c r="N106" s="7"/>
      <c r="O106" s="7"/>
      <c r="Q106" s="20"/>
      <c r="U106" s="14"/>
      <c r="V106" s="14"/>
      <c r="W106" s="14"/>
      <c r="X106" s="14"/>
      <c r="Y106" s="14"/>
      <c r="Z106" s="7"/>
      <c r="AA106" s="7"/>
      <c r="AB106" s="7"/>
      <c r="AC106" s="7"/>
      <c r="AD106" s="7"/>
      <c r="AE106" s="7"/>
      <c r="AF106" s="7"/>
      <c r="AG106" s="7"/>
      <c r="AH106" s="7"/>
      <c r="BM106">
        <v>101</v>
      </c>
      <c r="BN106" t="s">
        <v>154</v>
      </c>
      <c r="BO106">
        <v>10.15</v>
      </c>
    </row>
    <row r="107" spans="7:67">
      <c r="G107" s="7"/>
      <c r="H107" s="7"/>
      <c r="I107" s="7"/>
      <c r="J107" s="7"/>
      <c r="K107" s="7"/>
      <c r="L107" s="7"/>
      <c r="M107" s="7"/>
      <c r="N107" s="7"/>
      <c r="O107" s="7"/>
      <c r="Q107" s="20"/>
      <c r="U107" s="14"/>
      <c r="V107" s="14"/>
      <c r="W107" s="14"/>
      <c r="X107" s="14"/>
      <c r="Y107" s="14"/>
      <c r="Z107" s="7"/>
      <c r="AA107" s="7"/>
      <c r="AB107" s="7"/>
      <c r="AC107" s="7"/>
      <c r="AD107" s="7"/>
      <c r="AE107" s="7"/>
      <c r="AF107" s="7"/>
      <c r="AG107" s="7"/>
      <c r="AH107" s="7"/>
      <c r="BM107">
        <v>102</v>
      </c>
      <c r="BN107" t="s">
        <v>158</v>
      </c>
      <c r="BO107">
        <v>10.15</v>
      </c>
    </row>
    <row r="108" spans="7:67">
      <c r="G108" s="7"/>
      <c r="H108" s="7"/>
      <c r="I108" s="7"/>
      <c r="J108" s="7"/>
      <c r="K108" s="7"/>
      <c r="L108" s="7"/>
      <c r="M108" s="7"/>
      <c r="N108" s="7"/>
      <c r="O108" s="7"/>
      <c r="U108" s="14"/>
      <c r="V108" s="14"/>
      <c r="W108" s="14"/>
      <c r="X108" s="14"/>
      <c r="Y108" s="14"/>
      <c r="Z108" s="7"/>
      <c r="AA108" s="7"/>
      <c r="AB108" s="7"/>
      <c r="AC108" s="7"/>
      <c r="AD108" s="7"/>
      <c r="AE108" s="7"/>
      <c r="AF108" s="7"/>
      <c r="AG108" s="7"/>
      <c r="AH108" s="7"/>
      <c r="BM108">
        <v>103</v>
      </c>
      <c r="BN108" t="s">
        <v>157</v>
      </c>
      <c r="BO108">
        <v>10.15</v>
      </c>
    </row>
    <row r="109" spans="7:67">
      <c r="G109" s="7"/>
      <c r="H109" s="7"/>
      <c r="I109" s="7"/>
      <c r="J109" s="7"/>
      <c r="K109" s="7"/>
      <c r="L109" s="7"/>
      <c r="M109" s="7"/>
      <c r="N109" s="7"/>
      <c r="O109" s="7"/>
      <c r="U109" s="14"/>
      <c r="V109" s="14"/>
      <c r="W109" s="14"/>
      <c r="X109" s="14"/>
      <c r="Y109" s="14"/>
      <c r="Z109" s="7"/>
      <c r="AA109" s="7"/>
      <c r="AB109" s="7"/>
      <c r="AC109" s="7"/>
      <c r="AD109" s="7"/>
      <c r="AE109" s="7"/>
      <c r="AF109" s="7"/>
      <c r="AG109" s="7"/>
      <c r="AH109" s="7"/>
      <c r="BM109">
        <v>104</v>
      </c>
      <c r="BN109" t="s">
        <v>152</v>
      </c>
      <c r="BO109">
        <v>10.15</v>
      </c>
    </row>
    <row r="110" spans="7:67">
      <c r="Q110" s="20"/>
      <c r="U110" s="14"/>
      <c r="V110" s="14"/>
      <c r="W110" s="14"/>
      <c r="X110" s="14"/>
      <c r="Y110" s="14"/>
      <c r="Z110" s="7"/>
      <c r="AA110" s="7"/>
      <c r="AB110" s="7"/>
      <c r="AC110" s="7"/>
      <c r="AD110" s="7"/>
      <c r="AE110" s="7"/>
      <c r="AF110" s="7"/>
      <c r="AG110" s="7"/>
      <c r="AH110" s="7"/>
      <c r="BM110">
        <v>105</v>
      </c>
      <c r="BN110" t="s">
        <v>147</v>
      </c>
      <c r="BO110">
        <v>10.15</v>
      </c>
    </row>
    <row r="111" spans="7:67">
      <c r="U111" s="14"/>
      <c r="V111" s="14"/>
      <c r="W111" s="14"/>
      <c r="X111" s="14"/>
      <c r="Y111" s="14"/>
      <c r="Z111" s="7"/>
      <c r="AA111" s="7"/>
      <c r="AB111" s="7"/>
      <c r="AC111" s="7"/>
      <c r="AD111" s="7"/>
      <c r="AE111" s="7"/>
      <c r="AF111" s="7"/>
      <c r="AG111" s="7"/>
      <c r="AH111" s="7"/>
      <c r="BM111">
        <v>106</v>
      </c>
      <c r="BN111" t="s">
        <v>187</v>
      </c>
      <c r="BO111">
        <v>10.15</v>
      </c>
    </row>
    <row r="112" spans="7:67">
      <c r="G112" s="12"/>
      <c r="H112" s="12"/>
      <c r="I112" s="12"/>
      <c r="J112" s="12"/>
      <c r="K112" s="12"/>
      <c r="L112" s="12"/>
      <c r="M112" s="12"/>
      <c r="N112" s="12"/>
      <c r="O112" s="12"/>
      <c r="P112" s="7"/>
      <c r="U112" s="14"/>
      <c r="V112" s="14"/>
      <c r="W112" s="14"/>
      <c r="X112" s="14"/>
      <c r="Y112" s="14"/>
      <c r="Z112" s="7"/>
      <c r="AA112" s="7"/>
      <c r="AB112" s="7"/>
      <c r="AC112" s="7"/>
      <c r="AD112" s="7"/>
      <c r="AE112" s="7"/>
      <c r="AF112" s="7"/>
      <c r="AG112" s="7"/>
      <c r="AH112" s="7"/>
      <c r="BM112">
        <v>107</v>
      </c>
      <c r="BN112" t="s">
        <v>160</v>
      </c>
      <c r="BO112">
        <v>10.15</v>
      </c>
    </row>
    <row r="113" spans="7:67">
      <c r="G113" s="7"/>
      <c r="H113" s="7"/>
      <c r="I113" s="7"/>
      <c r="J113" s="7"/>
      <c r="K113" s="7"/>
      <c r="L113" s="7"/>
      <c r="M113" s="7"/>
      <c r="N113" s="7"/>
      <c r="O113" s="7"/>
      <c r="P113" s="7"/>
      <c r="BM113">
        <v>108</v>
      </c>
      <c r="BN113" t="s">
        <v>121</v>
      </c>
      <c r="BO113">
        <v>10.15</v>
      </c>
    </row>
    <row r="114" spans="7:67">
      <c r="BM114">
        <v>109</v>
      </c>
      <c r="BN114" t="s">
        <v>230</v>
      </c>
      <c r="BO114">
        <v>10.15</v>
      </c>
    </row>
    <row r="115" spans="7:67">
      <c r="BM115">
        <v>110</v>
      </c>
      <c r="BN115" t="s">
        <v>164</v>
      </c>
      <c r="BO115">
        <v>10.15</v>
      </c>
    </row>
    <row r="116" spans="7:67">
      <c r="BM116">
        <v>111</v>
      </c>
      <c r="BN116" t="s">
        <v>136</v>
      </c>
      <c r="BO116">
        <v>10.15</v>
      </c>
    </row>
    <row r="117" spans="7:67">
      <c r="BM117">
        <v>112</v>
      </c>
      <c r="BN117" t="s">
        <v>175</v>
      </c>
      <c r="BO117">
        <v>10.15</v>
      </c>
    </row>
    <row r="118" spans="7:67">
      <c r="BM118">
        <v>113</v>
      </c>
      <c r="BN118" t="s">
        <v>141</v>
      </c>
      <c r="BO118">
        <v>10.15</v>
      </c>
    </row>
    <row r="119" spans="7:67">
      <c r="BM119">
        <v>114</v>
      </c>
      <c r="BN119" t="s">
        <v>278</v>
      </c>
      <c r="BO119">
        <v>10.15</v>
      </c>
    </row>
    <row r="120" spans="7:67">
      <c r="BM120">
        <v>115</v>
      </c>
      <c r="BN120" t="s">
        <v>192</v>
      </c>
      <c r="BO120">
        <v>10.15</v>
      </c>
    </row>
    <row r="121" spans="7:67">
      <c r="BM121">
        <v>116</v>
      </c>
      <c r="BN121" t="s">
        <v>135</v>
      </c>
      <c r="BO121">
        <v>10.15</v>
      </c>
    </row>
    <row r="122" spans="7:67">
      <c r="BM122">
        <v>117</v>
      </c>
      <c r="BN122" t="s">
        <v>130</v>
      </c>
      <c r="BO122">
        <v>10.15</v>
      </c>
    </row>
    <row r="123" spans="7:67">
      <c r="BM123">
        <v>118</v>
      </c>
      <c r="BN123" t="s">
        <v>165</v>
      </c>
      <c r="BO123">
        <v>10.15</v>
      </c>
    </row>
    <row r="124" spans="7:67">
      <c r="BM124">
        <v>119</v>
      </c>
      <c r="BN124" t="s">
        <v>170</v>
      </c>
      <c r="BO124">
        <v>10.15</v>
      </c>
    </row>
    <row r="125" spans="7:67">
      <c r="BM125">
        <v>120</v>
      </c>
      <c r="BN125" t="s">
        <v>268</v>
      </c>
      <c r="BO125">
        <v>10.15</v>
      </c>
    </row>
    <row r="126" spans="7:67">
      <c r="BM126">
        <v>121</v>
      </c>
      <c r="BN126" t="s">
        <v>145</v>
      </c>
      <c r="BO126">
        <v>10.15</v>
      </c>
    </row>
    <row r="127" spans="7:67">
      <c r="BM127">
        <v>122</v>
      </c>
      <c r="BN127" t="s">
        <v>212</v>
      </c>
      <c r="BO127">
        <v>10.15</v>
      </c>
    </row>
    <row r="128" spans="7:67">
      <c r="BM128">
        <v>123</v>
      </c>
      <c r="BN128" t="s">
        <v>189</v>
      </c>
      <c r="BO128">
        <v>10.15</v>
      </c>
    </row>
    <row r="129" spans="65:67">
      <c r="BM129">
        <v>124</v>
      </c>
      <c r="BN129" t="s">
        <v>172</v>
      </c>
      <c r="BO129">
        <v>10.15</v>
      </c>
    </row>
    <row r="130" spans="65:67">
      <c r="BM130">
        <v>125</v>
      </c>
      <c r="BN130" t="s">
        <v>151</v>
      </c>
      <c r="BO130">
        <v>10.15</v>
      </c>
    </row>
    <row r="131" spans="65:67">
      <c r="BM131">
        <v>126</v>
      </c>
      <c r="BN131" t="s">
        <v>92</v>
      </c>
      <c r="BO131">
        <v>10.15</v>
      </c>
    </row>
    <row r="132" spans="65:67">
      <c r="BM132">
        <v>127</v>
      </c>
      <c r="BN132" t="s">
        <v>180</v>
      </c>
      <c r="BO132">
        <v>10.15</v>
      </c>
    </row>
    <row r="133" spans="65:67">
      <c r="BM133">
        <v>128</v>
      </c>
      <c r="BN133" t="s">
        <v>191</v>
      </c>
      <c r="BO133">
        <v>10.15</v>
      </c>
    </row>
    <row r="134" spans="65:67">
      <c r="BM134">
        <v>129</v>
      </c>
      <c r="BN134" t="s">
        <v>186</v>
      </c>
      <c r="BO134">
        <v>10.15</v>
      </c>
    </row>
    <row r="135" spans="65:67">
      <c r="BM135">
        <v>130</v>
      </c>
      <c r="BN135" t="s">
        <v>221</v>
      </c>
      <c r="BO135">
        <v>10.15</v>
      </c>
    </row>
    <row r="136" spans="65:67">
      <c r="BM136">
        <v>1</v>
      </c>
      <c r="BN136" t="s">
        <v>30</v>
      </c>
      <c r="BO136" t="s">
        <v>411</v>
      </c>
    </row>
    <row r="137" spans="65:67">
      <c r="BM137">
        <v>2</v>
      </c>
      <c r="BN137" t="s">
        <v>407</v>
      </c>
      <c r="BO137" t="s">
        <v>411</v>
      </c>
    </row>
    <row r="138" spans="65:67">
      <c r="BM138">
        <v>3</v>
      </c>
      <c r="BN138" t="s">
        <v>65</v>
      </c>
      <c r="BO138" t="s">
        <v>411</v>
      </c>
    </row>
    <row r="139" spans="65:67">
      <c r="BM139">
        <v>4</v>
      </c>
      <c r="BN139" t="s">
        <v>16</v>
      </c>
      <c r="BO139" t="s">
        <v>411</v>
      </c>
    </row>
    <row r="140" spans="65:67">
      <c r="BM140">
        <v>5</v>
      </c>
      <c r="BN140" t="s">
        <v>408</v>
      </c>
      <c r="BO140" t="s">
        <v>411</v>
      </c>
    </row>
    <row r="141" spans="65:67">
      <c r="BM141">
        <v>6</v>
      </c>
      <c r="BN141" t="s">
        <v>21</v>
      </c>
      <c r="BO141" t="s">
        <v>411</v>
      </c>
    </row>
    <row r="142" spans="65:67">
      <c r="BM142">
        <v>7</v>
      </c>
      <c r="BN142" t="s">
        <v>24</v>
      </c>
      <c r="BO142" t="s">
        <v>411</v>
      </c>
    </row>
    <row r="143" spans="65:67">
      <c r="BM143">
        <v>8</v>
      </c>
      <c r="BN143" t="s">
        <v>46</v>
      </c>
      <c r="BO143" t="s">
        <v>411</v>
      </c>
    </row>
    <row r="144" spans="65:67">
      <c r="BM144">
        <v>9</v>
      </c>
      <c r="BN144" t="s">
        <v>41</v>
      </c>
      <c r="BO144" t="s">
        <v>411</v>
      </c>
    </row>
    <row r="145" spans="65:67">
      <c r="BM145">
        <v>10</v>
      </c>
      <c r="BN145" t="s">
        <v>74</v>
      </c>
      <c r="BO145" t="s">
        <v>411</v>
      </c>
    </row>
    <row r="146" spans="65:67">
      <c r="BM146">
        <v>11</v>
      </c>
      <c r="BN146" t="s">
        <v>60</v>
      </c>
      <c r="BO146" t="s">
        <v>411</v>
      </c>
    </row>
    <row r="147" spans="65:67">
      <c r="BM147">
        <v>12</v>
      </c>
      <c r="BN147" t="s">
        <v>64</v>
      </c>
      <c r="BO147" t="s">
        <v>411</v>
      </c>
    </row>
    <row r="148" spans="65:67">
      <c r="BM148">
        <v>13</v>
      </c>
      <c r="BN148" t="s">
        <v>35</v>
      </c>
      <c r="BO148" t="s">
        <v>411</v>
      </c>
    </row>
    <row r="149" spans="65:67">
      <c r="BM149">
        <v>14</v>
      </c>
      <c r="BN149" t="s">
        <v>62</v>
      </c>
      <c r="BO149" t="s">
        <v>411</v>
      </c>
    </row>
    <row r="150" spans="65:67">
      <c r="BM150">
        <v>15</v>
      </c>
      <c r="BN150" t="s">
        <v>67</v>
      </c>
      <c r="BO150" t="s">
        <v>411</v>
      </c>
    </row>
    <row r="151" spans="65:67">
      <c r="BM151">
        <v>16</v>
      </c>
      <c r="BN151" t="s">
        <v>49</v>
      </c>
      <c r="BO151" t="s">
        <v>411</v>
      </c>
    </row>
    <row r="152" spans="65:67">
      <c r="BM152">
        <v>17</v>
      </c>
      <c r="BN152" t="s">
        <v>171</v>
      </c>
      <c r="BO152" t="s">
        <v>411</v>
      </c>
    </row>
    <row r="153" spans="65:67">
      <c r="BM153">
        <v>18</v>
      </c>
      <c r="BN153" t="s">
        <v>43</v>
      </c>
      <c r="BO153" t="s">
        <v>411</v>
      </c>
    </row>
    <row r="154" spans="65:67">
      <c r="BM154">
        <v>19</v>
      </c>
      <c r="BN154" t="s">
        <v>58</v>
      </c>
      <c r="BO154" t="s">
        <v>411</v>
      </c>
    </row>
    <row r="155" spans="65:67">
      <c r="BM155">
        <v>20</v>
      </c>
      <c r="BN155" t="s">
        <v>32</v>
      </c>
      <c r="BO155" t="s">
        <v>411</v>
      </c>
    </row>
    <row r="156" spans="65:67">
      <c r="BM156">
        <v>21</v>
      </c>
      <c r="BN156" t="s">
        <v>66</v>
      </c>
      <c r="BO156" t="s">
        <v>411</v>
      </c>
    </row>
    <row r="157" spans="65:67">
      <c r="BM157">
        <v>22</v>
      </c>
      <c r="BN157" t="s">
        <v>69</v>
      </c>
      <c r="BO157" t="s">
        <v>411</v>
      </c>
    </row>
    <row r="158" spans="65:67">
      <c r="BM158">
        <v>23</v>
      </c>
      <c r="BN158" t="s">
        <v>52</v>
      </c>
      <c r="BO158" t="s">
        <v>411</v>
      </c>
    </row>
    <row r="159" spans="65:67">
      <c r="BM159">
        <v>24</v>
      </c>
      <c r="BN159" t="s">
        <v>138</v>
      </c>
      <c r="BO159" t="s">
        <v>411</v>
      </c>
    </row>
    <row r="160" spans="65:67">
      <c r="BM160">
        <v>25</v>
      </c>
      <c r="BN160" t="s">
        <v>40</v>
      </c>
      <c r="BO160" t="s">
        <v>411</v>
      </c>
    </row>
    <row r="161" spans="65:67">
      <c r="BM161">
        <v>26</v>
      </c>
      <c r="BN161" t="s">
        <v>72</v>
      </c>
      <c r="BO161" t="s">
        <v>411</v>
      </c>
    </row>
    <row r="162" spans="65:67">
      <c r="BM162">
        <v>27</v>
      </c>
      <c r="BN162" t="s">
        <v>54</v>
      </c>
      <c r="BO162" t="s">
        <v>411</v>
      </c>
    </row>
    <row r="163" spans="65:67">
      <c r="BM163">
        <v>28</v>
      </c>
      <c r="BN163" t="s">
        <v>248</v>
      </c>
      <c r="BO163" t="s">
        <v>411</v>
      </c>
    </row>
    <row r="164" spans="65:67">
      <c r="BM164">
        <v>29</v>
      </c>
      <c r="BN164" t="s">
        <v>56</v>
      </c>
      <c r="BO164" t="s">
        <v>411</v>
      </c>
    </row>
    <row r="165" spans="65:67">
      <c r="BM165">
        <v>30</v>
      </c>
      <c r="BN165" t="s">
        <v>45</v>
      </c>
      <c r="BO165" t="s">
        <v>411</v>
      </c>
    </row>
    <row r="166" spans="65:67">
      <c r="BM166">
        <v>31</v>
      </c>
      <c r="BN166" t="s">
        <v>83</v>
      </c>
      <c r="BO166" t="s">
        <v>411</v>
      </c>
    </row>
    <row r="167" spans="65:67">
      <c r="BM167">
        <v>32</v>
      </c>
      <c r="BN167" t="s">
        <v>97</v>
      </c>
      <c r="BO167" t="s">
        <v>411</v>
      </c>
    </row>
    <row r="168" spans="65:67">
      <c r="BM168">
        <v>33</v>
      </c>
      <c r="BN168" t="s">
        <v>96</v>
      </c>
      <c r="BO168" t="s">
        <v>411</v>
      </c>
    </row>
    <row r="169" spans="65:67">
      <c r="BM169">
        <v>34</v>
      </c>
      <c r="BN169" t="s">
        <v>118</v>
      </c>
      <c r="BO169" t="s">
        <v>411</v>
      </c>
    </row>
    <row r="170" spans="65:67">
      <c r="BM170">
        <v>35</v>
      </c>
      <c r="BN170" t="s">
        <v>87</v>
      </c>
      <c r="BO170" t="s">
        <v>411</v>
      </c>
    </row>
    <row r="171" spans="65:67">
      <c r="BM171">
        <v>36</v>
      </c>
      <c r="BN171" t="s">
        <v>51</v>
      </c>
      <c r="BO171" t="s">
        <v>411</v>
      </c>
    </row>
    <row r="172" spans="65:67">
      <c r="BM172">
        <v>37</v>
      </c>
      <c r="BN172" t="s">
        <v>89</v>
      </c>
      <c r="BO172" t="s">
        <v>411</v>
      </c>
    </row>
    <row r="173" spans="65:67">
      <c r="BM173">
        <v>38</v>
      </c>
      <c r="BN173" t="s">
        <v>70</v>
      </c>
      <c r="BO173" t="s">
        <v>411</v>
      </c>
    </row>
    <row r="174" spans="65:67">
      <c r="BM174">
        <v>39</v>
      </c>
      <c r="BN174" t="s">
        <v>168</v>
      </c>
      <c r="BO174" t="s">
        <v>411</v>
      </c>
    </row>
    <row r="175" spans="65:67">
      <c r="BM175">
        <v>40</v>
      </c>
      <c r="BN175" t="s">
        <v>86</v>
      </c>
      <c r="BO175" t="s">
        <v>411</v>
      </c>
    </row>
    <row r="176" spans="65:67">
      <c r="BM176">
        <v>41</v>
      </c>
      <c r="BN176" t="s">
        <v>99</v>
      </c>
      <c r="BO176" t="s">
        <v>411</v>
      </c>
    </row>
    <row r="177" spans="65:67">
      <c r="BM177">
        <v>42</v>
      </c>
      <c r="BN177" t="s">
        <v>111</v>
      </c>
      <c r="BO177" t="s">
        <v>411</v>
      </c>
    </row>
    <row r="178" spans="65:67">
      <c r="BM178">
        <v>43</v>
      </c>
      <c r="BN178" t="s">
        <v>93</v>
      </c>
      <c r="BO178" t="s">
        <v>411</v>
      </c>
    </row>
    <row r="179" spans="65:67">
      <c r="BM179">
        <v>44</v>
      </c>
      <c r="BN179" t="s">
        <v>102</v>
      </c>
      <c r="BO179" t="s">
        <v>411</v>
      </c>
    </row>
    <row r="180" spans="65:67">
      <c r="BM180">
        <v>45</v>
      </c>
      <c r="BN180" t="s">
        <v>76</v>
      </c>
      <c r="BO180" t="s">
        <v>411</v>
      </c>
    </row>
    <row r="181" spans="65:67">
      <c r="BM181">
        <v>46</v>
      </c>
      <c r="BN181" t="s">
        <v>78</v>
      </c>
      <c r="BO181" t="s">
        <v>411</v>
      </c>
    </row>
    <row r="182" spans="65:67">
      <c r="BM182">
        <v>47</v>
      </c>
      <c r="BN182" t="s">
        <v>85</v>
      </c>
      <c r="BO182" t="s">
        <v>411</v>
      </c>
    </row>
    <row r="183" spans="65:67">
      <c r="BM183">
        <v>48</v>
      </c>
      <c r="BN183" t="s">
        <v>159</v>
      </c>
      <c r="BO183" t="s">
        <v>411</v>
      </c>
    </row>
    <row r="184" spans="65:67">
      <c r="BM184">
        <v>49</v>
      </c>
      <c r="BN184" t="s">
        <v>84</v>
      </c>
      <c r="BO184" t="s">
        <v>411</v>
      </c>
    </row>
    <row r="185" spans="65:67">
      <c r="BM185">
        <v>50</v>
      </c>
      <c r="BN185" t="s">
        <v>37</v>
      </c>
      <c r="BO185" t="s">
        <v>411</v>
      </c>
    </row>
    <row r="186" spans="65:67">
      <c r="BM186">
        <v>51</v>
      </c>
      <c r="BN186" t="s">
        <v>122</v>
      </c>
      <c r="BO186" t="s">
        <v>411</v>
      </c>
    </row>
    <row r="187" spans="65:67">
      <c r="BM187">
        <v>52</v>
      </c>
      <c r="BN187" t="s">
        <v>110</v>
      </c>
      <c r="BO187" t="s">
        <v>411</v>
      </c>
    </row>
    <row r="188" spans="65:67">
      <c r="BM188">
        <v>53</v>
      </c>
      <c r="BN188" t="s">
        <v>88</v>
      </c>
      <c r="BO188" t="s">
        <v>411</v>
      </c>
    </row>
    <row r="189" spans="65:67">
      <c r="BM189">
        <v>54</v>
      </c>
      <c r="BN189" t="s">
        <v>81</v>
      </c>
      <c r="BO189" t="s">
        <v>411</v>
      </c>
    </row>
    <row r="190" spans="65:67">
      <c r="BM190">
        <v>55</v>
      </c>
      <c r="BN190" t="s">
        <v>101</v>
      </c>
      <c r="BO190" t="s">
        <v>411</v>
      </c>
    </row>
    <row r="191" spans="65:67">
      <c r="BM191">
        <v>56</v>
      </c>
      <c r="BN191" t="s">
        <v>128</v>
      </c>
      <c r="BO191" t="s">
        <v>411</v>
      </c>
    </row>
    <row r="192" spans="65:67">
      <c r="BM192">
        <v>57</v>
      </c>
      <c r="BN192" t="s">
        <v>80</v>
      </c>
      <c r="BO192" t="s">
        <v>411</v>
      </c>
    </row>
    <row r="193" spans="65:67">
      <c r="BM193">
        <v>58</v>
      </c>
      <c r="BN193" t="s">
        <v>107</v>
      </c>
      <c r="BO193" t="s">
        <v>411</v>
      </c>
    </row>
    <row r="194" spans="65:67">
      <c r="BM194">
        <v>59</v>
      </c>
      <c r="BN194" t="s">
        <v>119</v>
      </c>
      <c r="BO194" t="s">
        <v>411</v>
      </c>
    </row>
    <row r="195" spans="65:67">
      <c r="BM195">
        <v>60</v>
      </c>
      <c r="BN195" t="s">
        <v>148</v>
      </c>
      <c r="BO195" t="s">
        <v>411</v>
      </c>
    </row>
    <row r="196" spans="65:67">
      <c r="BM196">
        <v>61</v>
      </c>
      <c r="BN196" t="s">
        <v>124</v>
      </c>
      <c r="BO196" t="s">
        <v>411</v>
      </c>
    </row>
    <row r="197" spans="65:67">
      <c r="BM197">
        <v>62</v>
      </c>
      <c r="BN197" t="s">
        <v>166</v>
      </c>
      <c r="BO197" t="s">
        <v>411</v>
      </c>
    </row>
    <row r="198" spans="65:67">
      <c r="BM198">
        <v>63</v>
      </c>
      <c r="BN198" t="s">
        <v>90</v>
      </c>
      <c r="BO198" t="s">
        <v>411</v>
      </c>
    </row>
    <row r="199" spans="65:67">
      <c r="BM199">
        <v>64</v>
      </c>
      <c r="BN199" t="s">
        <v>163</v>
      </c>
      <c r="BO199" t="s">
        <v>411</v>
      </c>
    </row>
    <row r="200" spans="65:67">
      <c r="BM200">
        <v>65</v>
      </c>
      <c r="BN200" t="s">
        <v>106</v>
      </c>
      <c r="BO200" t="s">
        <v>411</v>
      </c>
    </row>
    <row r="201" spans="65:67">
      <c r="BM201">
        <v>66</v>
      </c>
      <c r="BN201" t="s">
        <v>126</v>
      </c>
      <c r="BO201" t="s">
        <v>411</v>
      </c>
    </row>
    <row r="202" spans="65:67">
      <c r="BM202">
        <v>67</v>
      </c>
      <c r="BN202" t="s">
        <v>133</v>
      </c>
      <c r="BO202" t="s">
        <v>411</v>
      </c>
    </row>
    <row r="203" spans="65:67">
      <c r="BM203">
        <v>68</v>
      </c>
      <c r="BN203" t="s">
        <v>108</v>
      </c>
      <c r="BO203" t="s">
        <v>411</v>
      </c>
    </row>
    <row r="204" spans="65:67">
      <c r="BM204">
        <v>69</v>
      </c>
      <c r="BN204" t="s">
        <v>104</v>
      </c>
      <c r="BO204" t="s">
        <v>411</v>
      </c>
    </row>
    <row r="205" spans="65:67">
      <c r="BM205">
        <v>70</v>
      </c>
      <c r="BN205" t="s">
        <v>103</v>
      </c>
      <c r="BO205" t="s">
        <v>411</v>
      </c>
    </row>
    <row r="206" spans="65:67">
      <c r="BM206">
        <v>71</v>
      </c>
      <c r="BN206" t="s">
        <v>125</v>
      </c>
      <c r="BO206" t="s">
        <v>411</v>
      </c>
    </row>
    <row r="207" spans="65:67">
      <c r="BM207">
        <v>72</v>
      </c>
      <c r="BN207" t="s">
        <v>100</v>
      </c>
      <c r="BO207" t="s">
        <v>411</v>
      </c>
    </row>
    <row r="208" spans="65:67">
      <c r="BM208">
        <v>73</v>
      </c>
      <c r="BN208" t="s">
        <v>131</v>
      </c>
      <c r="BO208" t="s">
        <v>411</v>
      </c>
    </row>
    <row r="209" spans="65:67">
      <c r="BM209">
        <v>74</v>
      </c>
      <c r="BN209" t="s">
        <v>142</v>
      </c>
      <c r="BO209" t="s">
        <v>411</v>
      </c>
    </row>
    <row r="210" spans="65:67">
      <c r="BM210">
        <v>75</v>
      </c>
      <c r="BN210" t="s">
        <v>140</v>
      </c>
      <c r="BO210" t="s">
        <v>411</v>
      </c>
    </row>
    <row r="211" spans="65:67">
      <c r="BM211">
        <v>76</v>
      </c>
      <c r="BN211" t="s">
        <v>410</v>
      </c>
      <c r="BO211" t="s">
        <v>411</v>
      </c>
    </row>
    <row r="212" spans="65:67">
      <c r="BM212">
        <v>77</v>
      </c>
      <c r="BN212" t="s">
        <v>115</v>
      </c>
      <c r="BO212" t="s">
        <v>411</v>
      </c>
    </row>
    <row r="213" spans="65:67">
      <c r="BM213">
        <v>78</v>
      </c>
      <c r="BN213" t="s">
        <v>117</v>
      </c>
      <c r="BO213" t="s">
        <v>411</v>
      </c>
    </row>
    <row r="214" spans="65:67">
      <c r="BM214">
        <v>79</v>
      </c>
      <c r="BN214" t="s">
        <v>109</v>
      </c>
      <c r="BO214" t="s">
        <v>411</v>
      </c>
    </row>
    <row r="215" spans="65:67">
      <c r="BM215">
        <v>80</v>
      </c>
      <c r="BN215" t="s">
        <v>137</v>
      </c>
      <c r="BO215" t="s">
        <v>411</v>
      </c>
    </row>
    <row r="216" spans="65:67">
      <c r="BM216">
        <v>81</v>
      </c>
      <c r="BN216" t="s">
        <v>146</v>
      </c>
      <c r="BO216" t="s">
        <v>411</v>
      </c>
    </row>
    <row r="217" spans="65:67">
      <c r="BM217">
        <v>82</v>
      </c>
      <c r="BN217" t="s">
        <v>134</v>
      </c>
      <c r="BO217" t="s">
        <v>411</v>
      </c>
    </row>
    <row r="218" spans="65:67">
      <c r="BM218">
        <v>83</v>
      </c>
      <c r="BN218" t="s">
        <v>132</v>
      </c>
      <c r="BO218" t="s">
        <v>411</v>
      </c>
    </row>
    <row r="219" spans="65:67">
      <c r="BM219">
        <v>84</v>
      </c>
      <c r="BN219" t="s">
        <v>169</v>
      </c>
      <c r="BO219" t="s">
        <v>411</v>
      </c>
    </row>
    <row r="220" spans="65:67">
      <c r="BM220">
        <v>85</v>
      </c>
      <c r="BN220" t="s">
        <v>143</v>
      </c>
      <c r="BO220" t="s">
        <v>411</v>
      </c>
    </row>
    <row r="221" spans="65:67">
      <c r="BM221">
        <v>86</v>
      </c>
      <c r="BN221" t="s">
        <v>150</v>
      </c>
      <c r="BO221" t="s">
        <v>411</v>
      </c>
    </row>
    <row r="222" spans="65:67">
      <c r="BM222">
        <v>87</v>
      </c>
      <c r="BN222" t="s">
        <v>129</v>
      </c>
      <c r="BO222" t="s">
        <v>411</v>
      </c>
    </row>
    <row r="223" spans="65:67">
      <c r="BM223">
        <v>88</v>
      </c>
      <c r="BN223" t="s">
        <v>167</v>
      </c>
      <c r="BO223" t="s">
        <v>411</v>
      </c>
    </row>
    <row r="224" spans="65:67">
      <c r="BM224">
        <v>89</v>
      </c>
      <c r="BN224" t="s">
        <v>198</v>
      </c>
      <c r="BO224" t="s">
        <v>411</v>
      </c>
    </row>
    <row r="225" spans="65:67">
      <c r="BM225">
        <v>90</v>
      </c>
      <c r="BN225" t="s">
        <v>152</v>
      </c>
      <c r="BO225" t="s">
        <v>411</v>
      </c>
    </row>
    <row r="226" spans="65:67">
      <c r="BM226">
        <v>91</v>
      </c>
      <c r="BN226" t="s">
        <v>162</v>
      </c>
      <c r="BO226" t="s">
        <v>411</v>
      </c>
    </row>
    <row r="227" spans="65:67">
      <c r="BM227">
        <v>92</v>
      </c>
      <c r="BN227" t="s">
        <v>156</v>
      </c>
      <c r="BO227" t="s">
        <v>411</v>
      </c>
    </row>
    <row r="228" spans="65:67">
      <c r="BM228">
        <v>93</v>
      </c>
      <c r="BN228" t="s">
        <v>123</v>
      </c>
      <c r="BO228" t="s">
        <v>411</v>
      </c>
    </row>
    <row r="229" spans="65:67">
      <c r="BM229">
        <v>94</v>
      </c>
      <c r="BN229" t="s">
        <v>135</v>
      </c>
      <c r="BO229" t="s">
        <v>411</v>
      </c>
    </row>
    <row r="230" spans="65:67">
      <c r="BM230">
        <v>95</v>
      </c>
      <c r="BN230" t="s">
        <v>94</v>
      </c>
      <c r="BO230" t="s">
        <v>411</v>
      </c>
    </row>
    <row r="231" spans="65:67">
      <c r="BM231">
        <v>96</v>
      </c>
      <c r="BN231" t="s">
        <v>114</v>
      </c>
      <c r="BO231" t="s">
        <v>411</v>
      </c>
    </row>
    <row r="232" spans="65:67">
      <c r="BM232">
        <v>97</v>
      </c>
      <c r="BN232" t="s">
        <v>121</v>
      </c>
      <c r="BO232" t="s">
        <v>411</v>
      </c>
    </row>
    <row r="233" spans="65:67">
      <c r="BM233">
        <v>98</v>
      </c>
      <c r="BN233" t="s">
        <v>154</v>
      </c>
      <c r="BO233" t="s">
        <v>411</v>
      </c>
    </row>
    <row r="234" spans="65:67">
      <c r="BM234">
        <v>99</v>
      </c>
      <c r="BN234" t="s">
        <v>130</v>
      </c>
      <c r="BO234" t="s">
        <v>411</v>
      </c>
    </row>
    <row r="235" spans="65:67">
      <c r="BM235">
        <v>100</v>
      </c>
      <c r="BN235" t="s">
        <v>179</v>
      </c>
      <c r="BO235" t="s">
        <v>411</v>
      </c>
    </row>
    <row r="236" spans="65:67">
      <c r="BM236">
        <v>101</v>
      </c>
      <c r="BN236" t="s">
        <v>287</v>
      </c>
      <c r="BO236" t="s">
        <v>411</v>
      </c>
    </row>
    <row r="237" spans="65:67">
      <c r="BM237">
        <v>102</v>
      </c>
      <c r="BN237" t="s">
        <v>141</v>
      </c>
      <c r="BO237" t="s">
        <v>411</v>
      </c>
    </row>
    <row r="238" spans="65:67">
      <c r="BM238">
        <v>103</v>
      </c>
      <c r="BN238" t="s">
        <v>113</v>
      </c>
      <c r="BO238" t="s">
        <v>411</v>
      </c>
    </row>
    <row r="239" spans="65:67">
      <c r="BM239">
        <v>104</v>
      </c>
      <c r="BN239" t="s">
        <v>164</v>
      </c>
      <c r="BO239" t="s">
        <v>411</v>
      </c>
    </row>
    <row r="240" spans="65:67">
      <c r="BM240">
        <v>105</v>
      </c>
      <c r="BN240" t="s">
        <v>178</v>
      </c>
      <c r="BO240" t="s">
        <v>411</v>
      </c>
    </row>
    <row r="241" spans="65:67">
      <c r="BM241">
        <v>106</v>
      </c>
      <c r="BN241" t="s">
        <v>136</v>
      </c>
      <c r="BO241" t="s">
        <v>411</v>
      </c>
    </row>
    <row r="242" spans="65:67">
      <c r="BM242">
        <v>107</v>
      </c>
      <c r="BN242" t="s">
        <v>172</v>
      </c>
      <c r="BO242" t="s">
        <v>411</v>
      </c>
    </row>
    <row r="243" spans="65:67">
      <c r="BM243">
        <v>108</v>
      </c>
      <c r="BN243" t="s">
        <v>175</v>
      </c>
      <c r="BO243" t="s">
        <v>411</v>
      </c>
    </row>
    <row r="244" spans="65:67">
      <c r="BM244">
        <v>109</v>
      </c>
      <c r="BN244" t="s">
        <v>191</v>
      </c>
      <c r="BO244" t="s">
        <v>411</v>
      </c>
    </row>
    <row r="245" spans="65:67">
      <c r="BM245">
        <v>110</v>
      </c>
      <c r="BN245" t="s">
        <v>160</v>
      </c>
      <c r="BO245" t="s">
        <v>411</v>
      </c>
    </row>
    <row r="246" spans="65:67">
      <c r="BM246">
        <v>111</v>
      </c>
      <c r="BN246" t="s">
        <v>157</v>
      </c>
      <c r="BO246" t="s">
        <v>411</v>
      </c>
    </row>
    <row r="247" spans="65:67">
      <c r="BM247">
        <v>112</v>
      </c>
      <c r="BN247" t="s">
        <v>170</v>
      </c>
      <c r="BO247" t="s">
        <v>411</v>
      </c>
    </row>
    <row r="248" spans="65:67">
      <c r="BM248">
        <v>113</v>
      </c>
      <c r="BN248" t="s">
        <v>199</v>
      </c>
      <c r="BO248" t="s">
        <v>411</v>
      </c>
    </row>
    <row r="249" spans="65:67">
      <c r="BM249">
        <v>114</v>
      </c>
      <c r="BN249" t="s">
        <v>145</v>
      </c>
      <c r="BO249" t="s">
        <v>411</v>
      </c>
    </row>
    <row r="250" spans="65:67">
      <c r="BM250">
        <v>115</v>
      </c>
      <c r="BN250" t="s">
        <v>239</v>
      </c>
      <c r="BO250" t="s">
        <v>411</v>
      </c>
    </row>
    <row r="251" spans="65:67">
      <c r="BM251">
        <v>116</v>
      </c>
      <c r="BN251" t="s">
        <v>409</v>
      </c>
      <c r="BO251" t="s">
        <v>411</v>
      </c>
    </row>
    <row r="252" spans="65:67">
      <c r="BM252">
        <v>117</v>
      </c>
      <c r="BN252" t="s">
        <v>92</v>
      </c>
      <c r="BO252" t="s">
        <v>411</v>
      </c>
    </row>
    <row r="253" spans="65:67">
      <c r="BM253">
        <v>118</v>
      </c>
      <c r="BN253" t="s">
        <v>230</v>
      </c>
      <c r="BO253" t="s">
        <v>411</v>
      </c>
    </row>
    <row r="254" spans="65:67">
      <c r="BM254">
        <v>119</v>
      </c>
      <c r="BN254" t="s">
        <v>192</v>
      </c>
      <c r="BO254" t="s">
        <v>411</v>
      </c>
    </row>
    <row r="255" spans="65:67">
      <c r="BM255">
        <v>120</v>
      </c>
      <c r="BN255" t="s">
        <v>144</v>
      </c>
      <c r="BO255" t="s">
        <v>411</v>
      </c>
    </row>
    <row r="256" spans="65:67">
      <c r="BM256">
        <v>121</v>
      </c>
      <c r="BN256" t="s">
        <v>273</v>
      </c>
      <c r="BO256" t="s">
        <v>411</v>
      </c>
    </row>
    <row r="257" spans="65:67">
      <c r="BM257">
        <v>122</v>
      </c>
      <c r="BN257" t="s">
        <v>158</v>
      </c>
      <c r="BO257" t="s">
        <v>411</v>
      </c>
    </row>
    <row r="258" spans="65:67">
      <c r="BM258">
        <v>123</v>
      </c>
      <c r="BN258" t="s">
        <v>268</v>
      </c>
      <c r="BO258" t="s">
        <v>411</v>
      </c>
    </row>
    <row r="259" spans="65:67">
      <c r="BM259">
        <v>124</v>
      </c>
      <c r="BN259" t="s">
        <v>266</v>
      </c>
      <c r="BO259" t="s">
        <v>411</v>
      </c>
    </row>
    <row r="260" spans="65:67">
      <c r="BM260">
        <v>125</v>
      </c>
      <c r="BN260" t="s">
        <v>412</v>
      </c>
      <c r="BO260" t="s">
        <v>411</v>
      </c>
    </row>
    <row r="261" spans="65:67">
      <c r="BM261">
        <v>126</v>
      </c>
      <c r="BN261" t="s">
        <v>186</v>
      </c>
      <c r="BO261" t="s">
        <v>411</v>
      </c>
    </row>
    <row r="262" spans="65:67">
      <c r="BM262">
        <v>127</v>
      </c>
      <c r="BN262" t="s">
        <v>147</v>
      </c>
      <c r="BO262" t="s">
        <v>411</v>
      </c>
    </row>
    <row r="263" spans="65:67">
      <c r="BM263">
        <v>128</v>
      </c>
      <c r="BN263" t="s">
        <v>221</v>
      </c>
      <c r="BO263" t="s">
        <v>411</v>
      </c>
    </row>
    <row r="264" spans="65:67">
      <c r="BM264">
        <v>129</v>
      </c>
      <c r="BN264" t="s">
        <v>212</v>
      </c>
      <c r="BO264" t="s">
        <v>411</v>
      </c>
    </row>
    <row r="265" spans="65:67">
      <c r="BM265">
        <v>130</v>
      </c>
      <c r="BN265" t="s">
        <v>205</v>
      </c>
      <c r="BO265" t="s">
        <v>411</v>
      </c>
    </row>
    <row r="266" spans="65:67">
      <c r="BM266">
        <v>1</v>
      </c>
      <c r="BN266" t="s">
        <v>407</v>
      </c>
      <c r="BO266" t="s">
        <v>413</v>
      </c>
    </row>
    <row r="267" spans="65:67">
      <c r="BM267">
        <v>2</v>
      </c>
      <c r="BN267" t="s">
        <v>30</v>
      </c>
      <c r="BO267" t="s">
        <v>413</v>
      </c>
    </row>
    <row r="268" spans="65:67">
      <c r="BM268">
        <v>3</v>
      </c>
      <c r="BN268" t="s">
        <v>408</v>
      </c>
      <c r="BO268" t="s">
        <v>413</v>
      </c>
    </row>
    <row r="269" spans="65:67">
      <c r="BM269">
        <v>4</v>
      </c>
      <c r="BN269" t="s">
        <v>21</v>
      </c>
      <c r="BO269" t="s">
        <v>413</v>
      </c>
    </row>
    <row r="270" spans="65:67">
      <c r="BM270">
        <v>5</v>
      </c>
      <c r="BN270" t="s">
        <v>16</v>
      </c>
      <c r="BO270" t="s">
        <v>413</v>
      </c>
    </row>
    <row r="271" spans="65:67">
      <c r="BM271">
        <v>6</v>
      </c>
      <c r="BN271" t="s">
        <v>24</v>
      </c>
      <c r="BO271" t="s">
        <v>413</v>
      </c>
    </row>
    <row r="272" spans="65:67">
      <c r="BM272">
        <v>7</v>
      </c>
      <c r="BN272" t="s">
        <v>65</v>
      </c>
      <c r="BO272" t="s">
        <v>413</v>
      </c>
    </row>
    <row r="273" spans="65:67">
      <c r="BM273">
        <v>8</v>
      </c>
      <c r="BN273" t="s">
        <v>41</v>
      </c>
      <c r="BO273" t="s">
        <v>413</v>
      </c>
    </row>
    <row r="274" spans="65:67">
      <c r="BM274">
        <v>9</v>
      </c>
      <c r="BN274" t="s">
        <v>46</v>
      </c>
      <c r="BO274" t="s">
        <v>413</v>
      </c>
    </row>
    <row r="275" spans="65:67">
      <c r="BM275">
        <v>10</v>
      </c>
      <c r="BN275" t="s">
        <v>74</v>
      </c>
      <c r="BO275" t="s">
        <v>413</v>
      </c>
    </row>
    <row r="276" spans="65:67">
      <c r="BM276">
        <v>11</v>
      </c>
      <c r="BN276" t="s">
        <v>60</v>
      </c>
      <c r="BO276" t="s">
        <v>413</v>
      </c>
    </row>
    <row r="277" spans="65:67">
      <c r="BM277">
        <v>12</v>
      </c>
      <c r="BN277" t="s">
        <v>62</v>
      </c>
      <c r="BO277" t="s">
        <v>413</v>
      </c>
    </row>
    <row r="278" spans="65:67">
      <c r="BM278">
        <v>13</v>
      </c>
      <c r="BN278" t="s">
        <v>35</v>
      </c>
      <c r="BO278" t="s">
        <v>413</v>
      </c>
    </row>
    <row r="279" spans="65:67">
      <c r="BM279">
        <v>14</v>
      </c>
      <c r="BN279" t="s">
        <v>64</v>
      </c>
      <c r="BO279" t="s">
        <v>413</v>
      </c>
    </row>
    <row r="280" spans="65:67">
      <c r="BM280">
        <v>15</v>
      </c>
      <c r="BN280" t="s">
        <v>58</v>
      </c>
      <c r="BO280" t="s">
        <v>413</v>
      </c>
    </row>
    <row r="281" spans="65:67">
      <c r="BM281">
        <v>16</v>
      </c>
      <c r="BN281" t="s">
        <v>49</v>
      </c>
      <c r="BO281" t="s">
        <v>413</v>
      </c>
    </row>
    <row r="282" spans="65:67">
      <c r="BM282">
        <v>17</v>
      </c>
      <c r="BN282" t="s">
        <v>43</v>
      </c>
      <c r="BO282" t="s">
        <v>413</v>
      </c>
    </row>
    <row r="283" spans="65:67">
      <c r="BM283">
        <v>18</v>
      </c>
      <c r="BN283" t="s">
        <v>66</v>
      </c>
      <c r="BO283" t="s">
        <v>413</v>
      </c>
    </row>
    <row r="284" spans="65:67">
      <c r="BM284">
        <v>19</v>
      </c>
      <c r="BN284" t="s">
        <v>52</v>
      </c>
      <c r="BO284" t="s">
        <v>413</v>
      </c>
    </row>
    <row r="285" spans="65:67">
      <c r="BM285">
        <v>20</v>
      </c>
      <c r="BN285" t="s">
        <v>32</v>
      </c>
      <c r="BO285" t="s">
        <v>413</v>
      </c>
    </row>
    <row r="286" spans="65:67">
      <c r="BM286">
        <v>21</v>
      </c>
      <c r="BN286" t="s">
        <v>72</v>
      </c>
      <c r="BO286" t="s">
        <v>413</v>
      </c>
    </row>
    <row r="287" spans="65:67">
      <c r="BM287">
        <v>22</v>
      </c>
      <c r="BN287" t="s">
        <v>67</v>
      </c>
      <c r="BO287" t="s">
        <v>413</v>
      </c>
    </row>
    <row r="288" spans="65:67">
      <c r="BM288">
        <v>23</v>
      </c>
      <c r="BN288" t="s">
        <v>40</v>
      </c>
      <c r="BO288" t="s">
        <v>413</v>
      </c>
    </row>
    <row r="289" spans="65:67">
      <c r="BM289">
        <v>24</v>
      </c>
      <c r="BN289" t="s">
        <v>54</v>
      </c>
      <c r="BO289" t="s">
        <v>413</v>
      </c>
    </row>
    <row r="290" spans="65:67">
      <c r="BM290">
        <v>25</v>
      </c>
      <c r="BN290" t="s">
        <v>45</v>
      </c>
      <c r="BO290" t="s">
        <v>413</v>
      </c>
    </row>
    <row r="291" spans="65:67">
      <c r="BM291">
        <v>26</v>
      </c>
      <c r="BN291" t="s">
        <v>83</v>
      </c>
      <c r="BO291" t="s">
        <v>413</v>
      </c>
    </row>
    <row r="292" spans="65:67">
      <c r="BM292">
        <v>27</v>
      </c>
      <c r="BN292" t="s">
        <v>51</v>
      </c>
      <c r="BO292" t="s">
        <v>413</v>
      </c>
    </row>
    <row r="293" spans="65:67">
      <c r="BM293">
        <v>28</v>
      </c>
      <c r="BN293" t="s">
        <v>69</v>
      </c>
      <c r="BO293" t="s">
        <v>413</v>
      </c>
    </row>
    <row r="294" spans="65:67">
      <c r="BM294">
        <v>29</v>
      </c>
      <c r="BN294" t="s">
        <v>96</v>
      </c>
      <c r="BO294" t="s">
        <v>413</v>
      </c>
    </row>
    <row r="295" spans="65:67">
      <c r="BM295">
        <v>30</v>
      </c>
      <c r="BN295" t="s">
        <v>93</v>
      </c>
      <c r="BO295" t="s">
        <v>413</v>
      </c>
    </row>
    <row r="296" spans="65:67">
      <c r="BM296">
        <v>31</v>
      </c>
      <c r="BN296" t="s">
        <v>248</v>
      </c>
      <c r="BO296" t="s">
        <v>413</v>
      </c>
    </row>
    <row r="297" spans="65:67">
      <c r="BM297">
        <v>32</v>
      </c>
      <c r="BN297" t="s">
        <v>85</v>
      </c>
      <c r="BO297" t="s">
        <v>413</v>
      </c>
    </row>
    <row r="298" spans="65:67">
      <c r="BM298">
        <v>33</v>
      </c>
      <c r="BN298" t="s">
        <v>70</v>
      </c>
      <c r="BO298" t="s">
        <v>413</v>
      </c>
    </row>
    <row r="299" spans="65:67">
      <c r="BM299">
        <v>34</v>
      </c>
      <c r="BN299" t="s">
        <v>56</v>
      </c>
      <c r="BO299" t="s">
        <v>413</v>
      </c>
    </row>
    <row r="300" spans="65:67">
      <c r="BM300">
        <v>35</v>
      </c>
      <c r="BN300" t="s">
        <v>37</v>
      </c>
      <c r="BO300" t="s">
        <v>413</v>
      </c>
    </row>
    <row r="301" spans="65:67">
      <c r="BM301">
        <v>36</v>
      </c>
      <c r="BN301" t="s">
        <v>97</v>
      </c>
      <c r="BO301" t="s">
        <v>413</v>
      </c>
    </row>
    <row r="302" spans="65:67">
      <c r="BM302">
        <v>37</v>
      </c>
      <c r="BN302" t="s">
        <v>102</v>
      </c>
      <c r="BO302" t="s">
        <v>413</v>
      </c>
    </row>
    <row r="303" spans="65:67">
      <c r="BM303">
        <v>38</v>
      </c>
      <c r="BN303" t="s">
        <v>89</v>
      </c>
      <c r="BO303" t="s">
        <v>413</v>
      </c>
    </row>
    <row r="304" spans="65:67">
      <c r="BM304">
        <v>39</v>
      </c>
      <c r="BN304" t="s">
        <v>86</v>
      </c>
      <c r="BO304" t="s">
        <v>413</v>
      </c>
    </row>
    <row r="305" spans="65:67">
      <c r="BM305">
        <v>40</v>
      </c>
      <c r="BN305" t="s">
        <v>99</v>
      </c>
      <c r="BO305" t="s">
        <v>413</v>
      </c>
    </row>
    <row r="306" spans="65:67">
      <c r="BM306">
        <v>41</v>
      </c>
      <c r="BN306" t="s">
        <v>168</v>
      </c>
      <c r="BO306" t="s">
        <v>413</v>
      </c>
    </row>
    <row r="307" spans="65:67">
      <c r="BM307">
        <v>42</v>
      </c>
      <c r="BN307" t="s">
        <v>87</v>
      </c>
      <c r="BO307" t="s">
        <v>413</v>
      </c>
    </row>
    <row r="308" spans="65:67">
      <c r="BM308">
        <v>43</v>
      </c>
      <c r="BN308" t="s">
        <v>118</v>
      </c>
      <c r="BO308" t="s">
        <v>413</v>
      </c>
    </row>
    <row r="309" spans="65:67">
      <c r="BM309">
        <v>44</v>
      </c>
      <c r="BN309" t="s">
        <v>76</v>
      </c>
      <c r="BO309" t="s">
        <v>413</v>
      </c>
    </row>
    <row r="310" spans="65:67">
      <c r="BM310">
        <v>45</v>
      </c>
      <c r="BN310" t="s">
        <v>84</v>
      </c>
      <c r="BO310" t="s">
        <v>413</v>
      </c>
    </row>
    <row r="311" spans="65:67">
      <c r="BM311">
        <v>46</v>
      </c>
      <c r="BN311" t="s">
        <v>148</v>
      </c>
      <c r="BO311" t="s">
        <v>413</v>
      </c>
    </row>
    <row r="312" spans="65:67">
      <c r="BM312">
        <v>47</v>
      </c>
      <c r="BN312" t="s">
        <v>80</v>
      </c>
      <c r="BO312" t="s">
        <v>413</v>
      </c>
    </row>
    <row r="313" spans="65:67">
      <c r="BM313">
        <v>48</v>
      </c>
      <c r="BN313" t="s">
        <v>78</v>
      </c>
      <c r="BO313" t="s">
        <v>413</v>
      </c>
    </row>
    <row r="314" spans="65:67">
      <c r="BM314">
        <v>49</v>
      </c>
      <c r="BN314" t="s">
        <v>128</v>
      </c>
      <c r="BO314" t="s">
        <v>413</v>
      </c>
    </row>
    <row r="315" spans="65:67">
      <c r="BM315">
        <v>50</v>
      </c>
      <c r="BN315" t="s">
        <v>159</v>
      </c>
      <c r="BO315" t="s">
        <v>413</v>
      </c>
    </row>
    <row r="316" spans="65:67">
      <c r="BM316">
        <v>51</v>
      </c>
      <c r="BN316" t="s">
        <v>101</v>
      </c>
      <c r="BO316" t="s">
        <v>413</v>
      </c>
    </row>
    <row r="317" spans="65:67">
      <c r="BM317">
        <v>52</v>
      </c>
      <c r="BN317" t="s">
        <v>119</v>
      </c>
      <c r="BO317" t="s">
        <v>413</v>
      </c>
    </row>
    <row r="318" spans="65:67">
      <c r="BM318">
        <v>53</v>
      </c>
      <c r="BN318" t="s">
        <v>122</v>
      </c>
      <c r="BO318" t="s">
        <v>413</v>
      </c>
    </row>
    <row r="319" spans="65:67">
      <c r="BM319">
        <v>54</v>
      </c>
      <c r="BN319" t="s">
        <v>110</v>
      </c>
      <c r="BO319" t="s">
        <v>413</v>
      </c>
    </row>
    <row r="320" spans="65:67">
      <c r="BM320">
        <v>55</v>
      </c>
      <c r="BN320" t="s">
        <v>111</v>
      </c>
      <c r="BO320" t="s">
        <v>413</v>
      </c>
    </row>
    <row r="321" spans="65:67">
      <c r="BM321">
        <v>56</v>
      </c>
      <c r="BN321" t="s">
        <v>88</v>
      </c>
      <c r="BO321" t="s">
        <v>413</v>
      </c>
    </row>
    <row r="322" spans="65:67">
      <c r="BM322">
        <v>57</v>
      </c>
      <c r="BN322" t="s">
        <v>107</v>
      </c>
      <c r="BO322" t="s">
        <v>413</v>
      </c>
    </row>
    <row r="323" spans="65:67">
      <c r="BM323">
        <v>58</v>
      </c>
      <c r="BN323" t="s">
        <v>90</v>
      </c>
      <c r="BO323" t="s">
        <v>413</v>
      </c>
    </row>
    <row r="324" spans="65:67">
      <c r="BM324">
        <v>59</v>
      </c>
      <c r="BN324" t="s">
        <v>81</v>
      </c>
      <c r="BO324" t="s">
        <v>413</v>
      </c>
    </row>
    <row r="325" spans="65:67">
      <c r="BM325">
        <v>60</v>
      </c>
      <c r="BN325" t="s">
        <v>133</v>
      </c>
      <c r="BO325" t="s">
        <v>413</v>
      </c>
    </row>
    <row r="326" spans="65:67">
      <c r="BM326">
        <v>61</v>
      </c>
      <c r="BN326" t="s">
        <v>126</v>
      </c>
      <c r="BO326" t="s">
        <v>413</v>
      </c>
    </row>
    <row r="327" spans="65:67">
      <c r="BM327">
        <v>62</v>
      </c>
      <c r="BN327" t="s">
        <v>124</v>
      </c>
      <c r="BO327" t="s">
        <v>413</v>
      </c>
    </row>
    <row r="328" spans="65:67">
      <c r="BM328">
        <v>63</v>
      </c>
      <c r="BN328" t="s">
        <v>163</v>
      </c>
      <c r="BO328" t="s">
        <v>413</v>
      </c>
    </row>
    <row r="329" spans="65:67">
      <c r="BM329">
        <v>64</v>
      </c>
      <c r="BN329" t="s">
        <v>106</v>
      </c>
      <c r="BO329" t="s">
        <v>413</v>
      </c>
    </row>
    <row r="330" spans="65:67">
      <c r="BM330">
        <v>65</v>
      </c>
      <c r="BN330" t="s">
        <v>104</v>
      </c>
      <c r="BO330" t="s">
        <v>413</v>
      </c>
    </row>
    <row r="331" spans="65:67">
      <c r="BM331">
        <v>66</v>
      </c>
      <c r="BN331" t="s">
        <v>129</v>
      </c>
      <c r="BO331" t="s">
        <v>413</v>
      </c>
    </row>
    <row r="332" spans="65:67">
      <c r="BM332">
        <v>67</v>
      </c>
      <c r="BN332" t="s">
        <v>103</v>
      </c>
      <c r="BO332" t="s">
        <v>413</v>
      </c>
    </row>
    <row r="333" spans="65:67">
      <c r="BM333">
        <v>68</v>
      </c>
      <c r="BN333" t="s">
        <v>166</v>
      </c>
      <c r="BO333" t="s">
        <v>413</v>
      </c>
    </row>
    <row r="334" spans="65:67">
      <c r="BM334">
        <v>69</v>
      </c>
      <c r="BN334" t="s">
        <v>409</v>
      </c>
      <c r="BO334" t="s">
        <v>413</v>
      </c>
    </row>
    <row r="335" spans="65:67">
      <c r="BM335">
        <v>70</v>
      </c>
      <c r="BN335" t="s">
        <v>115</v>
      </c>
      <c r="BO335" t="s">
        <v>413</v>
      </c>
    </row>
    <row r="336" spans="65:67">
      <c r="BM336">
        <v>71</v>
      </c>
      <c r="BN336" t="s">
        <v>109</v>
      </c>
      <c r="BO336" t="s">
        <v>413</v>
      </c>
    </row>
    <row r="337" spans="65:67">
      <c r="BM337">
        <v>72</v>
      </c>
      <c r="BN337" t="s">
        <v>138</v>
      </c>
      <c r="BO337" t="s">
        <v>413</v>
      </c>
    </row>
    <row r="338" spans="65:67">
      <c r="BM338">
        <v>73</v>
      </c>
      <c r="BN338" t="s">
        <v>131</v>
      </c>
      <c r="BO338" t="s">
        <v>413</v>
      </c>
    </row>
    <row r="339" spans="65:67">
      <c r="BM339">
        <v>74</v>
      </c>
      <c r="BN339" t="s">
        <v>108</v>
      </c>
      <c r="BO339" t="s">
        <v>413</v>
      </c>
    </row>
    <row r="340" spans="65:67">
      <c r="BM340">
        <v>75</v>
      </c>
      <c r="BN340" t="s">
        <v>123</v>
      </c>
      <c r="BO340" t="s">
        <v>413</v>
      </c>
    </row>
    <row r="341" spans="65:67">
      <c r="BM341">
        <v>76</v>
      </c>
      <c r="BN341" t="s">
        <v>142</v>
      </c>
      <c r="BO341" t="s">
        <v>413</v>
      </c>
    </row>
    <row r="342" spans="65:67">
      <c r="BM342">
        <v>77</v>
      </c>
      <c r="BN342" t="s">
        <v>171</v>
      </c>
      <c r="BO342" t="s">
        <v>413</v>
      </c>
    </row>
    <row r="343" spans="65:67">
      <c r="BM343">
        <v>78</v>
      </c>
      <c r="BN343" t="s">
        <v>125</v>
      </c>
      <c r="BO343" t="s">
        <v>413</v>
      </c>
    </row>
    <row r="344" spans="65:67">
      <c r="BM344">
        <v>79</v>
      </c>
      <c r="BN344" t="s">
        <v>410</v>
      </c>
      <c r="BO344" t="s">
        <v>413</v>
      </c>
    </row>
    <row r="345" spans="65:67">
      <c r="BM345">
        <v>80</v>
      </c>
      <c r="BN345" t="s">
        <v>137</v>
      </c>
      <c r="BO345" t="s">
        <v>413</v>
      </c>
    </row>
    <row r="346" spans="65:67">
      <c r="BM346">
        <v>81</v>
      </c>
      <c r="BN346" t="s">
        <v>117</v>
      </c>
      <c r="BO346" t="s">
        <v>413</v>
      </c>
    </row>
    <row r="347" spans="65:67">
      <c r="BM347">
        <v>82</v>
      </c>
      <c r="BN347" t="s">
        <v>134</v>
      </c>
      <c r="BO347" t="s">
        <v>413</v>
      </c>
    </row>
    <row r="348" spans="65:67">
      <c r="BM348">
        <v>83</v>
      </c>
      <c r="BN348" t="s">
        <v>132</v>
      </c>
      <c r="BO348" t="s">
        <v>413</v>
      </c>
    </row>
    <row r="349" spans="65:67">
      <c r="BM349">
        <v>84</v>
      </c>
      <c r="BN349" t="s">
        <v>100</v>
      </c>
      <c r="BO349" t="s">
        <v>413</v>
      </c>
    </row>
    <row r="350" spans="65:67">
      <c r="BM350">
        <v>85</v>
      </c>
      <c r="BN350" t="s">
        <v>140</v>
      </c>
      <c r="BO350" t="s">
        <v>413</v>
      </c>
    </row>
    <row r="351" spans="65:67">
      <c r="BM351">
        <v>86</v>
      </c>
      <c r="BN351" t="s">
        <v>156</v>
      </c>
      <c r="BO351" t="s">
        <v>413</v>
      </c>
    </row>
    <row r="352" spans="65:67">
      <c r="BM352">
        <v>87</v>
      </c>
      <c r="BN352" t="s">
        <v>169</v>
      </c>
      <c r="BO352" t="s">
        <v>413</v>
      </c>
    </row>
    <row r="353" spans="65:67">
      <c r="BM353">
        <v>88</v>
      </c>
      <c r="BN353" t="s">
        <v>162</v>
      </c>
      <c r="BO353" t="s">
        <v>413</v>
      </c>
    </row>
    <row r="354" spans="65:67">
      <c r="BM354">
        <v>89</v>
      </c>
      <c r="BN354" t="s">
        <v>94</v>
      </c>
      <c r="BO354" t="s">
        <v>413</v>
      </c>
    </row>
    <row r="355" spans="65:67">
      <c r="BM355">
        <v>90</v>
      </c>
      <c r="BN355" t="s">
        <v>121</v>
      </c>
      <c r="BO355" t="s">
        <v>413</v>
      </c>
    </row>
    <row r="356" spans="65:67">
      <c r="BM356">
        <v>91</v>
      </c>
      <c r="BN356" t="s">
        <v>143</v>
      </c>
      <c r="BO356" t="s">
        <v>413</v>
      </c>
    </row>
    <row r="357" spans="65:67">
      <c r="BM357">
        <v>92</v>
      </c>
      <c r="BN357" t="s">
        <v>113</v>
      </c>
      <c r="BO357" t="s">
        <v>413</v>
      </c>
    </row>
    <row r="358" spans="65:67">
      <c r="BM358">
        <v>93</v>
      </c>
      <c r="BN358" t="s">
        <v>154</v>
      </c>
      <c r="BO358" t="s">
        <v>413</v>
      </c>
    </row>
    <row r="359" spans="65:67">
      <c r="BM359">
        <v>94</v>
      </c>
      <c r="BN359" t="s">
        <v>150</v>
      </c>
      <c r="BO359" t="s">
        <v>413</v>
      </c>
    </row>
    <row r="360" spans="65:67">
      <c r="BM360">
        <v>95</v>
      </c>
      <c r="BN360" t="s">
        <v>92</v>
      </c>
      <c r="BO360" t="s">
        <v>413</v>
      </c>
    </row>
    <row r="361" spans="65:67">
      <c r="BM361">
        <v>96</v>
      </c>
      <c r="BN361" t="s">
        <v>175</v>
      </c>
      <c r="BO361" t="s">
        <v>413</v>
      </c>
    </row>
    <row r="362" spans="65:67">
      <c r="BM362">
        <v>97</v>
      </c>
      <c r="BN362" t="s">
        <v>135</v>
      </c>
      <c r="BO362" t="s">
        <v>413</v>
      </c>
    </row>
    <row r="363" spans="65:67">
      <c r="BM363">
        <v>98</v>
      </c>
      <c r="BN363" t="s">
        <v>130</v>
      </c>
      <c r="BO363" t="s">
        <v>413</v>
      </c>
    </row>
    <row r="364" spans="65:67">
      <c r="BM364">
        <v>99</v>
      </c>
      <c r="BN364" t="s">
        <v>164</v>
      </c>
      <c r="BO364" t="s">
        <v>413</v>
      </c>
    </row>
    <row r="365" spans="65:67">
      <c r="BM365">
        <v>100</v>
      </c>
      <c r="BN365" t="s">
        <v>146</v>
      </c>
      <c r="BO365" t="s">
        <v>413</v>
      </c>
    </row>
    <row r="366" spans="65:67">
      <c r="BM366">
        <v>101</v>
      </c>
      <c r="BN366" t="s">
        <v>179</v>
      </c>
      <c r="BO366" t="s">
        <v>413</v>
      </c>
    </row>
    <row r="367" spans="65:67">
      <c r="BM367">
        <v>102</v>
      </c>
      <c r="BN367" t="s">
        <v>152</v>
      </c>
      <c r="BO367" t="s">
        <v>413</v>
      </c>
    </row>
    <row r="368" spans="65:67">
      <c r="BM368">
        <v>103</v>
      </c>
      <c r="BN368" t="s">
        <v>198</v>
      </c>
      <c r="BO368" t="s">
        <v>413</v>
      </c>
    </row>
    <row r="369" spans="65:67">
      <c r="BM369">
        <v>104</v>
      </c>
      <c r="BN369" t="s">
        <v>167</v>
      </c>
      <c r="BO369" t="s">
        <v>413</v>
      </c>
    </row>
    <row r="370" spans="65:67">
      <c r="BM370">
        <v>105</v>
      </c>
      <c r="BN370" t="s">
        <v>199</v>
      </c>
      <c r="BO370" t="s">
        <v>413</v>
      </c>
    </row>
    <row r="371" spans="65:67">
      <c r="BM371">
        <v>106</v>
      </c>
      <c r="BN371" t="s">
        <v>208</v>
      </c>
      <c r="BO371" t="s">
        <v>413</v>
      </c>
    </row>
    <row r="372" spans="65:67">
      <c r="BM372">
        <v>107</v>
      </c>
      <c r="BN372" t="s">
        <v>114</v>
      </c>
      <c r="BO372" t="s">
        <v>413</v>
      </c>
    </row>
    <row r="373" spans="65:67">
      <c r="BM373">
        <v>108</v>
      </c>
      <c r="BN373" t="s">
        <v>147</v>
      </c>
      <c r="BO373" t="s">
        <v>413</v>
      </c>
    </row>
    <row r="374" spans="65:67">
      <c r="BM374">
        <v>109</v>
      </c>
      <c r="BN374" t="s">
        <v>160</v>
      </c>
      <c r="BO374" t="s">
        <v>413</v>
      </c>
    </row>
    <row r="375" spans="65:67">
      <c r="BM375">
        <v>110</v>
      </c>
      <c r="BN375" t="s">
        <v>141</v>
      </c>
      <c r="BO375" t="s">
        <v>413</v>
      </c>
    </row>
    <row r="376" spans="65:67">
      <c r="BM376">
        <v>111</v>
      </c>
      <c r="BN376" t="s">
        <v>178</v>
      </c>
      <c r="BO376" t="s">
        <v>413</v>
      </c>
    </row>
    <row r="377" spans="65:67">
      <c r="BM377">
        <v>112</v>
      </c>
      <c r="BN377" t="s">
        <v>165</v>
      </c>
      <c r="BO377" t="s">
        <v>413</v>
      </c>
    </row>
    <row r="378" spans="65:67">
      <c r="BM378">
        <v>113</v>
      </c>
      <c r="BN378" t="s">
        <v>273</v>
      </c>
      <c r="BO378" t="s">
        <v>413</v>
      </c>
    </row>
    <row r="379" spans="65:67">
      <c r="BM379">
        <v>114</v>
      </c>
      <c r="BN379" t="s">
        <v>157</v>
      </c>
      <c r="BO379" t="s">
        <v>413</v>
      </c>
    </row>
    <row r="380" spans="65:67">
      <c r="BM380">
        <v>115</v>
      </c>
      <c r="BN380" t="s">
        <v>181</v>
      </c>
      <c r="BO380" t="s">
        <v>413</v>
      </c>
    </row>
    <row r="381" spans="65:67">
      <c r="BM381">
        <v>116</v>
      </c>
      <c r="BN381" t="s">
        <v>268</v>
      </c>
      <c r="BO381" t="s">
        <v>413</v>
      </c>
    </row>
    <row r="382" spans="65:67">
      <c r="BM382">
        <v>117</v>
      </c>
      <c r="BN382" t="s">
        <v>136</v>
      </c>
      <c r="BO382" t="s">
        <v>413</v>
      </c>
    </row>
    <row r="383" spans="65:67">
      <c r="BM383">
        <v>118</v>
      </c>
      <c r="BN383" t="s">
        <v>230</v>
      </c>
      <c r="BO383" t="s">
        <v>413</v>
      </c>
    </row>
    <row r="384" spans="65:67">
      <c r="BM384">
        <v>119</v>
      </c>
      <c r="BN384" t="s">
        <v>172</v>
      </c>
      <c r="BO384" t="s">
        <v>413</v>
      </c>
    </row>
    <row r="385" spans="65:67">
      <c r="BM385">
        <v>120</v>
      </c>
      <c r="BN385" t="s">
        <v>145</v>
      </c>
      <c r="BO385" t="s">
        <v>413</v>
      </c>
    </row>
    <row r="386" spans="65:67">
      <c r="BM386">
        <v>121</v>
      </c>
      <c r="BN386" t="s">
        <v>144</v>
      </c>
      <c r="BO386" t="s">
        <v>413</v>
      </c>
    </row>
    <row r="387" spans="65:67">
      <c r="BM387">
        <v>122</v>
      </c>
      <c r="BN387" t="s">
        <v>191</v>
      </c>
      <c r="BO387" t="s">
        <v>413</v>
      </c>
    </row>
    <row r="388" spans="65:67">
      <c r="BM388">
        <v>123</v>
      </c>
      <c r="BN388" t="s">
        <v>190</v>
      </c>
      <c r="BO388" t="s">
        <v>413</v>
      </c>
    </row>
    <row r="389" spans="65:67">
      <c r="BM389">
        <v>124</v>
      </c>
      <c r="BN389" t="s">
        <v>170</v>
      </c>
      <c r="BO389" t="s">
        <v>413</v>
      </c>
    </row>
    <row r="390" spans="65:67">
      <c r="BM390">
        <v>125</v>
      </c>
      <c r="BN390" t="s">
        <v>187</v>
      </c>
      <c r="BO390" t="s">
        <v>413</v>
      </c>
    </row>
    <row r="391" spans="65:67">
      <c r="BM391">
        <v>126</v>
      </c>
      <c r="BN391" t="s">
        <v>186</v>
      </c>
      <c r="BO391" t="s">
        <v>413</v>
      </c>
    </row>
    <row r="392" spans="65:67">
      <c r="BM392">
        <v>127</v>
      </c>
      <c r="BN392" t="s">
        <v>192</v>
      </c>
      <c r="BO392" t="s">
        <v>413</v>
      </c>
    </row>
    <row r="393" spans="65:67">
      <c r="BM393">
        <v>128</v>
      </c>
      <c r="BN393" t="s">
        <v>158</v>
      </c>
      <c r="BO393" t="s">
        <v>413</v>
      </c>
    </row>
    <row r="394" spans="65:67">
      <c r="BM394">
        <v>129</v>
      </c>
      <c r="BN394" t="s">
        <v>173</v>
      </c>
      <c r="BO394" t="s">
        <v>413</v>
      </c>
    </row>
    <row r="395" spans="65:67">
      <c r="BM395">
        <v>130</v>
      </c>
      <c r="BN395" t="s">
        <v>266</v>
      </c>
      <c r="BO395" t="s">
        <v>413</v>
      </c>
    </row>
    <row r="396" spans="65:67">
      <c r="BM396">
        <v>1</v>
      </c>
      <c r="BN396" t="s">
        <v>30</v>
      </c>
      <c r="BO396" t="s">
        <v>414</v>
      </c>
    </row>
    <row r="397" spans="65:67">
      <c r="BM397">
        <v>2</v>
      </c>
      <c r="BN397" t="s">
        <v>407</v>
      </c>
      <c r="BO397" t="s">
        <v>414</v>
      </c>
    </row>
    <row r="398" spans="65:67">
      <c r="BM398">
        <v>3</v>
      </c>
      <c r="BN398" t="s">
        <v>408</v>
      </c>
      <c r="BO398" t="s">
        <v>414</v>
      </c>
    </row>
    <row r="399" spans="65:67">
      <c r="BM399">
        <v>4</v>
      </c>
      <c r="BN399" t="s">
        <v>21</v>
      </c>
      <c r="BO399" t="s">
        <v>414</v>
      </c>
    </row>
    <row r="400" spans="65:67">
      <c r="BM400">
        <v>5</v>
      </c>
      <c r="BN400" t="s">
        <v>24</v>
      </c>
      <c r="BO400" t="s">
        <v>414</v>
      </c>
    </row>
    <row r="401" spans="65:67">
      <c r="BM401">
        <v>6</v>
      </c>
      <c r="BN401" t="s">
        <v>41</v>
      </c>
      <c r="BO401" t="s">
        <v>414</v>
      </c>
    </row>
    <row r="402" spans="65:67">
      <c r="BM402">
        <v>7</v>
      </c>
      <c r="BN402" t="s">
        <v>65</v>
      </c>
      <c r="BO402" t="s">
        <v>414</v>
      </c>
    </row>
    <row r="403" spans="65:67">
      <c r="BM403">
        <v>8</v>
      </c>
      <c r="BN403" t="s">
        <v>74</v>
      </c>
      <c r="BO403" t="s">
        <v>414</v>
      </c>
    </row>
    <row r="404" spans="65:67">
      <c r="BM404">
        <v>9</v>
      </c>
      <c r="BN404" t="s">
        <v>46</v>
      </c>
      <c r="BO404" t="s">
        <v>414</v>
      </c>
    </row>
    <row r="405" spans="65:67">
      <c r="BM405">
        <v>10</v>
      </c>
      <c r="BN405" t="s">
        <v>60</v>
      </c>
      <c r="BO405" t="s">
        <v>414</v>
      </c>
    </row>
    <row r="406" spans="65:67">
      <c r="BM406">
        <v>11</v>
      </c>
      <c r="BN406" t="s">
        <v>64</v>
      </c>
      <c r="BO406" t="s">
        <v>414</v>
      </c>
    </row>
    <row r="407" spans="65:67">
      <c r="BM407">
        <v>12</v>
      </c>
      <c r="BN407" t="s">
        <v>16</v>
      </c>
      <c r="BO407" t="s">
        <v>414</v>
      </c>
    </row>
    <row r="408" spans="65:67">
      <c r="BM408">
        <v>13</v>
      </c>
      <c r="BN408" t="s">
        <v>62</v>
      </c>
      <c r="BO408" t="s">
        <v>414</v>
      </c>
    </row>
    <row r="409" spans="65:67">
      <c r="BM409">
        <v>14</v>
      </c>
      <c r="BN409" t="s">
        <v>35</v>
      </c>
      <c r="BO409" t="s">
        <v>414</v>
      </c>
    </row>
    <row r="410" spans="65:67">
      <c r="BM410">
        <v>15</v>
      </c>
      <c r="BN410" t="s">
        <v>49</v>
      </c>
      <c r="BO410" t="s">
        <v>414</v>
      </c>
    </row>
    <row r="411" spans="65:67">
      <c r="BM411">
        <v>16</v>
      </c>
      <c r="BN411" t="s">
        <v>52</v>
      </c>
      <c r="BO411" t="s">
        <v>414</v>
      </c>
    </row>
    <row r="412" spans="65:67">
      <c r="BM412">
        <v>17</v>
      </c>
      <c r="BN412" t="s">
        <v>72</v>
      </c>
      <c r="BO412" t="s">
        <v>414</v>
      </c>
    </row>
    <row r="413" spans="65:67">
      <c r="BM413">
        <v>18</v>
      </c>
      <c r="BN413" t="s">
        <v>58</v>
      </c>
      <c r="BO413" t="s">
        <v>414</v>
      </c>
    </row>
    <row r="414" spans="65:67">
      <c r="BM414">
        <v>19</v>
      </c>
      <c r="BN414" t="s">
        <v>67</v>
      </c>
      <c r="BO414" t="s">
        <v>414</v>
      </c>
    </row>
    <row r="415" spans="65:67">
      <c r="BM415">
        <v>20</v>
      </c>
      <c r="BN415" t="s">
        <v>43</v>
      </c>
      <c r="BO415" t="s">
        <v>414</v>
      </c>
    </row>
    <row r="416" spans="65:67">
      <c r="BM416">
        <v>21</v>
      </c>
      <c r="BN416" t="s">
        <v>40</v>
      </c>
      <c r="BO416" t="s">
        <v>414</v>
      </c>
    </row>
    <row r="417" spans="65:67">
      <c r="BM417">
        <v>22</v>
      </c>
      <c r="BN417" t="s">
        <v>32</v>
      </c>
      <c r="BO417" t="s">
        <v>414</v>
      </c>
    </row>
    <row r="418" spans="65:67">
      <c r="BM418">
        <v>23</v>
      </c>
      <c r="BN418" t="s">
        <v>69</v>
      </c>
      <c r="BO418" t="s">
        <v>414</v>
      </c>
    </row>
    <row r="419" spans="65:67">
      <c r="BM419">
        <v>24</v>
      </c>
      <c r="BN419" t="s">
        <v>54</v>
      </c>
      <c r="BO419" t="s">
        <v>414</v>
      </c>
    </row>
    <row r="420" spans="65:67">
      <c r="BM420">
        <v>25</v>
      </c>
      <c r="BN420" t="s">
        <v>66</v>
      </c>
      <c r="BO420" t="s">
        <v>414</v>
      </c>
    </row>
    <row r="421" spans="65:67">
      <c r="BM421">
        <v>26</v>
      </c>
      <c r="BN421" t="s">
        <v>45</v>
      </c>
      <c r="BO421" t="s">
        <v>414</v>
      </c>
    </row>
    <row r="422" spans="65:67">
      <c r="BM422">
        <v>27</v>
      </c>
      <c r="BN422" t="s">
        <v>83</v>
      </c>
      <c r="BO422" t="s">
        <v>414</v>
      </c>
    </row>
    <row r="423" spans="65:67">
      <c r="BM423">
        <v>28</v>
      </c>
      <c r="BN423" t="s">
        <v>96</v>
      </c>
      <c r="BO423" t="s">
        <v>414</v>
      </c>
    </row>
    <row r="424" spans="65:67">
      <c r="BM424">
        <v>29</v>
      </c>
      <c r="BN424" t="s">
        <v>56</v>
      </c>
      <c r="BO424" t="s">
        <v>414</v>
      </c>
    </row>
    <row r="425" spans="65:67">
      <c r="BM425">
        <v>30</v>
      </c>
      <c r="BN425" t="s">
        <v>248</v>
      </c>
      <c r="BO425" t="s">
        <v>414</v>
      </c>
    </row>
    <row r="426" spans="65:67">
      <c r="BM426">
        <v>31</v>
      </c>
      <c r="BN426" t="s">
        <v>97</v>
      </c>
      <c r="BO426" t="s">
        <v>414</v>
      </c>
    </row>
    <row r="427" spans="65:67">
      <c r="BM427">
        <v>32</v>
      </c>
      <c r="BN427" t="s">
        <v>51</v>
      </c>
      <c r="BO427" t="s">
        <v>414</v>
      </c>
    </row>
    <row r="428" spans="65:67">
      <c r="BM428">
        <v>33</v>
      </c>
      <c r="BN428" t="s">
        <v>86</v>
      </c>
      <c r="BO428" t="s">
        <v>414</v>
      </c>
    </row>
    <row r="429" spans="65:67">
      <c r="BM429">
        <v>34</v>
      </c>
      <c r="BN429" t="s">
        <v>70</v>
      </c>
      <c r="BO429" t="s">
        <v>414</v>
      </c>
    </row>
    <row r="430" spans="65:67">
      <c r="BM430">
        <v>35</v>
      </c>
      <c r="BN430" t="s">
        <v>93</v>
      </c>
      <c r="BO430" t="s">
        <v>414</v>
      </c>
    </row>
    <row r="431" spans="65:67">
      <c r="BM431">
        <v>36</v>
      </c>
      <c r="BN431" t="s">
        <v>102</v>
      </c>
      <c r="BO431" t="s">
        <v>414</v>
      </c>
    </row>
    <row r="432" spans="65:67">
      <c r="BM432">
        <v>37</v>
      </c>
      <c r="BN432" t="s">
        <v>89</v>
      </c>
      <c r="BO432" t="s">
        <v>414</v>
      </c>
    </row>
    <row r="433" spans="65:67">
      <c r="BM433">
        <v>38</v>
      </c>
      <c r="BN433" t="s">
        <v>87</v>
      </c>
      <c r="BO433" t="s">
        <v>414</v>
      </c>
    </row>
    <row r="434" spans="65:67">
      <c r="BM434">
        <v>39</v>
      </c>
      <c r="BN434" t="s">
        <v>76</v>
      </c>
      <c r="BO434" t="s">
        <v>414</v>
      </c>
    </row>
    <row r="435" spans="65:67">
      <c r="BM435">
        <v>40</v>
      </c>
      <c r="BN435" t="s">
        <v>78</v>
      </c>
      <c r="BO435" t="s">
        <v>414</v>
      </c>
    </row>
    <row r="436" spans="65:67">
      <c r="BM436">
        <v>41</v>
      </c>
      <c r="BN436" t="s">
        <v>168</v>
      </c>
      <c r="BO436" t="s">
        <v>414</v>
      </c>
    </row>
    <row r="437" spans="65:67">
      <c r="BM437">
        <v>42</v>
      </c>
      <c r="BN437" t="s">
        <v>84</v>
      </c>
      <c r="BO437" t="s">
        <v>414</v>
      </c>
    </row>
    <row r="438" spans="65:67">
      <c r="BM438">
        <v>43</v>
      </c>
      <c r="BN438" t="s">
        <v>85</v>
      </c>
      <c r="BO438" t="s">
        <v>414</v>
      </c>
    </row>
    <row r="439" spans="65:67">
      <c r="BM439">
        <v>44</v>
      </c>
      <c r="BN439" t="s">
        <v>159</v>
      </c>
      <c r="BO439" t="s">
        <v>414</v>
      </c>
    </row>
    <row r="440" spans="65:67">
      <c r="BM440">
        <v>45</v>
      </c>
      <c r="BN440" t="s">
        <v>99</v>
      </c>
      <c r="BO440" t="s">
        <v>414</v>
      </c>
    </row>
    <row r="441" spans="65:67">
      <c r="BM441">
        <v>46</v>
      </c>
      <c r="BN441" t="s">
        <v>111</v>
      </c>
      <c r="BO441" t="s">
        <v>414</v>
      </c>
    </row>
    <row r="442" spans="65:67">
      <c r="BM442">
        <v>47</v>
      </c>
      <c r="BN442" t="s">
        <v>118</v>
      </c>
      <c r="BO442" t="s">
        <v>414</v>
      </c>
    </row>
    <row r="443" spans="65:67">
      <c r="BM443">
        <v>48</v>
      </c>
      <c r="BN443" t="s">
        <v>122</v>
      </c>
      <c r="BO443" t="s">
        <v>414</v>
      </c>
    </row>
    <row r="444" spans="65:67">
      <c r="BM444">
        <v>49</v>
      </c>
      <c r="BN444" t="s">
        <v>37</v>
      </c>
      <c r="BO444" t="s">
        <v>414</v>
      </c>
    </row>
    <row r="445" spans="65:67">
      <c r="BM445">
        <v>50</v>
      </c>
      <c r="BN445" t="s">
        <v>128</v>
      </c>
      <c r="BO445" t="s">
        <v>414</v>
      </c>
    </row>
    <row r="446" spans="65:67">
      <c r="BM446">
        <v>51</v>
      </c>
      <c r="BN446" t="s">
        <v>110</v>
      </c>
      <c r="BO446" t="s">
        <v>414</v>
      </c>
    </row>
    <row r="447" spans="65:67">
      <c r="BM447">
        <v>52</v>
      </c>
      <c r="BN447" t="s">
        <v>101</v>
      </c>
      <c r="BO447" t="s">
        <v>414</v>
      </c>
    </row>
    <row r="448" spans="65:67">
      <c r="BM448">
        <v>53</v>
      </c>
      <c r="BN448" t="s">
        <v>124</v>
      </c>
      <c r="BO448" t="s">
        <v>414</v>
      </c>
    </row>
    <row r="449" spans="65:67">
      <c r="BM449">
        <v>54</v>
      </c>
      <c r="BN449" t="s">
        <v>81</v>
      </c>
      <c r="BO449" t="s">
        <v>414</v>
      </c>
    </row>
    <row r="450" spans="65:67">
      <c r="BM450">
        <v>55</v>
      </c>
      <c r="BN450" t="s">
        <v>104</v>
      </c>
      <c r="BO450" t="s">
        <v>414</v>
      </c>
    </row>
    <row r="451" spans="65:67">
      <c r="BM451">
        <v>56</v>
      </c>
      <c r="BN451" t="s">
        <v>148</v>
      </c>
      <c r="BO451" t="s">
        <v>414</v>
      </c>
    </row>
    <row r="452" spans="65:67">
      <c r="BM452">
        <v>57</v>
      </c>
      <c r="BN452" t="s">
        <v>88</v>
      </c>
      <c r="BO452" t="s">
        <v>414</v>
      </c>
    </row>
    <row r="453" spans="65:67">
      <c r="BM453">
        <v>58</v>
      </c>
      <c r="BN453" t="s">
        <v>107</v>
      </c>
      <c r="BO453" t="s">
        <v>414</v>
      </c>
    </row>
    <row r="454" spans="65:67">
      <c r="BM454">
        <v>59</v>
      </c>
      <c r="BN454" t="s">
        <v>103</v>
      </c>
      <c r="BO454" t="s">
        <v>414</v>
      </c>
    </row>
    <row r="455" spans="65:67">
      <c r="BM455">
        <v>60</v>
      </c>
      <c r="BN455" t="s">
        <v>90</v>
      </c>
      <c r="BO455" t="s">
        <v>414</v>
      </c>
    </row>
    <row r="456" spans="65:67">
      <c r="BM456">
        <v>61</v>
      </c>
      <c r="BN456" t="s">
        <v>119</v>
      </c>
      <c r="BO456" t="s">
        <v>414</v>
      </c>
    </row>
    <row r="457" spans="65:67">
      <c r="BM457">
        <v>62</v>
      </c>
      <c r="BN457" t="s">
        <v>106</v>
      </c>
      <c r="BO457" t="s">
        <v>414</v>
      </c>
    </row>
    <row r="458" spans="65:67">
      <c r="BM458">
        <v>63</v>
      </c>
      <c r="BN458" t="s">
        <v>133</v>
      </c>
      <c r="BO458" t="s">
        <v>414</v>
      </c>
    </row>
    <row r="459" spans="65:67">
      <c r="BM459">
        <v>64</v>
      </c>
      <c r="BN459" t="s">
        <v>163</v>
      </c>
      <c r="BO459" t="s">
        <v>414</v>
      </c>
    </row>
    <row r="460" spans="65:67">
      <c r="BM460">
        <v>65</v>
      </c>
      <c r="BN460" t="s">
        <v>80</v>
      </c>
      <c r="BO460" t="s">
        <v>414</v>
      </c>
    </row>
    <row r="461" spans="65:67">
      <c r="BM461">
        <v>66</v>
      </c>
      <c r="BN461" t="s">
        <v>126</v>
      </c>
      <c r="BO461" t="s">
        <v>414</v>
      </c>
    </row>
    <row r="462" spans="65:67">
      <c r="BM462">
        <v>67</v>
      </c>
      <c r="BN462" t="s">
        <v>166</v>
      </c>
      <c r="BO462" t="s">
        <v>414</v>
      </c>
    </row>
    <row r="463" spans="65:67">
      <c r="BM463">
        <v>68</v>
      </c>
      <c r="BN463" t="s">
        <v>117</v>
      </c>
      <c r="BO463" t="s">
        <v>414</v>
      </c>
    </row>
    <row r="464" spans="65:67">
      <c r="BM464">
        <v>69</v>
      </c>
      <c r="BN464" t="s">
        <v>109</v>
      </c>
      <c r="BO464" t="s">
        <v>414</v>
      </c>
    </row>
    <row r="465" spans="65:67">
      <c r="BM465">
        <v>70</v>
      </c>
      <c r="BN465" t="s">
        <v>108</v>
      </c>
      <c r="BO465" t="s">
        <v>414</v>
      </c>
    </row>
    <row r="466" spans="65:67">
      <c r="BM466">
        <v>71</v>
      </c>
      <c r="BN466" t="s">
        <v>142</v>
      </c>
      <c r="BO466" t="s">
        <v>414</v>
      </c>
    </row>
    <row r="467" spans="65:67">
      <c r="BM467">
        <v>72</v>
      </c>
      <c r="BN467" t="s">
        <v>171</v>
      </c>
      <c r="BO467" t="s">
        <v>414</v>
      </c>
    </row>
    <row r="468" spans="65:67">
      <c r="BM468">
        <v>73</v>
      </c>
      <c r="BN468" t="s">
        <v>125</v>
      </c>
      <c r="BO468" t="s">
        <v>414</v>
      </c>
    </row>
    <row r="469" spans="65:67">
      <c r="BM469">
        <v>74</v>
      </c>
      <c r="BN469" t="s">
        <v>100</v>
      </c>
      <c r="BO469" t="s">
        <v>414</v>
      </c>
    </row>
    <row r="470" spans="65:67">
      <c r="BM470">
        <v>75</v>
      </c>
      <c r="BN470" t="s">
        <v>115</v>
      </c>
      <c r="BO470" t="s">
        <v>414</v>
      </c>
    </row>
    <row r="471" spans="65:67">
      <c r="BM471">
        <v>76</v>
      </c>
      <c r="BN471" t="s">
        <v>136</v>
      </c>
      <c r="BO471" t="s">
        <v>414</v>
      </c>
    </row>
    <row r="472" spans="65:67">
      <c r="BM472">
        <v>77</v>
      </c>
      <c r="BN472" t="s">
        <v>154</v>
      </c>
      <c r="BO472" t="s">
        <v>414</v>
      </c>
    </row>
    <row r="473" spans="65:67">
      <c r="BM473">
        <v>78</v>
      </c>
      <c r="BN473" t="s">
        <v>169</v>
      </c>
      <c r="BO473" t="s">
        <v>414</v>
      </c>
    </row>
    <row r="474" spans="65:67">
      <c r="BM474">
        <v>79</v>
      </c>
      <c r="BN474" t="s">
        <v>410</v>
      </c>
      <c r="BO474" t="s">
        <v>414</v>
      </c>
    </row>
    <row r="475" spans="65:67">
      <c r="BM475">
        <v>80</v>
      </c>
      <c r="BN475" t="s">
        <v>143</v>
      </c>
      <c r="BO475" t="s">
        <v>414</v>
      </c>
    </row>
    <row r="476" spans="65:67">
      <c r="BM476">
        <v>81</v>
      </c>
      <c r="BN476" t="s">
        <v>134</v>
      </c>
      <c r="BO476" t="s">
        <v>414</v>
      </c>
    </row>
    <row r="477" spans="65:67">
      <c r="BM477">
        <v>82</v>
      </c>
      <c r="BN477" t="s">
        <v>131</v>
      </c>
      <c r="BO477" t="s">
        <v>414</v>
      </c>
    </row>
    <row r="478" spans="65:67">
      <c r="BM478">
        <v>83</v>
      </c>
      <c r="BN478" t="s">
        <v>152</v>
      </c>
      <c r="BO478" t="s">
        <v>414</v>
      </c>
    </row>
    <row r="479" spans="65:67">
      <c r="BM479">
        <v>84</v>
      </c>
      <c r="BN479" t="s">
        <v>132</v>
      </c>
      <c r="BO479" t="s">
        <v>414</v>
      </c>
    </row>
    <row r="480" spans="65:67">
      <c r="BM480">
        <v>85</v>
      </c>
      <c r="BN480" t="s">
        <v>140</v>
      </c>
      <c r="BO480" t="s">
        <v>414</v>
      </c>
    </row>
    <row r="481" spans="65:67">
      <c r="BM481">
        <v>86</v>
      </c>
      <c r="BN481" t="s">
        <v>146</v>
      </c>
      <c r="BO481" t="s">
        <v>414</v>
      </c>
    </row>
    <row r="482" spans="65:67">
      <c r="BM482">
        <v>87</v>
      </c>
      <c r="BN482" t="s">
        <v>121</v>
      </c>
      <c r="BO482" t="s">
        <v>414</v>
      </c>
    </row>
    <row r="483" spans="65:67">
      <c r="BM483">
        <v>88</v>
      </c>
      <c r="BN483" t="s">
        <v>175</v>
      </c>
      <c r="BO483" t="s">
        <v>414</v>
      </c>
    </row>
    <row r="484" spans="65:67">
      <c r="BM484">
        <v>89</v>
      </c>
      <c r="BN484" t="s">
        <v>94</v>
      </c>
      <c r="BO484" t="s">
        <v>414</v>
      </c>
    </row>
    <row r="485" spans="65:67">
      <c r="BM485">
        <v>90</v>
      </c>
      <c r="BN485" t="s">
        <v>198</v>
      </c>
      <c r="BO485" t="s">
        <v>414</v>
      </c>
    </row>
    <row r="486" spans="65:67">
      <c r="BM486">
        <v>91</v>
      </c>
      <c r="BN486" t="s">
        <v>114</v>
      </c>
      <c r="BO486" t="s">
        <v>414</v>
      </c>
    </row>
    <row r="487" spans="65:67">
      <c r="BM487">
        <v>92</v>
      </c>
      <c r="BN487" t="s">
        <v>156</v>
      </c>
      <c r="BO487" t="s">
        <v>414</v>
      </c>
    </row>
    <row r="488" spans="65:67">
      <c r="BM488">
        <v>93</v>
      </c>
      <c r="BN488" t="s">
        <v>172</v>
      </c>
      <c r="BO488" t="s">
        <v>414</v>
      </c>
    </row>
    <row r="489" spans="65:67">
      <c r="BM489">
        <v>94</v>
      </c>
      <c r="BN489" t="s">
        <v>135</v>
      </c>
      <c r="BO489" t="s">
        <v>414</v>
      </c>
    </row>
    <row r="490" spans="65:67">
      <c r="BM490">
        <v>95</v>
      </c>
      <c r="BN490" t="s">
        <v>150</v>
      </c>
      <c r="BO490" t="s">
        <v>414</v>
      </c>
    </row>
    <row r="491" spans="65:67">
      <c r="BM491">
        <v>96</v>
      </c>
      <c r="BN491" t="s">
        <v>137</v>
      </c>
      <c r="BO491" t="s">
        <v>414</v>
      </c>
    </row>
    <row r="492" spans="65:67">
      <c r="BM492">
        <v>97</v>
      </c>
      <c r="BN492" t="s">
        <v>162</v>
      </c>
      <c r="BO492" t="s">
        <v>414</v>
      </c>
    </row>
    <row r="493" spans="65:67">
      <c r="BM493">
        <v>98</v>
      </c>
      <c r="BN493" t="s">
        <v>409</v>
      </c>
      <c r="BO493" t="s">
        <v>414</v>
      </c>
    </row>
    <row r="494" spans="65:67">
      <c r="BM494">
        <v>99</v>
      </c>
      <c r="BN494" t="s">
        <v>273</v>
      </c>
      <c r="BO494" t="s">
        <v>414</v>
      </c>
    </row>
    <row r="495" spans="65:67">
      <c r="BM495">
        <v>100</v>
      </c>
      <c r="BN495" t="s">
        <v>130</v>
      </c>
      <c r="BO495" t="s">
        <v>414</v>
      </c>
    </row>
    <row r="496" spans="65:67">
      <c r="BM496">
        <v>101</v>
      </c>
      <c r="BN496" t="s">
        <v>167</v>
      </c>
      <c r="BO496" t="s">
        <v>414</v>
      </c>
    </row>
    <row r="497" spans="65:67">
      <c r="BM497">
        <v>102</v>
      </c>
      <c r="BN497" t="s">
        <v>129</v>
      </c>
      <c r="BO497" t="s">
        <v>414</v>
      </c>
    </row>
    <row r="498" spans="65:67">
      <c r="BM498">
        <v>103</v>
      </c>
      <c r="BN498" t="s">
        <v>138</v>
      </c>
      <c r="BO498" t="s">
        <v>414</v>
      </c>
    </row>
    <row r="499" spans="65:67">
      <c r="BM499">
        <v>104</v>
      </c>
      <c r="BN499" t="s">
        <v>178</v>
      </c>
      <c r="BO499" t="s">
        <v>414</v>
      </c>
    </row>
    <row r="500" spans="65:67">
      <c r="BM500">
        <v>105</v>
      </c>
      <c r="BN500" t="s">
        <v>123</v>
      </c>
      <c r="BO500" t="s">
        <v>414</v>
      </c>
    </row>
    <row r="501" spans="65:67">
      <c r="BM501">
        <v>106</v>
      </c>
      <c r="BN501" t="s">
        <v>113</v>
      </c>
      <c r="BO501" t="s">
        <v>414</v>
      </c>
    </row>
    <row r="502" spans="65:67">
      <c r="BM502">
        <v>107</v>
      </c>
      <c r="BN502" t="s">
        <v>141</v>
      </c>
      <c r="BO502" t="s">
        <v>414</v>
      </c>
    </row>
    <row r="503" spans="65:67">
      <c r="BM503">
        <v>108</v>
      </c>
      <c r="BN503" t="s">
        <v>147</v>
      </c>
      <c r="BO503" t="s">
        <v>414</v>
      </c>
    </row>
    <row r="504" spans="65:67">
      <c r="BM504">
        <v>109</v>
      </c>
      <c r="BN504" t="s">
        <v>164</v>
      </c>
      <c r="BO504" t="s">
        <v>414</v>
      </c>
    </row>
    <row r="505" spans="65:67">
      <c r="BM505">
        <v>110</v>
      </c>
      <c r="BN505" t="s">
        <v>160</v>
      </c>
      <c r="BO505" t="s">
        <v>414</v>
      </c>
    </row>
    <row r="506" spans="65:67">
      <c r="BM506">
        <v>111</v>
      </c>
      <c r="BN506" t="s">
        <v>179</v>
      </c>
      <c r="BO506" t="s">
        <v>414</v>
      </c>
    </row>
    <row r="507" spans="65:67">
      <c r="BM507">
        <v>112</v>
      </c>
      <c r="BN507" t="s">
        <v>157</v>
      </c>
      <c r="BO507" t="s">
        <v>414</v>
      </c>
    </row>
    <row r="508" spans="65:67">
      <c r="BM508">
        <v>113</v>
      </c>
      <c r="BN508" t="s">
        <v>191</v>
      </c>
      <c r="BO508" t="s">
        <v>414</v>
      </c>
    </row>
    <row r="509" spans="65:67">
      <c r="BM509">
        <v>114</v>
      </c>
      <c r="BN509" t="s">
        <v>92</v>
      </c>
      <c r="BO509" t="s">
        <v>414</v>
      </c>
    </row>
    <row r="510" spans="65:67">
      <c r="BM510">
        <v>115</v>
      </c>
      <c r="BN510" t="s">
        <v>230</v>
      </c>
      <c r="BO510" t="s">
        <v>414</v>
      </c>
    </row>
    <row r="511" spans="65:67">
      <c r="BM511">
        <v>116</v>
      </c>
      <c r="BN511" t="s">
        <v>145</v>
      </c>
      <c r="BO511" t="s">
        <v>414</v>
      </c>
    </row>
    <row r="512" spans="65:67">
      <c r="BM512">
        <v>117</v>
      </c>
      <c r="BN512" t="s">
        <v>192</v>
      </c>
      <c r="BO512" t="s">
        <v>414</v>
      </c>
    </row>
    <row r="513" spans="65:67">
      <c r="BM513">
        <v>118</v>
      </c>
      <c r="BN513" t="s">
        <v>170</v>
      </c>
      <c r="BO513" t="s">
        <v>414</v>
      </c>
    </row>
    <row r="514" spans="65:67">
      <c r="BM514">
        <v>119</v>
      </c>
      <c r="BN514" t="s">
        <v>199</v>
      </c>
      <c r="BO514" t="s">
        <v>414</v>
      </c>
    </row>
    <row r="515" spans="65:67">
      <c r="BM515">
        <v>120</v>
      </c>
      <c r="BN515" t="s">
        <v>266</v>
      </c>
      <c r="BO515" t="s">
        <v>414</v>
      </c>
    </row>
    <row r="516" spans="65:67">
      <c r="BM516">
        <v>121</v>
      </c>
      <c r="BN516" t="s">
        <v>412</v>
      </c>
      <c r="BO516" t="s">
        <v>414</v>
      </c>
    </row>
    <row r="517" spans="65:67">
      <c r="BM517">
        <v>122</v>
      </c>
      <c r="BN517" t="s">
        <v>265</v>
      </c>
      <c r="BO517" t="s">
        <v>414</v>
      </c>
    </row>
    <row r="518" spans="65:67">
      <c r="BM518">
        <v>123</v>
      </c>
      <c r="BN518" t="s">
        <v>239</v>
      </c>
      <c r="BO518" t="s">
        <v>414</v>
      </c>
    </row>
    <row r="519" spans="65:67">
      <c r="BM519">
        <v>124</v>
      </c>
      <c r="BN519" t="s">
        <v>268</v>
      </c>
      <c r="BO519" t="s">
        <v>414</v>
      </c>
    </row>
    <row r="520" spans="65:67">
      <c r="BM520">
        <v>125</v>
      </c>
      <c r="BN520" t="s">
        <v>221</v>
      </c>
      <c r="BO520" t="s">
        <v>414</v>
      </c>
    </row>
    <row r="521" spans="65:67">
      <c r="BM521">
        <v>126</v>
      </c>
      <c r="BN521" t="s">
        <v>144</v>
      </c>
      <c r="BO521" t="s">
        <v>414</v>
      </c>
    </row>
    <row r="522" spans="65:67">
      <c r="BM522">
        <v>127</v>
      </c>
      <c r="BN522" t="s">
        <v>158</v>
      </c>
      <c r="BO522" t="s">
        <v>414</v>
      </c>
    </row>
    <row r="523" spans="65:67">
      <c r="BM523">
        <v>128</v>
      </c>
      <c r="BN523" t="s">
        <v>165</v>
      </c>
      <c r="BO523" t="s">
        <v>414</v>
      </c>
    </row>
    <row r="524" spans="65:67">
      <c r="BM524">
        <v>129</v>
      </c>
      <c r="BN524" t="s">
        <v>212</v>
      </c>
      <c r="BO524" t="s">
        <v>414</v>
      </c>
    </row>
    <row r="525" spans="65:67">
      <c r="BM525">
        <v>130</v>
      </c>
      <c r="BN525" t="s">
        <v>205</v>
      </c>
      <c r="BO525" t="s">
        <v>414</v>
      </c>
    </row>
    <row r="526" spans="65:67">
      <c r="BM526">
        <v>1</v>
      </c>
      <c r="BN526" t="s">
        <v>30</v>
      </c>
      <c r="BO526" t="s">
        <v>415</v>
      </c>
    </row>
    <row r="527" spans="65:67">
      <c r="BM527">
        <v>2</v>
      </c>
      <c r="BN527" t="s">
        <v>407</v>
      </c>
      <c r="BO527" t="s">
        <v>415</v>
      </c>
    </row>
    <row r="528" spans="65:67">
      <c r="BM528">
        <v>3</v>
      </c>
      <c r="BN528" t="s">
        <v>408</v>
      </c>
      <c r="BO528" t="s">
        <v>415</v>
      </c>
    </row>
    <row r="529" spans="65:67">
      <c r="BM529">
        <v>4</v>
      </c>
      <c r="BN529" t="s">
        <v>21</v>
      </c>
      <c r="BO529" t="s">
        <v>415</v>
      </c>
    </row>
    <row r="530" spans="65:67">
      <c r="BM530">
        <v>5</v>
      </c>
      <c r="BN530" t="s">
        <v>41</v>
      </c>
      <c r="BO530" t="s">
        <v>415</v>
      </c>
    </row>
    <row r="531" spans="65:67">
      <c r="BM531">
        <v>6</v>
      </c>
      <c r="BN531" t="s">
        <v>65</v>
      </c>
      <c r="BO531" t="s">
        <v>415</v>
      </c>
    </row>
    <row r="532" spans="65:67">
      <c r="BM532">
        <v>7</v>
      </c>
      <c r="BN532" t="s">
        <v>24</v>
      </c>
      <c r="BO532" t="s">
        <v>415</v>
      </c>
    </row>
    <row r="533" spans="65:67">
      <c r="BM533">
        <v>8</v>
      </c>
      <c r="BN533" t="s">
        <v>46</v>
      </c>
      <c r="BO533" t="s">
        <v>415</v>
      </c>
    </row>
    <row r="534" spans="65:67">
      <c r="BM534">
        <v>9</v>
      </c>
      <c r="BN534" t="s">
        <v>74</v>
      </c>
      <c r="BO534" t="s">
        <v>415</v>
      </c>
    </row>
    <row r="535" spans="65:67">
      <c r="BM535">
        <v>10</v>
      </c>
      <c r="BN535" t="s">
        <v>60</v>
      </c>
      <c r="BO535" t="s">
        <v>415</v>
      </c>
    </row>
    <row r="536" spans="65:67">
      <c r="BM536">
        <v>11</v>
      </c>
      <c r="BN536" t="s">
        <v>49</v>
      </c>
      <c r="BO536" t="s">
        <v>415</v>
      </c>
    </row>
    <row r="537" spans="65:67">
      <c r="BM537">
        <v>12</v>
      </c>
      <c r="BN537" t="s">
        <v>52</v>
      </c>
      <c r="BO537" t="s">
        <v>415</v>
      </c>
    </row>
    <row r="538" spans="65:67">
      <c r="BM538">
        <v>13</v>
      </c>
      <c r="BN538" t="s">
        <v>64</v>
      </c>
      <c r="BO538" t="s">
        <v>415</v>
      </c>
    </row>
    <row r="539" spans="65:67">
      <c r="BM539">
        <v>14</v>
      </c>
      <c r="BN539" t="s">
        <v>35</v>
      </c>
      <c r="BO539" t="s">
        <v>415</v>
      </c>
    </row>
    <row r="540" spans="65:67">
      <c r="BM540">
        <v>15</v>
      </c>
      <c r="BN540" t="s">
        <v>45</v>
      </c>
      <c r="BO540" t="s">
        <v>415</v>
      </c>
    </row>
    <row r="541" spans="65:67">
      <c r="BM541">
        <v>16</v>
      </c>
      <c r="BN541" t="s">
        <v>58</v>
      </c>
      <c r="BO541" t="s">
        <v>415</v>
      </c>
    </row>
    <row r="542" spans="65:67">
      <c r="BM542">
        <v>17</v>
      </c>
      <c r="BN542" t="s">
        <v>67</v>
      </c>
      <c r="BO542" t="s">
        <v>415</v>
      </c>
    </row>
    <row r="543" spans="65:67">
      <c r="BM543">
        <v>18</v>
      </c>
      <c r="BN543" t="s">
        <v>62</v>
      </c>
      <c r="BO543" t="s">
        <v>415</v>
      </c>
    </row>
    <row r="544" spans="65:67">
      <c r="BM544">
        <v>19</v>
      </c>
      <c r="BN544" t="s">
        <v>16</v>
      </c>
      <c r="BO544" t="s">
        <v>415</v>
      </c>
    </row>
    <row r="545" spans="65:67">
      <c r="BM545">
        <v>20</v>
      </c>
      <c r="BN545" t="s">
        <v>72</v>
      </c>
      <c r="BO545" t="s">
        <v>415</v>
      </c>
    </row>
    <row r="546" spans="65:67">
      <c r="BM546">
        <v>21</v>
      </c>
      <c r="BN546" t="s">
        <v>43</v>
      </c>
      <c r="BO546" t="s">
        <v>415</v>
      </c>
    </row>
    <row r="547" spans="65:67">
      <c r="BM547">
        <v>22</v>
      </c>
      <c r="BN547" t="s">
        <v>40</v>
      </c>
      <c r="BO547" t="s">
        <v>415</v>
      </c>
    </row>
    <row r="548" spans="65:67">
      <c r="BM548">
        <v>23</v>
      </c>
      <c r="BN548" t="s">
        <v>32</v>
      </c>
      <c r="BO548" t="s">
        <v>415</v>
      </c>
    </row>
    <row r="549" spans="65:67">
      <c r="BM549">
        <v>24</v>
      </c>
      <c r="BN549" t="s">
        <v>69</v>
      </c>
      <c r="BO549" t="s">
        <v>415</v>
      </c>
    </row>
    <row r="550" spans="65:67">
      <c r="BM550">
        <v>25</v>
      </c>
      <c r="BN550" t="s">
        <v>66</v>
      </c>
      <c r="BO550" t="s">
        <v>415</v>
      </c>
    </row>
    <row r="551" spans="65:67">
      <c r="BM551">
        <v>26</v>
      </c>
      <c r="BN551" t="s">
        <v>248</v>
      </c>
      <c r="BO551" t="s">
        <v>415</v>
      </c>
    </row>
    <row r="552" spans="65:67">
      <c r="BM552">
        <v>27</v>
      </c>
      <c r="BN552" t="s">
        <v>54</v>
      </c>
      <c r="BO552" t="s">
        <v>415</v>
      </c>
    </row>
    <row r="553" spans="65:67">
      <c r="BM553">
        <v>28</v>
      </c>
      <c r="BN553" t="s">
        <v>83</v>
      </c>
      <c r="BO553" t="s">
        <v>415</v>
      </c>
    </row>
    <row r="554" spans="65:67">
      <c r="BM554">
        <v>29</v>
      </c>
      <c r="BN554" t="s">
        <v>168</v>
      </c>
      <c r="BO554" t="s">
        <v>415</v>
      </c>
    </row>
    <row r="555" spans="65:67">
      <c r="BM555">
        <v>30</v>
      </c>
      <c r="BN555" t="s">
        <v>96</v>
      </c>
      <c r="BO555" t="s">
        <v>415</v>
      </c>
    </row>
    <row r="556" spans="65:67">
      <c r="BM556">
        <v>31</v>
      </c>
      <c r="BN556" t="s">
        <v>56</v>
      </c>
      <c r="BO556" t="s">
        <v>415</v>
      </c>
    </row>
    <row r="557" spans="65:67">
      <c r="BM557">
        <v>32</v>
      </c>
      <c r="BN557" t="s">
        <v>85</v>
      </c>
      <c r="BO557" t="s">
        <v>415</v>
      </c>
    </row>
    <row r="558" spans="65:67">
      <c r="BM558">
        <v>33</v>
      </c>
      <c r="BN558" t="s">
        <v>97</v>
      </c>
      <c r="BO558" t="s">
        <v>415</v>
      </c>
    </row>
    <row r="559" spans="65:67">
      <c r="BM559">
        <v>34</v>
      </c>
      <c r="BN559" t="s">
        <v>118</v>
      </c>
      <c r="BO559" t="s">
        <v>415</v>
      </c>
    </row>
    <row r="560" spans="65:67">
      <c r="BM560">
        <v>35</v>
      </c>
      <c r="BN560" t="s">
        <v>119</v>
      </c>
      <c r="BO560" t="s">
        <v>415</v>
      </c>
    </row>
    <row r="561" spans="65:67">
      <c r="BM561">
        <v>36</v>
      </c>
      <c r="BN561" t="s">
        <v>86</v>
      </c>
      <c r="BO561" t="s">
        <v>415</v>
      </c>
    </row>
    <row r="562" spans="65:67">
      <c r="BM562">
        <v>37</v>
      </c>
      <c r="BN562" t="s">
        <v>51</v>
      </c>
      <c r="BO562" t="s">
        <v>415</v>
      </c>
    </row>
    <row r="563" spans="65:67">
      <c r="BM563">
        <v>38</v>
      </c>
      <c r="BN563" t="s">
        <v>70</v>
      </c>
      <c r="BO563" t="s">
        <v>415</v>
      </c>
    </row>
    <row r="564" spans="65:67">
      <c r="BM564">
        <v>39</v>
      </c>
      <c r="BN564" t="s">
        <v>93</v>
      </c>
      <c r="BO564" t="s">
        <v>415</v>
      </c>
    </row>
    <row r="565" spans="65:67">
      <c r="BM565">
        <v>40</v>
      </c>
      <c r="BN565" t="s">
        <v>102</v>
      </c>
      <c r="BO565" t="s">
        <v>415</v>
      </c>
    </row>
    <row r="566" spans="65:67">
      <c r="BM566">
        <v>41</v>
      </c>
      <c r="BN566" t="s">
        <v>89</v>
      </c>
      <c r="BO566" t="s">
        <v>415</v>
      </c>
    </row>
    <row r="567" spans="65:67">
      <c r="BM567">
        <v>42</v>
      </c>
      <c r="BN567" t="s">
        <v>87</v>
      </c>
      <c r="BO567" t="s">
        <v>415</v>
      </c>
    </row>
    <row r="568" spans="65:67">
      <c r="BM568">
        <v>43</v>
      </c>
      <c r="BN568" t="s">
        <v>128</v>
      </c>
      <c r="BO568" t="s">
        <v>415</v>
      </c>
    </row>
    <row r="569" spans="65:67">
      <c r="BM569">
        <v>44</v>
      </c>
      <c r="BN569" t="s">
        <v>76</v>
      </c>
      <c r="BO569" t="s">
        <v>415</v>
      </c>
    </row>
    <row r="570" spans="65:67">
      <c r="BM570">
        <v>45</v>
      </c>
      <c r="BN570" t="s">
        <v>99</v>
      </c>
      <c r="BO570" t="s">
        <v>415</v>
      </c>
    </row>
    <row r="571" spans="65:67">
      <c r="BM571">
        <v>46</v>
      </c>
      <c r="BN571" t="s">
        <v>78</v>
      </c>
      <c r="BO571" t="s">
        <v>415</v>
      </c>
    </row>
    <row r="572" spans="65:67">
      <c r="BM572">
        <v>47</v>
      </c>
      <c r="BN572" t="s">
        <v>122</v>
      </c>
      <c r="BO572" t="s">
        <v>415</v>
      </c>
    </row>
    <row r="573" spans="65:67">
      <c r="BM573">
        <v>48</v>
      </c>
      <c r="BN573" t="s">
        <v>84</v>
      </c>
      <c r="BO573" t="s">
        <v>415</v>
      </c>
    </row>
    <row r="574" spans="65:67">
      <c r="BM574">
        <v>49</v>
      </c>
      <c r="BN574" t="s">
        <v>148</v>
      </c>
      <c r="BO574" t="s">
        <v>415</v>
      </c>
    </row>
    <row r="575" spans="65:67">
      <c r="BM575">
        <v>50</v>
      </c>
      <c r="BN575" t="s">
        <v>111</v>
      </c>
      <c r="BO575" t="s">
        <v>415</v>
      </c>
    </row>
    <row r="576" spans="65:67">
      <c r="BM576">
        <v>51</v>
      </c>
      <c r="BN576" t="s">
        <v>88</v>
      </c>
      <c r="BO576" t="s">
        <v>415</v>
      </c>
    </row>
    <row r="577" spans="65:67">
      <c r="BM577">
        <v>52</v>
      </c>
      <c r="BN577" t="s">
        <v>103</v>
      </c>
      <c r="BO577" t="s">
        <v>415</v>
      </c>
    </row>
    <row r="578" spans="65:67">
      <c r="BM578">
        <v>53</v>
      </c>
      <c r="BN578" t="s">
        <v>90</v>
      </c>
      <c r="BO578" t="s">
        <v>415</v>
      </c>
    </row>
    <row r="579" spans="65:67">
      <c r="BM579">
        <v>54</v>
      </c>
      <c r="BN579" t="s">
        <v>80</v>
      </c>
      <c r="BO579" t="s">
        <v>415</v>
      </c>
    </row>
    <row r="580" spans="65:67">
      <c r="BM580">
        <v>55</v>
      </c>
      <c r="BN580" t="s">
        <v>107</v>
      </c>
      <c r="BO580" t="s">
        <v>415</v>
      </c>
    </row>
    <row r="581" spans="65:67">
      <c r="BM581">
        <v>56</v>
      </c>
      <c r="BN581" t="s">
        <v>110</v>
      </c>
      <c r="BO581" t="s">
        <v>415</v>
      </c>
    </row>
    <row r="582" spans="65:67">
      <c r="BM582">
        <v>57</v>
      </c>
      <c r="BN582" t="s">
        <v>101</v>
      </c>
      <c r="BO582" t="s">
        <v>415</v>
      </c>
    </row>
    <row r="583" spans="65:67">
      <c r="BM583">
        <v>58</v>
      </c>
      <c r="BN583" t="s">
        <v>104</v>
      </c>
      <c r="BO583" t="s">
        <v>415</v>
      </c>
    </row>
    <row r="584" spans="65:67">
      <c r="BM584">
        <v>59</v>
      </c>
      <c r="BN584" t="s">
        <v>159</v>
      </c>
      <c r="BO584" t="s">
        <v>415</v>
      </c>
    </row>
    <row r="585" spans="65:67">
      <c r="BM585">
        <v>60</v>
      </c>
      <c r="BN585" t="s">
        <v>37</v>
      </c>
      <c r="BO585" t="s">
        <v>415</v>
      </c>
    </row>
    <row r="586" spans="65:67">
      <c r="BM586">
        <v>61</v>
      </c>
      <c r="BN586" t="s">
        <v>81</v>
      </c>
      <c r="BO586" t="s">
        <v>415</v>
      </c>
    </row>
    <row r="587" spans="65:67">
      <c r="BM587">
        <v>62</v>
      </c>
      <c r="BN587" t="s">
        <v>124</v>
      </c>
      <c r="BO587" t="s">
        <v>415</v>
      </c>
    </row>
    <row r="588" spans="65:67">
      <c r="BM588">
        <v>63</v>
      </c>
      <c r="BN588" t="s">
        <v>133</v>
      </c>
      <c r="BO588" t="s">
        <v>415</v>
      </c>
    </row>
    <row r="589" spans="65:67">
      <c r="BM589">
        <v>64</v>
      </c>
      <c r="BN589" t="s">
        <v>109</v>
      </c>
      <c r="BO589" t="s">
        <v>415</v>
      </c>
    </row>
    <row r="590" spans="65:67">
      <c r="BM590">
        <v>65</v>
      </c>
      <c r="BN590" t="s">
        <v>106</v>
      </c>
      <c r="BO590" t="s">
        <v>415</v>
      </c>
    </row>
    <row r="591" spans="65:67">
      <c r="BM591">
        <v>66</v>
      </c>
      <c r="BN591" t="s">
        <v>115</v>
      </c>
      <c r="BO591" t="s">
        <v>415</v>
      </c>
    </row>
    <row r="592" spans="65:67">
      <c r="BM592">
        <v>67</v>
      </c>
      <c r="BN592" t="s">
        <v>108</v>
      </c>
      <c r="BO592" t="s">
        <v>415</v>
      </c>
    </row>
    <row r="593" spans="65:67">
      <c r="BM593">
        <v>68</v>
      </c>
      <c r="BN593" t="s">
        <v>171</v>
      </c>
      <c r="BO593" t="s">
        <v>415</v>
      </c>
    </row>
    <row r="594" spans="65:67">
      <c r="BM594">
        <v>69</v>
      </c>
      <c r="BN594" t="s">
        <v>163</v>
      </c>
      <c r="BO594" t="s">
        <v>415</v>
      </c>
    </row>
    <row r="595" spans="65:67">
      <c r="BM595">
        <v>70</v>
      </c>
      <c r="BN595" t="s">
        <v>140</v>
      </c>
      <c r="BO595" t="s">
        <v>415</v>
      </c>
    </row>
    <row r="596" spans="65:67">
      <c r="BM596">
        <v>71</v>
      </c>
      <c r="BN596" t="s">
        <v>156</v>
      </c>
      <c r="BO596" t="s">
        <v>415</v>
      </c>
    </row>
    <row r="597" spans="65:67">
      <c r="BM597">
        <v>72</v>
      </c>
      <c r="BN597" t="s">
        <v>117</v>
      </c>
      <c r="BO597" t="s">
        <v>415</v>
      </c>
    </row>
    <row r="598" spans="65:67">
      <c r="BM598">
        <v>73</v>
      </c>
      <c r="BN598" t="s">
        <v>131</v>
      </c>
      <c r="BO598" t="s">
        <v>415</v>
      </c>
    </row>
    <row r="599" spans="65:67">
      <c r="BM599">
        <v>74</v>
      </c>
      <c r="BN599" t="s">
        <v>126</v>
      </c>
      <c r="BO599" t="s">
        <v>415</v>
      </c>
    </row>
    <row r="600" spans="65:67">
      <c r="BM600">
        <v>75</v>
      </c>
      <c r="BN600" t="s">
        <v>137</v>
      </c>
      <c r="BO600" t="s">
        <v>415</v>
      </c>
    </row>
    <row r="601" spans="65:67">
      <c r="BM601">
        <v>76</v>
      </c>
      <c r="BN601" t="s">
        <v>125</v>
      </c>
      <c r="BO601" t="s">
        <v>415</v>
      </c>
    </row>
    <row r="602" spans="65:67">
      <c r="BM602">
        <v>77</v>
      </c>
      <c r="BN602" t="s">
        <v>136</v>
      </c>
      <c r="BO602" t="s">
        <v>415</v>
      </c>
    </row>
    <row r="603" spans="65:67">
      <c r="BM603">
        <v>78</v>
      </c>
      <c r="BN603" t="s">
        <v>154</v>
      </c>
      <c r="BO603" t="s">
        <v>415</v>
      </c>
    </row>
    <row r="604" spans="65:67">
      <c r="BM604">
        <v>79</v>
      </c>
      <c r="BN604" t="s">
        <v>166</v>
      </c>
      <c r="BO604" t="s">
        <v>415</v>
      </c>
    </row>
    <row r="605" spans="65:67">
      <c r="BM605">
        <v>80</v>
      </c>
      <c r="BN605" t="s">
        <v>142</v>
      </c>
      <c r="BO605" t="s">
        <v>415</v>
      </c>
    </row>
    <row r="606" spans="65:67">
      <c r="BM606">
        <v>81</v>
      </c>
      <c r="BN606" t="s">
        <v>169</v>
      </c>
      <c r="BO606" t="s">
        <v>415</v>
      </c>
    </row>
    <row r="607" spans="65:67">
      <c r="BM607">
        <v>82</v>
      </c>
      <c r="BN607" t="s">
        <v>410</v>
      </c>
      <c r="BO607" t="s">
        <v>415</v>
      </c>
    </row>
    <row r="608" spans="65:67">
      <c r="BM608">
        <v>83</v>
      </c>
      <c r="BN608" t="s">
        <v>143</v>
      </c>
      <c r="BO608" t="s">
        <v>415</v>
      </c>
    </row>
    <row r="609" spans="65:67">
      <c r="BM609">
        <v>84</v>
      </c>
      <c r="BN609" t="s">
        <v>134</v>
      </c>
      <c r="BO609" t="s">
        <v>415</v>
      </c>
    </row>
    <row r="610" spans="65:67">
      <c r="BM610">
        <v>85</v>
      </c>
      <c r="BN610" t="s">
        <v>138</v>
      </c>
      <c r="BO610" t="s">
        <v>415</v>
      </c>
    </row>
    <row r="611" spans="65:67">
      <c r="BM611">
        <v>86</v>
      </c>
      <c r="BN611" t="s">
        <v>179</v>
      </c>
      <c r="BO611" t="s">
        <v>415</v>
      </c>
    </row>
    <row r="612" spans="65:67">
      <c r="BM612">
        <v>87</v>
      </c>
      <c r="BN612" t="s">
        <v>100</v>
      </c>
      <c r="BO612" t="s">
        <v>415</v>
      </c>
    </row>
    <row r="613" spans="65:67">
      <c r="BM613">
        <v>88</v>
      </c>
      <c r="BN613" t="s">
        <v>94</v>
      </c>
      <c r="BO613" t="s">
        <v>415</v>
      </c>
    </row>
    <row r="614" spans="65:67">
      <c r="BM614">
        <v>89</v>
      </c>
      <c r="BN614" t="s">
        <v>150</v>
      </c>
      <c r="BO614" t="s">
        <v>415</v>
      </c>
    </row>
    <row r="615" spans="65:67">
      <c r="BM615">
        <v>90</v>
      </c>
      <c r="BN615" t="s">
        <v>146</v>
      </c>
      <c r="BO615" t="s">
        <v>415</v>
      </c>
    </row>
    <row r="616" spans="65:67">
      <c r="BM616">
        <v>91</v>
      </c>
      <c r="BN616" t="s">
        <v>113</v>
      </c>
      <c r="BO616" t="s">
        <v>415</v>
      </c>
    </row>
    <row r="617" spans="65:67">
      <c r="BM617">
        <v>92</v>
      </c>
      <c r="BN617" t="s">
        <v>409</v>
      </c>
      <c r="BO617" t="s">
        <v>415</v>
      </c>
    </row>
    <row r="618" spans="65:67">
      <c r="BM618">
        <v>93</v>
      </c>
      <c r="BN618" t="s">
        <v>141</v>
      </c>
      <c r="BO618" t="s">
        <v>415</v>
      </c>
    </row>
    <row r="619" spans="65:67">
      <c r="BM619">
        <v>94</v>
      </c>
      <c r="BN619" t="s">
        <v>123</v>
      </c>
      <c r="BO619" t="s">
        <v>415</v>
      </c>
    </row>
    <row r="620" spans="65:67">
      <c r="BM620">
        <v>95</v>
      </c>
      <c r="BN620" t="s">
        <v>172</v>
      </c>
      <c r="BO620" t="s">
        <v>415</v>
      </c>
    </row>
    <row r="621" spans="65:67">
      <c r="BM621">
        <v>96</v>
      </c>
      <c r="BN621" t="s">
        <v>152</v>
      </c>
      <c r="BO621" t="s">
        <v>415</v>
      </c>
    </row>
    <row r="622" spans="65:67">
      <c r="BM622">
        <v>97</v>
      </c>
      <c r="BN622" t="s">
        <v>147</v>
      </c>
      <c r="BO622" t="s">
        <v>415</v>
      </c>
    </row>
    <row r="623" spans="65:67">
      <c r="BM623">
        <v>98</v>
      </c>
      <c r="BN623" t="s">
        <v>121</v>
      </c>
      <c r="BO623" t="s">
        <v>415</v>
      </c>
    </row>
    <row r="624" spans="65:67">
      <c r="BM624">
        <v>99</v>
      </c>
      <c r="BN624" t="s">
        <v>132</v>
      </c>
      <c r="BO624" t="s">
        <v>415</v>
      </c>
    </row>
    <row r="625" spans="65:67">
      <c r="BM625">
        <v>100</v>
      </c>
      <c r="BN625" t="s">
        <v>114</v>
      </c>
      <c r="BO625" t="s">
        <v>415</v>
      </c>
    </row>
    <row r="626" spans="65:67">
      <c r="BM626">
        <v>101</v>
      </c>
      <c r="BN626" t="s">
        <v>198</v>
      </c>
      <c r="BO626" t="s">
        <v>415</v>
      </c>
    </row>
    <row r="627" spans="65:67">
      <c r="BM627">
        <v>102</v>
      </c>
      <c r="BN627" t="s">
        <v>162</v>
      </c>
      <c r="BO627" t="s">
        <v>415</v>
      </c>
    </row>
    <row r="628" spans="65:67">
      <c r="BM628">
        <v>103</v>
      </c>
      <c r="BN628" t="s">
        <v>167</v>
      </c>
      <c r="BO628" t="s">
        <v>415</v>
      </c>
    </row>
    <row r="629" spans="65:67">
      <c r="BM629">
        <v>104</v>
      </c>
      <c r="BN629" t="s">
        <v>160</v>
      </c>
      <c r="BO629" t="s">
        <v>415</v>
      </c>
    </row>
    <row r="630" spans="65:67">
      <c r="BM630">
        <v>105</v>
      </c>
      <c r="BN630" t="s">
        <v>135</v>
      </c>
      <c r="BO630" t="s">
        <v>415</v>
      </c>
    </row>
    <row r="631" spans="65:67">
      <c r="BM631">
        <v>106</v>
      </c>
      <c r="BN631" t="s">
        <v>266</v>
      </c>
      <c r="BO631" t="s">
        <v>415</v>
      </c>
    </row>
    <row r="632" spans="65:67">
      <c r="BM632">
        <v>107</v>
      </c>
      <c r="BN632" t="s">
        <v>129</v>
      </c>
      <c r="BO632" t="s">
        <v>415</v>
      </c>
    </row>
    <row r="633" spans="65:67">
      <c r="BM633">
        <v>108</v>
      </c>
      <c r="BN633" t="s">
        <v>273</v>
      </c>
      <c r="BO633" t="s">
        <v>415</v>
      </c>
    </row>
    <row r="634" spans="65:67">
      <c r="BM634">
        <v>109</v>
      </c>
      <c r="BN634" t="s">
        <v>175</v>
      </c>
      <c r="BO634" t="s">
        <v>415</v>
      </c>
    </row>
    <row r="635" spans="65:67">
      <c r="BM635">
        <v>110</v>
      </c>
      <c r="BN635" t="s">
        <v>178</v>
      </c>
      <c r="BO635" t="s">
        <v>415</v>
      </c>
    </row>
    <row r="636" spans="65:67">
      <c r="BM636">
        <v>111</v>
      </c>
      <c r="BN636" t="s">
        <v>199</v>
      </c>
      <c r="BO636" t="s">
        <v>415</v>
      </c>
    </row>
    <row r="637" spans="65:67">
      <c r="BM637">
        <v>112</v>
      </c>
      <c r="BN637" t="s">
        <v>130</v>
      </c>
      <c r="BO637" t="s">
        <v>415</v>
      </c>
    </row>
    <row r="638" spans="65:67">
      <c r="BM638">
        <v>113</v>
      </c>
      <c r="BN638" t="s">
        <v>164</v>
      </c>
      <c r="BO638" t="s">
        <v>415</v>
      </c>
    </row>
    <row r="639" spans="65:67">
      <c r="BM639">
        <v>114</v>
      </c>
      <c r="BN639" t="s">
        <v>157</v>
      </c>
      <c r="BO639" t="s">
        <v>415</v>
      </c>
    </row>
    <row r="640" spans="65:67">
      <c r="BM640">
        <v>115</v>
      </c>
      <c r="BN640" t="s">
        <v>165</v>
      </c>
      <c r="BO640" t="s">
        <v>415</v>
      </c>
    </row>
    <row r="641" spans="65:67">
      <c r="BM641">
        <v>116</v>
      </c>
      <c r="BN641" t="s">
        <v>92</v>
      </c>
      <c r="BO641" t="s">
        <v>415</v>
      </c>
    </row>
    <row r="642" spans="65:67">
      <c r="BM642">
        <v>117</v>
      </c>
      <c r="BN642" t="s">
        <v>230</v>
      </c>
      <c r="BO642" t="s">
        <v>415</v>
      </c>
    </row>
    <row r="643" spans="65:67">
      <c r="BM643">
        <v>118</v>
      </c>
      <c r="BN643" t="s">
        <v>268</v>
      </c>
      <c r="BO643" t="s">
        <v>415</v>
      </c>
    </row>
    <row r="644" spans="65:67">
      <c r="BM644">
        <v>119</v>
      </c>
      <c r="BN644" t="s">
        <v>145</v>
      </c>
      <c r="BO644" t="s">
        <v>415</v>
      </c>
    </row>
    <row r="645" spans="65:67">
      <c r="BM645">
        <v>120</v>
      </c>
      <c r="BN645" t="s">
        <v>191</v>
      </c>
      <c r="BO645" t="s">
        <v>415</v>
      </c>
    </row>
    <row r="646" spans="65:67">
      <c r="BM646">
        <v>121</v>
      </c>
      <c r="BN646" t="s">
        <v>192</v>
      </c>
      <c r="BO646" t="s">
        <v>415</v>
      </c>
    </row>
    <row r="647" spans="65:67">
      <c r="BM647">
        <v>122</v>
      </c>
      <c r="BN647" t="s">
        <v>170</v>
      </c>
      <c r="BO647" t="s">
        <v>415</v>
      </c>
    </row>
    <row r="648" spans="65:67">
      <c r="BM648">
        <v>123</v>
      </c>
      <c r="BN648" t="s">
        <v>212</v>
      </c>
      <c r="BO648" t="s">
        <v>415</v>
      </c>
    </row>
    <row r="649" spans="65:67">
      <c r="BM649">
        <v>124</v>
      </c>
      <c r="BN649" t="s">
        <v>412</v>
      </c>
      <c r="BO649" t="s">
        <v>415</v>
      </c>
    </row>
    <row r="650" spans="65:67">
      <c r="BM650">
        <v>125</v>
      </c>
      <c r="BN650" t="s">
        <v>265</v>
      </c>
      <c r="BO650" t="s">
        <v>415</v>
      </c>
    </row>
    <row r="651" spans="65:67">
      <c r="BM651">
        <v>126</v>
      </c>
      <c r="BN651" t="s">
        <v>238</v>
      </c>
      <c r="BO651" t="s">
        <v>415</v>
      </c>
    </row>
    <row r="652" spans="65:67">
      <c r="BM652">
        <v>127</v>
      </c>
      <c r="BN652" t="s">
        <v>239</v>
      </c>
      <c r="BO652" t="s">
        <v>415</v>
      </c>
    </row>
    <row r="653" spans="65:67">
      <c r="BM653">
        <v>128</v>
      </c>
      <c r="BN653" t="s">
        <v>221</v>
      </c>
      <c r="BO653" t="s">
        <v>415</v>
      </c>
    </row>
    <row r="654" spans="65:67">
      <c r="BM654">
        <v>129</v>
      </c>
      <c r="BN654" t="s">
        <v>186</v>
      </c>
      <c r="BO654" t="s">
        <v>415</v>
      </c>
    </row>
    <row r="655" spans="65:67">
      <c r="BM655">
        <v>130</v>
      </c>
      <c r="BN655" t="s">
        <v>278</v>
      </c>
      <c r="BO655" t="s">
        <v>415</v>
      </c>
    </row>
    <row r="656" spans="65:67">
      <c r="BM656">
        <v>1</v>
      </c>
      <c r="BN656" t="s">
        <v>30</v>
      </c>
      <c r="BO656" t="s">
        <v>416</v>
      </c>
    </row>
    <row r="657" spans="65:67">
      <c r="BM657">
        <v>2</v>
      </c>
      <c r="BN657" t="s">
        <v>407</v>
      </c>
      <c r="BO657" t="s">
        <v>416</v>
      </c>
    </row>
    <row r="658" spans="65:67">
      <c r="BM658">
        <v>3</v>
      </c>
      <c r="BN658" t="s">
        <v>408</v>
      </c>
      <c r="BO658" t="s">
        <v>416</v>
      </c>
    </row>
    <row r="659" spans="65:67">
      <c r="BM659">
        <v>4</v>
      </c>
      <c r="BN659" t="s">
        <v>65</v>
      </c>
      <c r="BO659" t="s">
        <v>416</v>
      </c>
    </row>
    <row r="660" spans="65:67">
      <c r="BM660">
        <v>5</v>
      </c>
      <c r="BN660" t="s">
        <v>21</v>
      </c>
      <c r="BO660" t="s">
        <v>416</v>
      </c>
    </row>
    <row r="661" spans="65:67">
      <c r="BM661">
        <v>6</v>
      </c>
      <c r="BN661" t="s">
        <v>24</v>
      </c>
      <c r="BO661" t="s">
        <v>416</v>
      </c>
    </row>
    <row r="662" spans="65:67">
      <c r="BM662">
        <v>7</v>
      </c>
      <c r="BN662" t="s">
        <v>41</v>
      </c>
      <c r="BO662" t="s">
        <v>416</v>
      </c>
    </row>
    <row r="663" spans="65:67">
      <c r="BM663">
        <v>8</v>
      </c>
      <c r="BN663" t="s">
        <v>46</v>
      </c>
      <c r="BO663" t="s">
        <v>416</v>
      </c>
    </row>
    <row r="664" spans="65:67">
      <c r="BM664">
        <v>9</v>
      </c>
      <c r="BN664" t="s">
        <v>16</v>
      </c>
      <c r="BO664" t="s">
        <v>416</v>
      </c>
    </row>
    <row r="665" spans="65:67">
      <c r="BM665">
        <v>10</v>
      </c>
      <c r="BN665" t="s">
        <v>64</v>
      </c>
      <c r="BO665" t="s">
        <v>416</v>
      </c>
    </row>
    <row r="666" spans="65:67">
      <c r="BM666">
        <v>11</v>
      </c>
      <c r="BN666" t="s">
        <v>60</v>
      </c>
      <c r="BO666" t="s">
        <v>416</v>
      </c>
    </row>
    <row r="667" spans="65:67">
      <c r="BM667">
        <v>12</v>
      </c>
      <c r="BN667" t="s">
        <v>49</v>
      </c>
      <c r="BO667" t="s">
        <v>416</v>
      </c>
    </row>
    <row r="668" spans="65:67">
      <c r="BM668">
        <v>13</v>
      </c>
      <c r="BN668" t="s">
        <v>62</v>
      </c>
      <c r="BO668" t="s">
        <v>416</v>
      </c>
    </row>
    <row r="669" spans="65:67">
      <c r="BM669">
        <v>14</v>
      </c>
      <c r="BN669" t="s">
        <v>74</v>
      </c>
      <c r="BO669" t="s">
        <v>416</v>
      </c>
    </row>
    <row r="670" spans="65:67">
      <c r="BM670">
        <v>15</v>
      </c>
      <c r="BN670" t="s">
        <v>35</v>
      </c>
      <c r="BO670" t="s">
        <v>416</v>
      </c>
    </row>
    <row r="671" spans="65:67">
      <c r="BM671">
        <v>16</v>
      </c>
      <c r="BN671" t="s">
        <v>72</v>
      </c>
      <c r="BO671" t="s">
        <v>416</v>
      </c>
    </row>
    <row r="672" spans="65:67">
      <c r="BM672">
        <v>17</v>
      </c>
      <c r="BN672" t="s">
        <v>52</v>
      </c>
      <c r="BO672" t="s">
        <v>416</v>
      </c>
    </row>
    <row r="673" spans="65:67">
      <c r="BM673">
        <v>18</v>
      </c>
      <c r="BN673" t="s">
        <v>107</v>
      </c>
      <c r="BO673" t="s">
        <v>416</v>
      </c>
    </row>
    <row r="674" spans="65:67">
      <c r="BM674">
        <v>19</v>
      </c>
      <c r="BN674" t="s">
        <v>45</v>
      </c>
      <c r="BO674" t="s">
        <v>416</v>
      </c>
    </row>
    <row r="675" spans="65:67">
      <c r="BM675">
        <v>20</v>
      </c>
      <c r="BN675" t="s">
        <v>67</v>
      </c>
      <c r="BO675" t="s">
        <v>416</v>
      </c>
    </row>
    <row r="676" spans="65:67">
      <c r="BM676">
        <v>21</v>
      </c>
      <c r="BN676" t="s">
        <v>32</v>
      </c>
      <c r="BO676" t="s">
        <v>416</v>
      </c>
    </row>
    <row r="677" spans="65:67">
      <c r="BM677">
        <v>22</v>
      </c>
      <c r="BN677" t="s">
        <v>58</v>
      </c>
      <c r="BO677" t="s">
        <v>416</v>
      </c>
    </row>
    <row r="678" spans="65:67">
      <c r="BM678">
        <v>23</v>
      </c>
      <c r="BN678" t="s">
        <v>300</v>
      </c>
      <c r="BO678" t="s">
        <v>416</v>
      </c>
    </row>
    <row r="679" spans="65:67">
      <c r="BM679">
        <v>24</v>
      </c>
      <c r="BN679" t="s">
        <v>85</v>
      </c>
      <c r="BO679" t="s">
        <v>416</v>
      </c>
    </row>
    <row r="680" spans="65:67">
      <c r="BM680">
        <v>25</v>
      </c>
      <c r="BN680" t="s">
        <v>66</v>
      </c>
      <c r="BO680" t="s">
        <v>416</v>
      </c>
    </row>
    <row r="681" spans="65:67">
      <c r="BM681">
        <v>26</v>
      </c>
      <c r="BN681" t="s">
        <v>43</v>
      </c>
      <c r="BO681" t="s">
        <v>416</v>
      </c>
    </row>
    <row r="682" spans="65:67">
      <c r="BM682">
        <v>27</v>
      </c>
      <c r="BN682" t="s">
        <v>248</v>
      </c>
      <c r="BO682" t="s">
        <v>416</v>
      </c>
    </row>
    <row r="683" spans="65:67">
      <c r="BM683">
        <v>28</v>
      </c>
      <c r="BN683" t="s">
        <v>54</v>
      </c>
      <c r="BO683" t="s">
        <v>416</v>
      </c>
    </row>
    <row r="684" spans="65:67">
      <c r="BM684">
        <v>29</v>
      </c>
      <c r="BN684" t="s">
        <v>69</v>
      </c>
      <c r="BO684" t="s">
        <v>416</v>
      </c>
    </row>
    <row r="685" spans="65:67">
      <c r="BM685">
        <v>30</v>
      </c>
      <c r="BN685" t="s">
        <v>70</v>
      </c>
      <c r="BO685" t="s">
        <v>416</v>
      </c>
    </row>
    <row r="686" spans="65:67">
      <c r="BM686">
        <v>31</v>
      </c>
      <c r="BN686" t="s">
        <v>51</v>
      </c>
      <c r="BO686" t="s">
        <v>416</v>
      </c>
    </row>
    <row r="687" spans="65:67">
      <c r="BM687">
        <v>32</v>
      </c>
      <c r="BN687" t="s">
        <v>96</v>
      </c>
      <c r="BO687" t="s">
        <v>416</v>
      </c>
    </row>
    <row r="688" spans="65:67">
      <c r="BM688">
        <v>33</v>
      </c>
      <c r="BN688" t="s">
        <v>83</v>
      </c>
      <c r="BO688" t="s">
        <v>416</v>
      </c>
    </row>
    <row r="689" spans="65:67">
      <c r="BM689">
        <v>34</v>
      </c>
      <c r="BN689" t="s">
        <v>40</v>
      </c>
      <c r="BO689" t="s">
        <v>416</v>
      </c>
    </row>
    <row r="690" spans="65:67">
      <c r="BM690">
        <v>35</v>
      </c>
      <c r="BN690" t="s">
        <v>56</v>
      </c>
      <c r="BO690" t="s">
        <v>416</v>
      </c>
    </row>
    <row r="691" spans="65:67">
      <c r="BM691">
        <v>36</v>
      </c>
      <c r="BN691" t="s">
        <v>97</v>
      </c>
      <c r="BO691" t="s">
        <v>416</v>
      </c>
    </row>
    <row r="692" spans="65:67">
      <c r="BM692">
        <v>37</v>
      </c>
      <c r="BN692" t="s">
        <v>86</v>
      </c>
      <c r="BO692" t="s">
        <v>416</v>
      </c>
    </row>
    <row r="693" spans="65:67">
      <c r="BM693">
        <v>38</v>
      </c>
      <c r="BN693" t="s">
        <v>93</v>
      </c>
      <c r="BO693" t="s">
        <v>416</v>
      </c>
    </row>
    <row r="694" spans="65:67">
      <c r="BM694">
        <v>39</v>
      </c>
      <c r="BN694" t="s">
        <v>168</v>
      </c>
      <c r="BO694" t="s">
        <v>416</v>
      </c>
    </row>
    <row r="695" spans="65:67">
      <c r="BM695">
        <v>40</v>
      </c>
      <c r="BN695" t="s">
        <v>87</v>
      </c>
      <c r="BO695" t="s">
        <v>416</v>
      </c>
    </row>
    <row r="696" spans="65:67">
      <c r="BM696">
        <v>41</v>
      </c>
      <c r="BN696" t="s">
        <v>76</v>
      </c>
      <c r="BO696" t="s">
        <v>416</v>
      </c>
    </row>
    <row r="697" spans="65:67">
      <c r="BM697">
        <v>42</v>
      </c>
      <c r="BN697" t="s">
        <v>101</v>
      </c>
      <c r="BO697" t="s">
        <v>416</v>
      </c>
    </row>
    <row r="698" spans="65:67">
      <c r="BM698">
        <v>43</v>
      </c>
      <c r="BN698" t="s">
        <v>102</v>
      </c>
      <c r="BO698" t="s">
        <v>416</v>
      </c>
    </row>
    <row r="699" spans="65:67">
      <c r="BM699">
        <v>44</v>
      </c>
      <c r="BN699" t="s">
        <v>122</v>
      </c>
      <c r="BO699" t="s">
        <v>416</v>
      </c>
    </row>
    <row r="700" spans="65:67">
      <c r="BM700">
        <v>45</v>
      </c>
      <c r="BN700" t="s">
        <v>89</v>
      </c>
      <c r="BO700" t="s">
        <v>416</v>
      </c>
    </row>
    <row r="701" spans="65:67">
      <c r="BM701">
        <v>46</v>
      </c>
      <c r="BN701" t="s">
        <v>78</v>
      </c>
      <c r="BO701" t="s">
        <v>416</v>
      </c>
    </row>
    <row r="702" spans="65:67">
      <c r="BM702">
        <v>47</v>
      </c>
      <c r="BN702" t="s">
        <v>84</v>
      </c>
      <c r="BO702" t="s">
        <v>416</v>
      </c>
    </row>
    <row r="703" spans="65:67">
      <c r="BM703">
        <v>48</v>
      </c>
      <c r="BN703" t="s">
        <v>118</v>
      </c>
      <c r="BO703" t="s">
        <v>416</v>
      </c>
    </row>
    <row r="704" spans="65:67">
      <c r="BM704">
        <v>49</v>
      </c>
      <c r="BN704" t="s">
        <v>99</v>
      </c>
      <c r="BO704" t="s">
        <v>416</v>
      </c>
    </row>
    <row r="705" spans="65:67">
      <c r="BM705">
        <v>50</v>
      </c>
      <c r="BN705" t="s">
        <v>159</v>
      </c>
      <c r="BO705" t="s">
        <v>416</v>
      </c>
    </row>
    <row r="706" spans="65:67">
      <c r="BM706">
        <v>51</v>
      </c>
      <c r="BN706" t="s">
        <v>81</v>
      </c>
      <c r="BO706" t="s">
        <v>416</v>
      </c>
    </row>
    <row r="707" spans="65:67">
      <c r="BM707">
        <v>52</v>
      </c>
      <c r="BN707" t="s">
        <v>128</v>
      </c>
      <c r="BO707" t="s">
        <v>416</v>
      </c>
    </row>
    <row r="708" spans="65:67">
      <c r="BM708">
        <v>53</v>
      </c>
      <c r="BN708" t="s">
        <v>133</v>
      </c>
      <c r="BO708" t="s">
        <v>416</v>
      </c>
    </row>
    <row r="709" spans="65:67">
      <c r="BM709">
        <v>54</v>
      </c>
      <c r="BN709" t="s">
        <v>111</v>
      </c>
      <c r="BO709" t="s">
        <v>416</v>
      </c>
    </row>
    <row r="710" spans="65:67">
      <c r="BM710">
        <v>55</v>
      </c>
      <c r="BN710" t="s">
        <v>37</v>
      </c>
      <c r="BO710" t="s">
        <v>416</v>
      </c>
    </row>
    <row r="711" spans="65:67">
      <c r="BM711">
        <v>56</v>
      </c>
      <c r="BN711" t="s">
        <v>148</v>
      </c>
      <c r="BO711" t="s">
        <v>416</v>
      </c>
    </row>
    <row r="712" spans="65:67">
      <c r="BM712">
        <v>57</v>
      </c>
      <c r="BN712" t="s">
        <v>103</v>
      </c>
      <c r="BO712" t="s">
        <v>416</v>
      </c>
    </row>
    <row r="713" spans="65:67">
      <c r="BM713">
        <v>58</v>
      </c>
      <c r="BN713" t="s">
        <v>110</v>
      </c>
      <c r="BO713" t="s">
        <v>416</v>
      </c>
    </row>
    <row r="714" spans="65:67">
      <c r="BM714">
        <v>59</v>
      </c>
      <c r="BN714" t="s">
        <v>80</v>
      </c>
      <c r="BO714" t="s">
        <v>416</v>
      </c>
    </row>
    <row r="715" spans="65:67">
      <c r="BM715">
        <v>60</v>
      </c>
      <c r="BN715" t="s">
        <v>88</v>
      </c>
      <c r="BO715" t="s">
        <v>416</v>
      </c>
    </row>
    <row r="716" spans="65:67">
      <c r="BM716">
        <v>61</v>
      </c>
      <c r="BN716" t="s">
        <v>106</v>
      </c>
      <c r="BO716" t="s">
        <v>416</v>
      </c>
    </row>
    <row r="717" spans="65:67">
      <c r="BM717">
        <v>62</v>
      </c>
      <c r="BN717" t="s">
        <v>126</v>
      </c>
      <c r="BO717" t="s">
        <v>416</v>
      </c>
    </row>
    <row r="718" spans="65:67">
      <c r="BM718">
        <v>63</v>
      </c>
      <c r="BN718" t="s">
        <v>104</v>
      </c>
      <c r="BO718" t="s">
        <v>416</v>
      </c>
    </row>
    <row r="719" spans="65:67">
      <c r="BM719">
        <v>64</v>
      </c>
      <c r="BN719" t="s">
        <v>124</v>
      </c>
      <c r="BO719" t="s">
        <v>416</v>
      </c>
    </row>
    <row r="720" spans="65:67">
      <c r="BM720">
        <v>65</v>
      </c>
      <c r="BN720" t="s">
        <v>90</v>
      </c>
      <c r="BO720" t="s">
        <v>416</v>
      </c>
    </row>
    <row r="721" spans="65:67">
      <c r="BM721">
        <v>66</v>
      </c>
      <c r="BN721" t="s">
        <v>119</v>
      </c>
      <c r="BO721" t="s">
        <v>416</v>
      </c>
    </row>
    <row r="722" spans="65:67">
      <c r="BM722">
        <v>67</v>
      </c>
      <c r="BN722" t="s">
        <v>163</v>
      </c>
      <c r="BO722" t="s">
        <v>416</v>
      </c>
    </row>
    <row r="723" spans="65:67">
      <c r="BM723">
        <v>68</v>
      </c>
      <c r="BN723" t="s">
        <v>108</v>
      </c>
      <c r="BO723" t="s">
        <v>416</v>
      </c>
    </row>
    <row r="724" spans="65:67">
      <c r="BM724">
        <v>69</v>
      </c>
      <c r="BN724" t="s">
        <v>94</v>
      </c>
      <c r="BO724" t="s">
        <v>416</v>
      </c>
    </row>
    <row r="725" spans="65:67">
      <c r="BM725">
        <v>70</v>
      </c>
      <c r="BN725" t="s">
        <v>166</v>
      </c>
      <c r="BO725" t="s">
        <v>416</v>
      </c>
    </row>
    <row r="726" spans="65:67">
      <c r="BM726">
        <v>71</v>
      </c>
      <c r="BN726" t="s">
        <v>152</v>
      </c>
      <c r="BO726" t="s">
        <v>416</v>
      </c>
    </row>
    <row r="727" spans="65:67">
      <c r="BM727">
        <v>72</v>
      </c>
      <c r="BN727" t="s">
        <v>109</v>
      </c>
      <c r="BO727" t="s">
        <v>416</v>
      </c>
    </row>
    <row r="728" spans="65:67">
      <c r="BM728">
        <v>73</v>
      </c>
      <c r="BN728" t="s">
        <v>143</v>
      </c>
      <c r="BO728" t="s">
        <v>416</v>
      </c>
    </row>
    <row r="729" spans="65:67">
      <c r="BM729">
        <v>74</v>
      </c>
      <c r="BN729" t="s">
        <v>142</v>
      </c>
      <c r="BO729" t="s">
        <v>416</v>
      </c>
    </row>
    <row r="730" spans="65:67">
      <c r="BM730">
        <v>75</v>
      </c>
      <c r="BN730" t="s">
        <v>171</v>
      </c>
      <c r="BO730" t="s">
        <v>416</v>
      </c>
    </row>
    <row r="731" spans="65:67">
      <c r="BM731">
        <v>76</v>
      </c>
      <c r="BN731" t="s">
        <v>117</v>
      </c>
      <c r="BO731" t="s">
        <v>416</v>
      </c>
    </row>
    <row r="732" spans="65:67">
      <c r="BM732">
        <v>77</v>
      </c>
      <c r="BN732" t="s">
        <v>115</v>
      </c>
      <c r="BO732" t="s">
        <v>416</v>
      </c>
    </row>
    <row r="733" spans="65:67">
      <c r="BM733">
        <v>78</v>
      </c>
      <c r="BN733" t="s">
        <v>136</v>
      </c>
      <c r="BO733" t="s">
        <v>416</v>
      </c>
    </row>
    <row r="734" spans="65:67">
      <c r="BM734">
        <v>79</v>
      </c>
      <c r="BN734" t="s">
        <v>138</v>
      </c>
      <c r="BO734" t="s">
        <v>416</v>
      </c>
    </row>
    <row r="735" spans="65:67">
      <c r="BM735">
        <v>80</v>
      </c>
      <c r="BN735" t="s">
        <v>125</v>
      </c>
      <c r="BO735" t="s">
        <v>416</v>
      </c>
    </row>
    <row r="736" spans="65:67">
      <c r="BM736">
        <v>81</v>
      </c>
      <c r="BN736" t="s">
        <v>150</v>
      </c>
      <c r="BO736" t="s">
        <v>416</v>
      </c>
    </row>
    <row r="737" spans="65:67">
      <c r="BM737">
        <v>82</v>
      </c>
      <c r="BN737" t="s">
        <v>169</v>
      </c>
      <c r="BO737" t="s">
        <v>416</v>
      </c>
    </row>
    <row r="738" spans="65:67">
      <c r="BM738">
        <v>83</v>
      </c>
      <c r="BN738" t="s">
        <v>154</v>
      </c>
      <c r="BO738" t="s">
        <v>416</v>
      </c>
    </row>
    <row r="739" spans="65:67">
      <c r="BM739">
        <v>84</v>
      </c>
      <c r="BN739" t="s">
        <v>137</v>
      </c>
      <c r="BO739" t="s">
        <v>416</v>
      </c>
    </row>
    <row r="740" spans="65:67">
      <c r="BM740">
        <v>85</v>
      </c>
      <c r="BN740" t="s">
        <v>410</v>
      </c>
      <c r="BO740" t="s">
        <v>416</v>
      </c>
    </row>
    <row r="741" spans="65:67">
      <c r="BM741">
        <v>86</v>
      </c>
      <c r="BN741" t="s">
        <v>131</v>
      </c>
      <c r="BO741" t="s">
        <v>416</v>
      </c>
    </row>
    <row r="742" spans="65:67">
      <c r="BM742">
        <v>87</v>
      </c>
      <c r="BN742" t="s">
        <v>134</v>
      </c>
      <c r="BO742" t="s">
        <v>416</v>
      </c>
    </row>
    <row r="743" spans="65:67">
      <c r="BM743">
        <v>88</v>
      </c>
      <c r="BN743" t="s">
        <v>162</v>
      </c>
      <c r="BO743" t="s">
        <v>416</v>
      </c>
    </row>
    <row r="744" spans="65:67">
      <c r="BM744">
        <v>89</v>
      </c>
      <c r="BN744" t="s">
        <v>132</v>
      </c>
      <c r="BO744" t="s">
        <v>416</v>
      </c>
    </row>
    <row r="745" spans="65:67">
      <c r="BM745">
        <v>90</v>
      </c>
      <c r="BN745" t="s">
        <v>140</v>
      </c>
      <c r="BO745" t="s">
        <v>416</v>
      </c>
    </row>
    <row r="746" spans="65:67">
      <c r="BM746">
        <v>91</v>
      </c>
      <c r="BN746" t="s">
        <v>135</v>
      </c>
      <c r="BO746" t="s">
        <v>416</v>
      </c>
    </row>
    <row r="747" spans="65:67">
      <c r="BM747">
        <v>92</v>
      </c>
      <c r="BN747" t="s">
        <v>146</v>
      </c>
      <c r="BO747" t="s">
        <v>416</v>
      </c>
    </row>
    <row r="748" spans="65:67">
      <c r="BM748">
        <v>93</v>
      </c>
      <c r="BN748" t="s">
        <v>156</v>
      </c>
      <c r="BO748" t="s">
        <v>416</v>
      </c>
    </row>
    <row r="749" spans="65:67">
      <c r="BM749">
        <v>94</v>
      </c>
      <c r="BN749" t="s">
        <v>121</v>
      </c>
      <c r="BO749" t="s">
        <v>416</v>
      </c>
    </row>
    <row r="750" spans="65:67">
      <c r="BM750">
        <v>95</v>
      </c>
      <c r="BN750" t="s">
        <v>100</v>
      </c>
      <c r="BO750" t="s">
        <v>416</v>
      </c>
    </row>
    <row r="751" spans="65:67">
      <c r="BM751">
        <v>96</v>
      </c>
      <c r="BN751" t="s">
        <v>409</v>
      </c>
      <c r="BO751" t="s">
        <v>416</v>
      </c>
    </row>
    <row r="752" spans="65:67">
      <c r="BM752">
        <v>97</v>
      </c>
      <c r="BN752" t="s">
        <v>273</v>
      </c>
      <c r="BO752" t="s">
        <v>416</v>
      </c>
    </row>
    <row r="753" spans="65:67">
      <c r="BM753">
        <v>98</v>
      </c>
      <c r="BN753" t="s">
        <v>114</v>
      </c>
      <c r="BO753" t="s">
        <v>416</v>
      </c>
    </row>
    <row r="754" spans="65:67">
      <c r="BM754">
        <v>99</v>
      </c>
      <c r="BN754" t="s">
        <v>230</v>
      </c>
      <c r="BO754" t="s">
        <v>416</v>
      </c>
    </row>
    <row r="755" spans="65:67">
      <c r="BM755">
        <v>100</v>
      </c>
      <c r="BN755" t="s">
        <v>123</v>
      </c>
      <c r="BO755" t="s">
        <v>416</v>
      </c>
    </row>
    <row r="756" spans="65:67">
      <c r="BM756">
        <v>101</v>
      </c>
      <c r="BN756" t="s">
        <v>160</v>
      </c>
      <c r="BO756" t="s">
        <v>416</v>
      </c>
    </row>
    <row r="757" spans="65:67">
      <c r="BM757">
        <v>102</v>
      </c>
      <c r="BN757" t="s">
        <v>199</v>
      </c>
      <c r="BO757" t="s">
        <v>416</v>
      </c>
    </row>
    <row r="758" spans="65:67">
      <c r="BM758">
        <v>103</v>
      </c>
      <c r="BN758" t="s">
        <v>198</v>
      </c>
      <c r="BO758" t="s">
        <v>416</v>
      </c>
    </row>
    <row r="759" spans="65:67">
      <c r="BM759">
        <v>104</v>
      </c>
      <c r="BN759" t="s">
        <v>141</v>
      </c>
      <c r="BO759" t="s">
        <v>416</v>
      </c>
    </row>
    <row r="760" spans="65:67">
      <c r="BM760">
        <v>105</v>
      </c>
      <c r="BN760" t="s">
        <v>167</v>
      </c>
      <c r="BO760" t="s">
        <v>416</v>
      </c>
    </row>
    <row r="761" spans="65:67">
      <c r="BM761">
        <v>106</v>
      </c>
      <c r="BN761" t="s">
        <v>129</v>
      </c>
      <c r="BO761" t="s">
        <v>416</v>
      </c>
    </row>
    <row r="762" spans="65:67">
      <c r="BM762">
        <v>107</v>
      </c>
      <c r="BN762" t="s">
        <v>178</v>
      </c>
      <c r="BO762" t="s">
        <v>416</v>
      </c>
    </row>
    <row r="763" spans="65:67">
      <c r="BM763">
        <v>108</v>
      </c>
      <c r="BN763" t="s">
        <v>172</v>
      </c>
      <c r="BO763" t="s">
        <v>416</v>
      </c>
    </row>
    <row r="764" spans="65:67">
      <c r="BM764">
        <v>109</v>
      </c>
      <c r="BN764" t="s">
        <v>113</v>
      </c>
      <c r="BO764" t="s">
        <v>416</v>
      </c>
    </row>
    <row r="765" spans="65:67">
      <c r="BM765">
        <v>110</v>
      </c>
      <c r="BN765" t="s">
        <v>175</v>
      </c>
      <c r="BO765" t="s">
        <v>416</v>
      </c>
    </row>
    <row r="766" spans="65:67">
      <c r="BM766">
        <v>111</v>
      </c>
      <c r="BN766" t="s">
        <v>268</v>
      </c>
      <c r="BO766" t="s">
        <v>416</v>
      </c>
    </row>
    <row r="767" spans="65:67">
      <c r="BM767">
        <v>112</v>
      </c>
      <c r="BN767" t="s">
        <v>130</v>
      </c>
      <c r="BO767" t="s">
        <v>416</v>
      </c>
    </row>
    <row r="768" spans="65:67">
      <c r="BM768">
        <v>113</v>
      </c>
      <c r="BN768" t="s">
        <v>186</v>
      </c>
      <c r="BO768" t="s">
        <v>416</v>
      </c>
    </row>
    <row r="769" spans="65:67">
      <c r="BM769">
        <v>114</v>
      </c>
      <c r="BN769" t="s">
        <v>164</v>
      </c>
      <c r="BO769" t="s">
        <v>416</v>
      </c>
    </row>
    <row r="770" spans="65:67">
      <c r="BM770">
        <v>115</v>
      </c>
      <c r="BN770" t="s">
        <v>179</v>
      </c>
      <c r="BO770" t="s">
        <v>416</v>
      </c>
    </row>
    <row r="771" spans="65:67">
      <c r="BM771">
        <v>116</v>
      </c>
      <c r="BN771" t="s">
        <v>147</v>
      </c>
      <c r="BO771" t="s">
        <v>416</v>
      </c>
    </row>
    <row r="772" spans="65:67">
      <c r="BM772">
        <v>117</v>
      </c>
      <c r="BN772" t="s">
        <v>165</v>
      </c>
      <c r="BO772" t="s">
        <v>416</v>
      </c>
    </row>
    <row r="773" spans="65:67">
      <c r="BM773">
        <v>118</v>
      </c>
      <c r="BN773" t="s">
        <v>157</v>
      </c>
      <c r="BO773" t="s">
        <v>416</v>
      </c>
    </row>
    <row r="774" spans="65:67">
      <c r="BM774">
        <v>119</v>
      </c>
      <c r="BN774" t="s">
        <v>266</v>
      </c>
      <c r="BO774" t="s">
        <v>416</v>
      </c>
    </row>
    <row r="775" spans="65:67">
      <c r="BM775">
        <v>120</v>
      </c>
      <c r="BN775" t="s">
        <v>265</v>
      </c>
      <c r="BO775" t="s">
        <v>416</v>
      </c>
    </row>
    <row r="776" spans="65:67">
      <c r="BM776">
        <v>121</v>
      </c>
      <c r="BN776" t="s">
        <v>239</v>
      </c>
      <c r="BO776" t="s">
        <v>416</v>
      </c>
    </row>
    <row r="777" spans="65:67">
      <c r="BM777">
        <v>122</v>
      </c>
      <c r="BN777" t="s">
        <v>92</v>
      </c>
      <c r="BO777" t="s">
        <v>416</v>
      </c>
    </row>
    <row r="778" spans="65:67">
      <c r="BM778">
        <v>123</v>
      </c>
      <c r="BN778" t="s">
        <v>145</v>
      </c>
      <c r="BO778" t="s">
        <v>416</v>
      </c>
    </row>
    <row r="779" spans="65:67">
      <c r="BM779">
        <v>124</v>
      </c>
      <c r="BN779" t="s">
        <v>191</v>
      </c>
      <c r="BO779" t="s">
        <v>416</v>
      </c>
    </row>
    <row r="780" spans="65:67">
      <c r="BM780">
        <v>125</v>
      </c>
      <c r="BN780" t="s">
        <v>192</v>
      </c>
      <c r="BO780" t="s">
        <v>416</v>
      </c>
    </row>
    <row r="781" spans="65:67">
      <c r="BM781">
        <v>126</v>
      </c>
      <c r="BN781" t="s">
        <v>170</v>
      </c>
      <c r="BO781" t="s">
        <v>416</v>
      </c>
    </row>
    <row r="782" spans="65:67">
      <c r="BM782">
        <v>127</v>
      </c>
      <c r="BN782" t="s">
        <v>412</v>
      </c>
      <c r="BO782" t="s">
        <v>416</v>
      </c>
    </row>
    <row r="783" spans="65:67">
      <c r="BM783">
        <v>128</v>
      </c>
      <c r="BN783" t="s">
        <v>158</v>
      </c>
      <c r="BO783" t="s">
        <v>416</v>
      </c>
    </row>
    <row r="784" spans="65:67">
      <c r="BM784">
        <v>129</v>
      </c>
      <c r="BN784" t="s">
        <v>221</v>
      </c>
      <c r="BO784" t="s">
        <v>416</v>
      </c>
    </row>
    <row r="785" spans="65:67">
      <c r="BM785">
        <v>130</v>
      </c>
      <c r="BN785" t="s">
        <v>155</v>
      </c>
      <c r="BO785" t="s">
        <v>416</v>
      </c>
    </row>
    <row r="786" spans="65:67">
      <c r="BM786">
        <v>1</v>
      </c>
      <c r="BN786" t="s">
        <v>30</v>
      </c>
      <c r="BO786" t="s">
        <v>417</v>
      </c>
    </row>
    <row r="787" spans="65:67">
      <c r="BM787">
        <v>2</v>
      </c>
      <c r="BN787" t="s">
        <v>407</v>
      </c>
      <c r="BO787" t="s">
        <v>417</v>
      </c>
    </row>
    <row r="788" spans="65:67">
      <c r="BM788">
        <v>3</v>
      </c>
      <c r="BN788" t="s">
        <v>408</v>
      </c>
      <c r="BO788" t="s">
        <v>417</v>
      </c>
    </row>
    <row r="789" spans="65:67">
      <c r="BM789">
        <v>4</v>
      </c>
      <c r="BN789" t="s">
        <v>74</v>
      </c>
      <c r="BO789" t="s">
        <v>417</v>
      </c>
    </row>
    <row r="790" spans="65:67">
      <c r="BM790">
        <v>5</v>
      </c>
      <c r="BN790" t="s">
        <v>21</v>
      </c>
      <c r="BO790" t="s">
        <v>417</v>
      </c>
    </row>
    <row r="791" spans="65:67">
      <c r="BM791">
        <v>6</v>
      </c>
      <c r="BN791" t="s">
        <v>24</v>
      </c>
      <c r="BO791" t="s">
        <v>417</v>
      </c>
    </row>
    <row r="792" spans="65:67">
      <c r="BM792">
        <v>7</v>
      </c>
      <c r="BN792" t="s">
        <v>41</v>
      </c>
      <c r="BO792" t="s">
        <v>417</v>
      </c>
    </row>
    <row r="793" spans="65:67">
      <c r="BM793">
        <v>8</v>
      </c>
      <c r="BN793" t="s">
        <v>65</v>
      </c>
      <c r="BO793" t="s">
        <v>417</v>
      </c>
    </row>
    <row r="794" spans="65:67">
      <c r="BM794">
        <v>9</v>
      </c>
      <c r="BN794" t="s">
        <v>60</v>
      </c>
      <c r="BO794" t="s">
        <v>417</v>
      </c>
    </row>
    <row r="795" spans="65:67">
      <c r="BM795">
        <v>10</v>
      </c>
      <c r="BN795" t="s">
        <v>46</v>
      </c>
      <c r="BO795" t="s">
        <v>417</v>
      </c>
    </row>
    <row r="796" spans="65:67">
      <c r="BM796">
        <v>11</v>
      </c>
      <c r="BN796" t="s">
        <v>64</v>
      </c>
      <c r="BO796" t="s">
        <v>417</v>
      </c>
    </row>
    <row r="797" spans="65:67">
      <c r="BM797">
        <v>12</v>
      </c>
      <c r="BN797" t="s">
        <v>58</v>
      </c>
      <c r="BO797" t="s">
        <v>417</v>
      </c>
    </row>
    <row r="798" spans="65:67">
      <c r="BM798">
        <v>13</v>
      </c>
      <c r="BN798" t="s">
        <v>16</v>
      </c>
      <c r="BO798" t="s">
        <v>417</v>
      </c>
    </row>
    <row r="799" spans="65:67">
      <c r="BM799">
        <v>14</v>
      </c>
      <c r="BN799" t="s">
        <v>49</v>
      </c>
      <c r="BO799" t="s">
        <v>417</v>
      </c>
    </row>
    <row r="800" spans="65:67">
      <c r="BM800">
        <v>15</v>
      </c>
      <c r="BN800" t="s">
        <v>35</v>
      </c>
      <c r="BO800" t="s">
        <v>417</v>
      </c>
    </row>
    <row r="801" spans="65:67">
      <c r="BM801">
        <v>16</v>
      </c>
      <c r="BN801" t="s">
        <v>52</v>
      </c>
      <c r="BO801" t="s">
        <v>417</v>
      </c>
    </row>
    <row r="802" spans="65:67">
      <c r="BM802">
        <v>17</v>
      </c>
      <c r="BN802" t="s">
        <v>66</v>
      </c>
      <c r="BO802" t="s">
        <v>417</v>
      </c>
    </row>
    <row r="803" spans="65:67">
      <c r="BM803">
        <v>18</v>
      </c>
      <c r="BN803" t="s">
        <v>72</v>
      </c>
      <c r="BO803" t="s">
        <v>417</v>
      </c>
    </row>
    <row r="804" spans="65:67">
      <c r="BM804">
        <v>19</v>
      </c>
      <c r="BN804" t="s">
        <v>32</v>
      </c>
      <c r="BO804" t="s">
        <v>417</v>
      </c>
    </row>
    <row r="805" spans="65:67">
      <c r="BM805">
        <v>20</v>
      </c>
      <c r="BN805" t="s">
        <v>67</v>
      </c>
      <c r="BO805" t="s">
        <v>417</v>
      </c>
    </row>
    <row r="806" spans="65:67">
      <c r="BM806">
        <v>21</v>
      </c>
      <c r="BN806" t="s">
        <v>43</v>
      </c>
      <c r="BO806" t="s">
        <v>417</v>
      </c>
    </row>
    <row r="807" spans="65:67">
      <c r="BM807">
        <v>22</v>
      </c>
      <c r="BN807" t="s">
        <v>62</v>
      </c>
      <c r="BO807" t="s">
        <v>417</v>
      </c>
    </row>
    <row r="808" spans="65:67">
      <c r="BM808">
        <v>23</v>
      </c>
      <c r="BN808" t="s">
        <v>40</v>
      </c>
      <c r="BO808" t="s">
        <v>417</v>
      </c>
    </row>
    <row r="809" spans="65:67">
      <c r="BM809">
        <v>24</v>
      </c>
      <c r="BN809" t="s">
        <v>83</v>
      </c>
      <c r="BO809" t="s">
        <v>417</v>
      </c>
    </row>
    <row r="810" spans="65:67">
      <c r="BM810">
        <v>25</v>
      </c>
      <c r="BN810" t="s">
        <v>69</v>
      </c>
      <c r="BO810" t="s">
        <v>417</v>
      </c>
    </row>
    <row r="811" spans="65:67">
      <c r="BM811">
        <v>26</v>
      </c>
      <c r="BN811" t="s">
        <v>54</v>
      </c>
      <c r="BO811" t="s">
        <v>417</v>
      </c>
    </row>
    <row r="812" spans="65:67">
      <c r="BM812">
        <v>27</v>
      </c>
      <c r="BN812" t="s">
        <v>45</v>
      </c>
      <c r="BO812" t="s">
        <v>417</v>
      </c>
    </row>
    <row r="813" spans="65:67">
      <c r="BM813">
        <v>28</v>
      </c>
      <c r="BN813" t="s">
        <v>56</v>
      </c>
      <c r="BO813" t="s">
        <v>417</v>
      </c>
    </row>
    <row r="814" spans="65:67">
      <c r="BM814">
        <v>29</v>
      </c>
      <c r="BN814" t="s">
        <v>248</v>
      </c>
      <c r="BO814" t="s">
        <v>417</v>
      </c>
    </row>
    <row r="815" spans="65:67">
      <c r="BM815">
        <v>30</v>
      </c>
      <c r="BN815" t="s">
        <v>97</v>
      </c>
      <c r="BO815" t="s">
        <v>417</v>
      </c>
    </row>
    <row r="816" spans="65:67">
      <c r="BM816">
        <v>31</v>
      </c>
      <c r="BN816" t="s">
        <v>168</v>
      </c>
      <c r="BO816" t="s">
        <v>417</v>
      </c>
    </row>
    <row r="817" spans="65:67">
      <c r="BM817">
        <v>32</v>
      </c>
      <c r="BN817" t="s">
        <v>51</v>
      </c>
      <c r="BO817" t="s">
        <v>417</v>
      </c>
    </row>
    <row r="818" spans="65:67">
      <c r="BM818">
        <v>33</v>
      </c>
      <c r="BN818" t="s">
        <v>85</v>
      </c>
      <c r="BO818" t="s">
        <v>417</v>
      </c>
    </row>
    <row r="819" spans="65:67">
      <c r="BM819">
        <v>34</v>
      </c>
      <c r="BN819" t="s">
        <v>93</v>
      </c>
      <c r="BO819" t="s">
        <v>417</v>
      </c>
    </row>
    <row r="820" spans="65:67">
      <c r="BM820">
        <v>35</v>
      </c>
      <c r="BN820" t="s">
        <v>70</v>
      </c>
      <c r="BO820" t="s">
        <v>417</v>
      </c>
    </row>
    <row r="821" spans="65:67">
      <c r="BM821">
        <v>36</v>
      </c>
      <c r="BN821" t="s">
        <v>86</v>
      </c>
      <c r="BO821" t="s">
        <v>417</v>
      </c>
    </row>
    <row r="822" spans="65:67">
      <c r="BM822">
        <v>37</v>
      </c>
      <c r="BN822" t="s">
        <v>96</v>
      </c>
      <c r="BO822" t="s">
        <v>417</v>
      </c>
    </row>
    <row r="823" spans="65:67">
      <c r="BM823">
        <v>38</v>
      </c>
      <c r="BN823" t="s">
        <v>102</v>
      </c>
      <c r="BO823" t="s">
        <v>417</v>
      </c>
    </row>
    <row r="824" spans="65:67">
      <c r="BM824">
        <v>39</v>
      </c>
      <c r="BN824" t="s">
        <v>118</v>
      </c>
      <c r="BO824" t="s">
        <v>417</v>
      </c>
    </row>
    <row r="825" spans="65:67">
      <c r="BM825">
        <v>40</v>
      </c>
      <c r="BN825" t="s">
        <v>89</v>
      </c>
      <c r="BO825" t="s">
        <v>417</v>
      </c>
    </row>
    <row r="826" spans="65:67">
      <c r="BM826">
        <v>41</v>
      </c>
      <c r="BN826" t="s">
        <v>87</v>
      </c>
      <c r="BO826" t="s">
        <v>417</v>
      </c>
    </row>
    <row r="827" spans="65:67">
      <c r="BM827">
        <v>42</v>
      </c>
      <c r="BN827" t="s">
        <v>76</v>
      </c>
      <c r="BO827" t="s">
        <v>417</v>
      </c>
    </row>
    <row r="828" spans="65:67">
      <c r="BM828">
        <v>43</v>
      </c>
      <c r="BN828" t="s">
        <v>78</v>
      </c>
      <c r="BO828" t="s">
        <v>417</v>
      </c>
    </row>
    <row r="829" spans="65:67">
      <c r="BM829">
        <v>44</v>
      </c>
      <c r="BN829" t="s">
        <v>111</v>
      </c>
      <c r="BO829" t="s">
        <v>417</v>
      </c>
    </row>
    <row r="830" spans="65:67">
      <c r="BM830">
        <v>45</v>
      </c>
      <c r="BN830" t="s">
        <v>84</v>
      </c>
      <c r="BO830" t="s">
        <v>417</v>
      </c>
    </row>
    <row r="831" spans="65:67">
      <c r="BM831">
        <v>46</v>
      </c>
      <c r="BN831" t="s">
        <v>159</v>
      </c>
      <c r="BO831" t="s">
        <v>417</v>
      </c>
    </row>
    <row r="832" spans="65:67">
      <c r="BM832">
        <v>47</v>
      </c>
      <c r="BN832" t="s">
        <v>99</v>
      </c>
      <c r="BO832" t="s">
        <v>417</v>
      </c>
    </row>
    <row r="833" spans="65:67">
      <c r="BM833">
        <v>48</v>
      </c>
      <c r="BN833" t="s">
        <v>37</v>
      </c>
      <c r="BO833" t="s">
        <v>417</v>
      </c>
    </row>
    <row r="834" spans="65:67">
      <c r="BM834">
        <v>49</v>
      </c>
      <c r="BN834" t="s">
        <v>128</v>
      </c>
      <c r="BO834" t="s">
        <v>417</v>
      </c>
    </row>
    <row r="835" spans="65:67">
      <c r="BM835">
        <v>50</v>
      </c>
      <c r="BN835" t="s">
        <v>101</v>
      </c>
      <c r="BO835" t="s">
        <v>417</v>
      </c>
    </row>
    <row r="836" spans="65:67">
      <c r="BM836">
        <v>51</v>
      </c>
      <c r="BN836" t="s">
        <v>133</v>
      </c>
      <c r="BO836" t="s">
        <v>417</v>
      </c>
    </row>
    <row r="837" spans="65:67">
      <c r="BM837">
        <v>52</v>
      </c>
      <c r="BN837" t="s">
        <v>122</v>
      </c>
      <c r="BO837" t="s">
        <v>417</v>
      </c>
    </row>
    <row r="838" spans="65:67">
      <c r="BM838">
        <v>53</v>
      </c>
      <c r="BN838" t="s">
        <v>110</v>
      </c>
      <c r="BO838" t="s">
        <v>417</v>
      </c>
    </row>
    <row r="839" spans="65:67">
      <c r="BM839">
        <v>54</v>
      </c>
      <c r="BN839" t="s">
        <v>104</v>
      </c>
      <c r="BO839" t="s">
        <v>417</v>
      </c>
    </row>
    <row r="840" spans="65:67">
      <c r="BM840">
        <v>55</v>
      </c>
      <c r="BN840" t="s">
        <v>81</v>
      </c>
      <c r="BO840" t="s">
        <v>417</v>
      </c>
    </row>
    <row r="841" spans="65:67">
      <c r="BM841">
        <v>56</v>
      </c>
      <c r="BN841" t="s">
        <v>148</v>
      </c>
      <c r="BO841" t="s">
        <v>417</v>
      </c>
    </row>
    <row r="842" spans="65:67">
      <c r="BM842">
        <v>57</v>
      </c>
      <c r="BN842" t="s">
        <v>80</v>
      </c>
      <c r="BO842" t="s">
        <v>417</v>
      </c>
    </row>
    <row r="843" spans="65:67">
      <c r="BM843">
        <v>58</v>
      </c>
      <c r="BN843" t="s">
        <v>88</v>
      </c>
      <c r="BO843" t="s">
        <v>417</v>
      </c>
    </row>
    <row r="844" spans="65:67">
      <c r="BM844">
        <v>59</v>
      </c>
      <c r="BN844" t="s">
        <v>163</v>
      </c>
      <c r="BO844" t="s">
        <v>417</v>
      </c>
    </row>
    <row r="845" spans="65:67">
      <c r="BM845">
        <v>60</v>
      </c>
      <c r="BN845" t="s">
        <v>107</v>
      </c>
      <c r="BO845" t="s">
        <v>417</v>
      </c>
    </row>
    <row r="846" spans="65:67">
      <c r="BM846">
        <v>61</v>
      </c>
      <c r="BN846" t="s">
        <v>124</v>
      </c>
      <c r="BO846" t="s">
        <v>417</v>
      </c>
    </row>
    <row r="847" spans="65:67">
      <c r="BM847">
        <v>62</v>
      </c>
      <c r="BN847" t="s">
        <v>137</v>
      </c>
      <c r="BO847" t="s">
        <v>417</v>
      </c>
    </row>
    <row r="848" spans="65:67">
      <c r="BM848">
        <v>63</v>
      </c>
      <c r="BN848" t="s">
        <v>103</v>
      </c>
      <c r="BO848" t="s">
        <v>417</v>
      </c>
    </row>
    <row r="849" spans="65:67">
      <c r="BM849">
        <v>64</v>
      </c>
      <c r="BN849" t="s">
        <v>131</v>
      </c>
      <c r="BO849" t="s">
        <v>417</v>
      </c>
    </row>
    <row r="850" spans="65:67">
      <c r="BM850">
        <v>65</v>
      </c>
      <c r="BN850" t="s">
        <v>90</v>
      </c>
      <c r="BO850" t="s">
        <v>417</v>
      </c>
    </row>
    <row r="851" spans="65:67">
      <c r="BM851">
        <v>66</v>
      </c>
      <c r="BN851" t="s">
        <v>119</v>
      </c>
      <c r="BO851" t="s">
        <v>417</v>
      </c>
    </row>
    <row r="852" spans="65:67">
      <c r="BM852">
        <v>67</v>
      </c>
      <c r="BN852" t="s">
        <v>106</v>
      </c>
      <c r="BO852" t="s">
        <v>417</v>
      </c>
    </row>
    <row r="853" spans="65:67">
      <c r="BM853">
        <v>68</v>
      </c>
      <c r="BN853" t="s">
        <v>109</v>
      </c>
      <c r="BO853" t="s">
        <v>417</v>
      </c>
    </row>
    <row r="854" spans="65:67">
      <c r="BM854">
        <v>69</v>
      </c>
      <c r="BN854" t="s">
        <v>126</v>
      </c>
      <c r="BO854" t="s">
        <v>417</v>
      </c>
    </row>
    <row r="855" spans="65:67">
      <c r="BM855">
        <v>70</v>
      </c>
      <c r="BN855" t="s">
        <v>156</v>
      </c>
      <c r="BO855" t="s">
        <v>417</v>
      </c>
    </row>
    <row r="856" spans="65:67">
      <c r="BM856">
        <v>71</v>
      </c>
      <c r="BN856" t="s">
        <v>143</v>
      </c>
      <c r="BO856" t="s">
        <v>417</v>
      </c>
    </row>
    <row r="857" spans="65:67">
      <c r="BM857">
        <v>72</v>
      </c>
      <c r="BN857" t="s">
        <v>166</v>
      </c>
      <c r="BO857" t="s">
        <v>417</v>
      </c>
    </row>
    <row r="858" spans="65:67">
      <c r="BM858">
        <v>73</v>
      </c>
      <c r="BN858" t="s">
        <v>108</v>
      </c>
      <c r="BO858" t="s">
        <v>417</v>
      </c>
    </row>
    <row r="859" spans="65:67">
      <c r="BM859">
        <v>74</v>
      </c>
      <c r="BN859" t="s">
        <v>142</v>
      </c>
      <c r="BO859" t="s">
        <v>417</v>
      </c>
    </row>
    <row r="860" spans="65:67">
      <c r="BM860">
        <v>75</v>
      </c>
      <c r="BN860" t="s">
        <v>171</v>
      </c>
      <c r="BO860" t="s">
        <v>417</v>
      </c>
    </row>
    <row r="861" spans="65:67">
      <c r="BM861">
        <v>76</v>
      </c>
      <c r="BN861" t="s">
        <v>136</v>
      </c>
      <c r="BO861" t="s">
        <v>417</v>
      </c>
    </row>
    <row r="862" spans="65:67">
      <c r="BM862">
        <v>77</v>
      </c>
      <c r="BN862" t="s">
        <v>100</v>
      </c>
      <c r="BO862" t="s">
        <v>417</v>
      </c>
    </row>
    <row r="863" spans="65:67">
      <c r="BM863">
        <v>78</v>
      </c>
      <c r="BN863" t="s">
        <v>115</v>
      </c>
      <c r="BO863" t="s">
        <v>417</v>
      </c>
    </row>
    <row r="864" spans="65:67">
      <c r="BM864">
        <v>79</v>
      </c>
      <c r="BN864" t="s">
        <v>140</v>
      </c>
      <c r="BO864" t="s">
        <v>417</v>
      </c>
    </row>
    <row r="865" spans="65:67">
      <c r="BM865">
        <v>80</v>
      </c>
      <c r="BN865" t="s">
        <v>125</v>
      </c>
      <c r="BO865" t="s">
        <v>417</v>
      </c>
    </row>
    <row r="866" spans="65:67">
      <c r="BM866">
        <v>81</v>
      </c>
      <c r="BN866" t="s">
        <v>154</v>
      </c>
      <c r="BO866" t="s">
        <v>417</v>
      </c>
    </row>
    <row r="867" spans="65:67">
      <c r="BM867">
        <v>82</v>
      </c>
      <c r="BN867" t="s">
        <v>117</v>
      </c>
      <c r="BO867" t="s">
        <v>417</v>
      </c>
    </row>
    <row r="868" spans="65:67">
      <c r="BM868">
        <v>83</v>
      </c>
      <c r="BN868" t="s">
        <v>169</v>
      </c>
      <c r="BO868" t="s">
        <v>417</v>
      </c>
    </row>
    <row r="869" spans="65:67">
      <c r="BM869">
        <v>84</v>
      </c>
      <c r="BN869" t="s">
        <v>147</v>
      </c>
      <c r="BO869" t="s">
        <v>417</v>
      </c>
    </row>
    <row r="870" spans="65:67">
      <c r="BM870">
        <v>85</v>
      </c>
      <c r="BN870" t="s">
        <v>152</v>
      </c>
      <c r="BO870" t="s">
        <v>417</v>
      </c>
    </row>
    <row r="871" spans="65:67">
      <c r="BM871">
        <v>86</v>
      </c>
      <c r="BN871" t="s">
        <v>410</v>
      </c>
      <c r="BO871" t="s">
        <v>417</v>
      </c>
    </row>
    <row r="872" spans="65:67">
      <c r="BM872">
        <v>87</v>
      </c>
      <c r="BN872" t="s">
        <v>134</v>
      </c>
      <c r="BO872" t="s">
        <v>417</v>
      </c>
    </row>
    <row r="873" spans="65:67">
      <c r="BM873">
        <v>88</v>
      </c>
      <c r="BN873" t="s">
        <v>132</v>
      </c>
      <c r="BO873" t="s">
        <v>417</v>
      </c>
    </row>
    <row r="874" spans="65:67">
      <c r="BM874">
        <v>89</v>
      </c>
      <c r="BN874" t="s">
        <v>146</v>
      </c>
      <c r="BO874" t="s">
        <v>417</v>
      </c>
    </row>
    <row r="875" spans="65:67">
      <c r="BM875">
        <v>90</v>
      </c>
      <c r="BN875" t="s">
        <v>113</v>
      </c>
      <c r="BO875" t="s">
        <v>417</v>
      </c>
    </row>
    <row r="876" spans="65:67">
      <c r="BM876">
        <v>91</v>
      </c>
      <c r="BN876" t="s">
        <v>158</v>
      </c>
      <c r="BO876" t="s">
        <v>417</v>
      </c>
    </row>
    <row r="877" spans="65:67">
      <c r="BM877">
        <v>92</v>
      </c>
      <c r="BN877" t="s">
        <v>121</v>
      </c>
      <c r="BO877" t="s">
        <v>417</v>
      </c>
    </row>
    <row r="878" spans="65:67">
      <c r="BM878">
        <v>93</v>
      </c>
      <c r="BN878" t="s">
        <v>150</v>
      </c>
      <c r="BO878" t="s">
        <v>417</v>
      </c>
    </row>
    <row r="879" spans="65:67">
      <c r="BM879">
        <v>94</v>
      </c>
      <c r="BN879" t="s">
        <v>162</v>
      </c>
      <c r="BO879" t="s">
        <v>417</v>
      </c>
    </row>
    <row r="880" spans="65:67">
      <c r="BM880">
        <v>95</v>
      </c>
      <c r="BN880" t="s">
        <v>94</v>
      </c>
      <c r="BO880" t="s">
        <v>417</v>
      </c>
    </row>
    <row r="881" spans="65:67">
      <c r="BM881">
        <v>96</v>
      </c>
      <c r="BN881" t="s">
        <v>198</v>
      </c>
      <c r="BO881" t="s">
        <v>417</v>
      </c>
    </row>
    <row r="882" spans="65:67">
      <c r="BM882">
        <v>97</v>
      </c>
      <c r="BN882" t="s">
        <v>123</v>
      </c>
      <c r="BO882" t="s">
        <v>417</v>
      </c>
    </row>
    <row r="883" spans="65:67">
      <c r="BM883">
        <v>98</v>
      </c>
      <c r="BN883" t="s">
        <v>135</v>
      </c>
      <c r="BO883" t="s">
        <v>417</v>
      </c>
    </row>
    <row r="884" spans="65:67">
      <c r="BM884">
        <v>99</v>
      </c>
      <c r="BN884" t="s">
        <v>179</v>
      </c>
      <c r="BO884" t="s">
        <v>417</v>
      </c>
    </row>
    <row r="885" spans="65:67">
      <c r="BM885">
        <v>100</v>
      </c>
      <c r="BN885" t="s">
        <v>114</v>
      </c>
      <c r="BO885" t="s">
        <v>417</v>
      </c>
    </row>
    <row r="886" spans="65:67">
      <c r="BM886">
        <v>101</v>
      </c>
      <c r="BN886" t="s">
        <v>167</v>
      </c>
      <c r="BO886" t="s">
        <v>417</v>
      </c>
    </row>
    <row r="887" spans="65:67">
      <c r="BM887">
        <v>102</v>
      </c>
      <c r="BN887" t="s">
        <v>138</v>
      </c>
      <c r="BO887" t="s">
        <v>417</v>
      </c>
    </row>
    <row r="888" spans="65:67">
      <c r="BM888">
        <v>103</v>
      </c>
      <c r="BN888" t="s">
        <v>129</v>
      </c>
      <c r="BO888" t="s">
        <v>417</v>
      </c>
    </row>
    <row r="889" spans="65:67">
      <c r="BM889">
        <v>104</v>
      </c>
      <c r="BN889" t="s">
        <v>175</v>
      </c>
      <c r="BO889" t="s">
        <v>417</v>
      </c>
    </row>
    <row r="890" spans="65:67">
      <c r="BM890">
        <v>105</v>
      </c>
      <c r="BN890" t="s">
        <v>178</v>
      </c>
      <c r="BO890" t="s">
        <v>417</v>
      </c>
    </row>
    <row r="891" spans="65:67">
      <c r="BM891">
        <v>106</v>
      </c>
      <c r="BN891" t="s">
        <v>141</v>
      </c>
      <c r="BO891" t="s">
        <v>417</v>
      </c>
    </row>
    <row r="892" spans="65:67">
      <c r="BM892">
        <v>107</v>
      </c>
      <c r="BN892" t="s">
        <v>409</v>
      </c>
      <c r="BO892" t="s">
        <v>417</v>
      </c>
    </row>
    <row r="893" spans="65:67">
      <c r="BM893">
        <v>108</v>
      </c>
      <c r="BN893" t="s">
        <v>199</v>
      </c>
      <c r="BO893" t="s">
        <v>417</v>
      </c>
    </row>
    <row r="894" spans="65:67">
      <c r="BM894">
        <v>109</v>
      </c>
      <c r="BN894" t="s">
        <v>273</v>
      </c>
      <c r="BO894" t="s">
        <v>417</v>
      </c>
    </row>
    <row r="895" spans="65:67">
      <c r="BM895">
        <v>110</v>
      </c>
      <c r="BN895" t="s">
        <v>130</v>
      </c>
      <c r="BO895" t="s">
        <v>417</v>
      </c>
    </row>
    <row r="896" spans="65:67">
      <c r="BM896">
        <v>111</v>
      </c>
      <c r="BN896" t="s">
        <v>164</v>
      </c>
      <c r="BO896" t="s">
        <v>417</v>
      </c>
    </row>
    <row r="897" spans="65:67">
      <c r="BM897">
        <v>112</v>
      </c>
      <c r="BN897" t="s">
        <v>160</v>
      </c>
      <c r="BO897" t="s">
        <v>417</v>
      </c>
    </row>
    <row r="898" spans="65:67">
      <c r="BM898">
        <v>113</v>
      </c>
      <c r="BN898" t="s">
        <v>157</v>
      </c>
      <c r="BO898" t="s">
        <v>417</v>
      </c>
    </row>
    <row r="899" spans="65:67">
      <c r="BM899">
        <v>114</v>
      </c>
      <c r="BN899" t="s">
        <v>172</v>
      </c>
      <c r="BO899" t="s">
        <v>417</v>
      </c>
    </row>
    <row r="900" spans="65:67">
      <c r="BM900">
        <v>115</v>
      </c>
      <c r="BN900" t="s">
        <v>92</v>
      </c>
      <c r="BO900" t="s">
        <v>417</v>
      </c>
    </row>
    <row r="901" spans="65:67">
      <c r="BM901">
        <v>116</v>
      </c>
      <c r="BN901" t="s">
        <v>230</v>
      </c>
      <c r="BO901" t="s">
        <v>417</v>
      </c>
    </row>
    <row r="902" spans="65:67">
      <c r="BM902">
        <v>117</v>
      </c>
      <c r="BN902" t="s">
        <v>227</v>
      </c>
      <c r="BO902" t="s">
        <v>417</v>
      </c>
    </row>
    <row r="903" spans="65:67">
      <c r="BM903">
        <v>118</v>
      </c>
      <c r="BN903" t="s">
        <v>145</v>
      </c>
      <c r="BO903" t="s">
        <v>417</v>
      </c>
    </row>
    <row r="904" spans="65:67">
      <c r="BM904">
        <v>119</v>
      </c>
      <c r="BN904" t="s">
        <v>170</v>
      </c>
      <c r="BO904" t="s">
        <v>417</v>
      </c>
    </row>
    <row r="905" spans="65:67">
      <c r="BM905">
        <v>120</v>
      </c>
      <c r="BN905" t="s">
        <v>191</v>
      </c>
      <c r="BO905" t="s">
        <v>417</v>
      </c>
    </row>
    <row r="906" spans="65:67">
      <c r="BM906">
        <v>121</v>
      </c>
      <c r="BN906" t="s">
        <v>192</v>
      </c>
      <c r="BO906" t="s">
        <v>417</v>
      </c>
    </row>
    <row r="907" spans="65:67">
      <c r="BM907">
        <v>122</v>
      </c>
      <c r="BN907" t="s">
        <v>186</v>
      </c>
      <c r="BO907" t="s">
        <v>417</v>
      </c>
    </row>
    <row r="908" spans="65:67">
      <c r="BM908">
        <v>123</v>
      </c>
      <c r="BN908" t="s">
        <v>266</v>
      </c>
      <c r="BO908" t="s">
        <v>417</v>
      </c>
    </row>
    <row r="909" spans="65:67">
      <c r="BM909">
        <v>124</v>
      </c>
      <c r="BN909" t="s">
        <v>208</v>
      </c>
      <c r="BO909" t="s">
        <v>417</v>
      </c>
    </row>
    <row r="910" spans="65:67">
      <c r="BM910">
        <v>125</v>
      </c>
      <c r="BN910" t="s">
        <v>412</v>
      </c>
      <c r="BO910" t="s">
        <v>417</v>
      </c>
    </row>
    <row r="911" spans="65:67">
      <c r="BM911">
        <v>126</v>
      </c>
      <c r="BN911" t="s">
        <v>265</v>
      </c>
      <c r="BO911" t="s">
        <v>417</v>
      </c>
    </row>
    <row r="912" spans="65:67">
      <c r="BM912">
        <v>127</v>
      </c>
      <c r="BN912" t="s">
        <v>239</v>
      </c>
      <c r="BO912" t="s">
        <v>417</v>
      </c>
    </row>
    <row r="913" spans="65:67">
      <c r="BM913">
        <v>128</v>
      </c>
      <c r="BN913" t="s">
        <v>221</v>
      </c>
      <c r="BO913" t="s">
        <v>417</v>
      </c>
    </row>
    <row r="914" spans="65:67">
      <c r="BM914">
        <v>129</v>
      </c>
      <c r="BN914" t="s">
        <v>268</v>
      </c>
      <c r="BO914" t="s">
        <v>417</v>
      </c>
    </row>
    <row r="915" spans="65:67">
      <c r="BM915">
        <v>130</v>
      </c>
      <c r="BN915" t="s">
        <v>144</v>
      </c>
      <c r="BO915" t="s">
        <v>417</v>
      </c>
    </row>
    <row r="916" spans="65:67">
      <c r="BM916">
        <v>1</v>
      </c>
      <c r="BN916" t="s">
        <v>407</v>
      </c>
      <c r="BO916" t="s">
        <v>418</v>
      </c>
    </row>
    <row r="917" spans="65:67">
      <c r="BM917">
        <v>2</v>
      </c>
      <c r="BN917" t="s">
        <v>30</v>
      </c>
      <c r="BO917" t="s">
        <v>418</v>
      </c>
    </row>
    <row r="918" spans="65:67">
      <c r="BM918">
        <v>3</v>
      </c>
      <c r="BN918" t="s">
        <v>408</v>
      </c>
      <c r="BO918" t="s">
        <v>418</v>
      </c>
    </row>
    <row r="919" spans="65:67">
      <c r="BM919">
        <v>4</v>
      </c>
      <c r="BN919" t="s">
        <v>21</v>
      </c>
      <c r="BO919" t="s">
        <v>418</v>
      </c>
    </row>
    <row r="920" spans="65:67">
      <c r="BM920">
        <v>5</v>
      </c>
      <c r="BN920" t="s">
        <v>24</v>
      </c>
      <c r="BO920" t="s">
        <v>418</v>
      </c>
    </row>
    <row r="921" spans="65:67">
      <c r="BM921">
        <v>6</v>
      </c>
      <c r="BN921" t="s">
        <v>41</v>
      </c>
      <c r="BO921" t="s">
        <v>418</v>
      </c>
    </row>
    <row r="922" spans="65:67">
      <c r="BM922">
        <v>7</v>
      </c>
      <c r="BN922" t="s">
        <v>65</v>
      </c>
      <c r="BO922" t="s">
        <v>418</v>
      </c>
    </row>
    <row r="923" spans="65:67">
      <c r="BM923">
        <v>8</v>
      </c>
      <c r="BN923" t="s">
        <v>46</v>
      </c>
      <c r="BO923" t="s">
        <v>418</v>
      </c>
    </row>
    <row r="924" spans="65:67">
      <c r="BM924">
        <v>9</v>
      </c>
      <c r="BN924" t="s">
        <v>16</v>
      </c>
      <c r="BO924" t="s">
        <v>418</v>
      </c>
    </row>
    <row r="925" spans="65:67">
      <c r="BM925">
        <v>10</v>
      </c>
      <c r="BN925" t="s">
        <v>49</v>
      </c>
      <c r="BO925" t="s">
        <v>418</v>
      </c>
    </row>
    <row r="926" spans="65:67">
      <c r="BM926">
        <v>11</v>
      </c>
      <c r="BN926" t="s">
        <v>60</v>
      </c>
      <c r="BO926" t="s">
        <v>418</v>
      </c>
    </row>
    <row r="927" spans="65:67">
      <c r="BM927">
        <v>12</v>
      </c>
      <c r="BN927" t="s">
        <v>62</v>
      </c>
      <c r="BO927" t="s">
        <v>418</v>
      </c>
    </row>
    <row r="928" spans="65:67">
      <c r="BM928">
        <v>13</v>
      </c>
      <c r="BN928" t="s">
        <v>64</v>
      </c>
      <c r="BO928" t="s">
        <v>418</v>
      </c>
    </row>
    <row r="929" spans="65:67">
      <c r="BM929">
        <v>14</v>
      </c>
      <c r="BN929" t="s">
        <v>74</v>
      </c>
      <c r="BO929" t="s">
        <v>418</v>
      </c>
    </row>
    <row r="930" spans="65:67">
      <c r="BM930">
        <v>15</v>
      </c>
      <c r="BN930" t="s">
        <v>35</v>
      </c>
      <c r="BO930" t="s">
        <v>418</v>
      </c>
    </row>
    <row r="931" spans="65:67">
      <c r="BM931">
        <v>16</v>
      </c>
      <c r="BN931" t="s">
        <v>58</v>
      </c>
      <c r="BO931" t="s">
        <v>418</v>
      </c>
    </row>
    <row r="932" spans="65:67">
      <c r="BM932">
        <v>17</v>
      </c>
      <c r="BN932" t="s">
        <v>32</v>
      </c>
      <c r="BO932" t="s">
        <v>418</v>
      </c>
    </row>
    <row r="933" spans="65:67">
      <c r="BM933">
        <v>18</v>
      </c>
      <c r="BN933" t="s">
        <v>72</v>
      </c>
      <c r="BO933" t="s">
        <v>418</v>
      </c>
    </row>
    <row r="934" spans="65:67">
      <c r="BM934">
        <v>19</v>
      </c>
      <c r="BN934" t="s">
        <v>43</v>
      </c>
      <c r="BO934" t="s">
        <v>418</v>
      </c>
    </row>
    <row r="935" spans="65:67">
      <c r="BM935">
        <v>20</v>
      </c>
      <c r="BN935" t="s">
        <v>67</v>
      </c>
      <c r="BO935" t="s">
        <v>418</v>
      </c>
    </row>
    <row r="936" spans="65:67">
      <c r="BM936">
        <v>21</v>
      </c>
      <c r="BN936" t="s">
        <v>69</v>
      </c>
      <c r="BO936" t="s">
        <v>418</v>
      </c>
    </row>
    <row r="937" spans="65:67">
      <c r="BM937">
        <v>22</v>
      </c>
      <c r="BN937" t="s">
        <v>66</v>
      </c>
      <c r="BO937" t="s">
        <v>418</v>
      </c>
    </row>
    <row r="938" spans="65:67">
      <c r="BM938">
        <v>23</v>
      </c>
      <c r="BN938" t="s">
        <v>54</v>
      </c>
      <c r="BO938" t="s">
        <v>418</v>
      </c>
    </row>
    <row r="939" spans="65:67">
      <c r="BM939">
        <v>24</v>
      </c>
      <c r="BN939" t="s">
        <v>83</v>
      </c>
      <c r="BO939" t="s">
        <v>418</v>
      </c>
    </row>
    <row r="940" spans="65:67">
      <c r="BM940">
        <v>25</v>
      </c>
      <c r="BN940" t="s">
        <v>40</v>
      </c>
      <c r="BO940" t="s">
        <v>418</v>
      </c>
    </row>
    <row r="941" spans="65:67">
      <c r="BM941">
        <v>26</v>
      </c>
      <c r="BN941" t="s">
        <v>52</v>
      </c>
      <c r="BO941" t="s">
        <v>418</v>
      </c>
    </row>
    <row r="942" spans="65:67">
      <c r="BM942">
        <v>27</v>
      </c>
      <c r="BN942" t="s">
        <v>45</v>
      </c>
      <c r="BO942" t="s">
        <v>418</v>
      </c>
    </row>
    <row r="943" spans="65:67">
      <c r="BM943">
        <v>28</v>
      </c>
      <c r="BN943" t="s">
        <v>56</v>
      </c>
      <c r="BO943" t="s">
        <v>418</v>
      </c>
    </row>
    <row r="944" spans="65:67">
      <c r="BM944">
        <v>29</v>
      </c>
      <c r="BN944" t="s">
        <v>97</v>
      </c>
      <c r="BO944" t="s">
        <v>418</v>
      </c>
    </row>
    <row r="945" spans="65:67">
      <c r="BM945">
        <v>30</v>
      </c>
      <c r="BN945" t="s">
        <v>96</v>
      </c>
      <c r="BO945" t="s">
        <v>418</v>
      </c>
    </row>
    <row r="946" spans="65:67">
      <c r="BM946">
        <v>31</v>
      </c>
      <c r="BN946" t="s">
        <v>86</v>
      </c>
      <c r="BO946" t="s">
        <v>418</v>
      </c>
    </row>
    <row r="947" spans="65:67">
      <c r="BM947">
        <v>32</v>
      </c>
      <c r="BN947" t="s">
        <v>85</v>
      </c>
      <c r="BO947" t="s">
        <v>418</v>
      </c>
    </row>
    <row r="948" spans="65:67">
      <c r="BM948">
        <v>33</v>
      </c>
      <c r="BN948" t="s">
        <v>248</v>
      </c>
      <c r="BO948" t="s">
        <v>418</v>
      </c>
    </row>
    <row r="949" spans="65:67">
      <c r="BM949">
        <v>34</v>
      </c>
      <c r="BN949" t="s">
        <v>93</v>
      </c>
      <c r="BO949" t="s">
        <v>418</v>
      </c>
    </row>
    <row r="950" spans="65:67">
      <c r="BM950">
        <v>35</v>
      </c>
      <c r="BN950" t="s">
        <v>51</v>
      </c>
      <c r="BO950" t="s">
        <v>418</v>
      </c>
    </row>
    <row r="951" spans="65:67">
      <c r="BM951">
        <v>36</v>
      </c>
      <c r="BN951" t="s">
        <v>89</v>
      </c>
      <c r="BO951" t="s">
        <v>418</v>
      </c>
    </row>
    <row r="952" spans="65:67">
      <c r="BM952">
        <v>37</v>
      </c>
      <c r="BN952" t="s">
        <v>168</v>
      </c>
      <c r="BO952" t="s">
        <v>418</v>
      </c>
    </row>
    <row r="953" spans="65:67">
      <c r="BM953">
        <v>38</v>
      </c>
      <c r="BN953" t="s">
        <v>102</v>
      </c>
      <c r="BO953" t="s">
        <v>418</v>
      </c>
    </row>
    <row r="954" spans="65:67">
      <c r="BM954">
        <v>39</v>
      </c>
      <c r="BN954" t="s">
        <v>87</v>
      </c>
      <c r="BO954" t="s">
        <v>418</v>
      </c>
    </row>
    <row r="955" spans="65:67">
      <c r="BM955">
        <v>40</v>
      </c>
      <c r="BN955" t="s">
        <v>76</v>
      </c>
      <c r="BO955" t="s">
        <v>418</v>
      </c>
    </row>
    <row r="956" spans="65:67">
      <c r="BM956">
        <v>41</v>
      </c>
      <c r="BN956" t="s">
        <v>70</v>
      </c>
      <c r="BO956" t="s">
        <v>418</v>
      </c>
    </row>
    <row r="957" spans="65:67">
      <c r="BM957">
        <v>42</v>
      </c>
      <c r="BN957" t="s">
        <v>78</v>
      </c>
      <c r="BO957" t="s">
        <v>418</v>
      </c>
    </row>
    <row r="958" spans="65:67">
      <c r="BM958">
        <v>43</v>
      </c>
      <c r="BN958" t="s">
        <v>84</v>
      </c>
      <c r="BO958" t="s">
        <v>418</v>
      </c>
    </row>
    <row r="959" spans="65:67">
      <c r="BM959">
        <v>44</v>
      </c>
      <c r="BN959" t="s">
        <v>122</v>
      </c>
      <c r="BO959" t="s">
        <v>418</v>
      </c>
    </row>
    <row r="960" spans="65:67">
      <c r="BM960">
        <v>45</v>
      </c>
      <c r="BN960" t="s">
        <v>111</v>
      </c>
      <c r="BO960" t="s">
        <v>418</v>
      </c>
    </row>
    <row r="961" spans="65:67">
      <c r="BM961">
        <v>46</v>
      </c>
      <c r="BN961" t="s">
        <v>159</v>
      </c>
      <c r="BO961" t="s">
        <v>418</v>
      </c>
    </row>
    <row r="962" spans="65:67">
      <c r="BM962">
        <v>47</v>
      </c>
      <c r="BN962" t="s">
        <v>99</v>
      </c>
      <c r="BO962" t="s">
        <v>418</v>
      </c>
    </row>
    <row r="963" spans="65:67">
      <c r="BM963">
        <v>48</v>
      </c>
      <c r="BN963" t="s">
        <v>118</v>
      </c>
      <c r="BO963" t="s">
        <v>418</v>
      </c>
    </row>
    <row r="964" spans="65:67">
      <c r="BM964">
        <v>49</v>
      </c>
      <c r="BN964" t="s">
        <v>128</v>
      </c>
      <c r="BO964" t="s">
        <v>418</v>
      </c>
    </row>
    <row r="965" spans="65:67">
      <c r="BM965">
        <v>50</v>
      </c>
      <c r="BN965" t="s">
        <v>103</v>
      </c>
      <c r="BO965" t="s">
        <v>418</v>
      </c>
    </row>
    <row r="966" spans="65:67">
      <c r="BM966">
        <v>51</v>
      </c>
      <c r="BN966" t="s">
        <v>81</v>
      </c>
      <c r="BO966" t="s">
        <v>418</v>
      </c>
    </row>
    <row r="967" spans="65:67">
      <c r="BM967">
        <v>52</v>
      </c>
      <c r="BN967" t="s">
        <v>80</v>
      </c>
      <c r="BO967" t="s">
        <v>418</v>
      </c>
    </row>
    <row r="968" spans="65:67">
      <c r="BM968">
        <v>53</v>
      </c>
      <c r="BN968" t="s">
        <v>37</v>
      </c>
      <c r="BO968" t="s">
        <v>418</v>
      </c>
    </row>
    <row r="969" spans="65:67">
      <c r="BM969">
        <v>54</v>
      </c>
      <c r="BN969" t="s">
        <v>88</v>
      </c>
      <c r="BO969" t="s">
        <v>418</v>
      </c>
    </row>
    <row r="970" spans="65:67">
      <c r="BM970">
        <v>55</v>
      </c>
      <c r="BN970" t="s">
        <v>110</v>
      </c>
      <c r="BO970" t="s">
        <v>418</v>
      </c>
    </row>
    <row r="971" spans="65:67">
      <c r="BM971">
        <v>56</v>
      </c>
      <c r="BN971" t="s">
        <v>101</v>
      </c>
      <c r="BO971" t="s">
        <v>418</v>
      </c>
    </row>
    <row r="972" spans="65:67">
      <c r="BM972">
        <v>57</v>
      </c>
      <c r="BN972" t="s">
        <v>148</v>
      </c>
      <c r="BO972" t="s">
        <v>418</v>
      </c>
    </row>
    <row r="973" spans="65:67">
      <c r="BM973">
        <v>58</v>
      </c>
      <c r="BN973" t="s">
        <v>107</v>
      </c>
      <c r="BO973" t="s">
        <v>418</v>
      </c>
    </row>
    <row r="974" spans="65:67">
      <c r="BM974">
        <v>59</v>
      </c>
      <c r="BN974" t="s">
        <v>163</v>
      </c>
      <c r="BO974" t="s">
        <v>418</v>
      </c>
    </row>
    <row r="975" spans="65:67">
      <c r="BM975">
        <v>60</v>
      </c>
      <c r="BN975" t="s">
        <v>104</v>
      </c>
      <c r="BO975" t="s">
        <v>418</v>
      </c>
    </row>
    <row r="976" spans="65:67">
      <c r="BM976">
        <v>61</v>
      </c>
      <c r="BN976" t="s">
        <v>124</v>
      </c>
      <c r="BO976" t="s">
        <v>418</v>
      </c>
    </row>
    <row r="977" spans="65:67">
      <c r="BM977">
        <v>62</v>
      </c>
      <c r="BN977" t="s">
        <v>133</v>
      </c>
      <c r="BO977" t="s">
        <v>418</v>
      </c>
    </row>
    <row r="978" spans="65:67">
      <c r="BM978">
        <v>63</v>
      </c>
      <c r="BN978" t="s">
        <v>126</v>
      </c>
      <c r="BO978" t="s">
        <v>418</v>
      </c>
    </row>
    <row r="979" spans="65:67">
      <c r="BM979">
        <v>64</v>
      </c>
      <c r="BN979" t="s">
        <v>109</v>
      </c>
      <c r="BO979" t="s">
        <v>418</v>
      </c>
    </row>
    <row r="980" spans="65:67">
      <c r="BM980">
        <v>65</v>
      </c>
      <c r="BN980" t="s">
        <v>171</v>
      </c>
      <c r="BO980" t="s">
        <v>418</v>
      </c>
    </row>
    <row r="981" spans="65:67">
      <c r="BM981">
        <v>66</v>
      </c>
      <c r="BN981" t="s">
        <v>90</v>
      </c>
      <c r="BO981" t="s">
        <v>418</v>
      </c>
    </row>
    <row r="982" spans="65:67">
      <c r="BM982">
        <v>67</v>
      </c>
      <c r="BN982" t="s">
        <v>166</v>
      </c>
      <c r="BO982" t="s">
        <v>418</v>
      </c>
    </row>
    <row r="983" spans="65:67">
      <c r="BM983">
        <v>68</v>
      </c>
      <c r="BN983" t="s">
        <v>119</v>
      </c>
      <c r="BO983" t="s">
        <v>418</v>
      </c>
    </row>
    <row r="984" spans="65:67">
      <c r="BM984">
        <v>69</v>
      </c>
      <c r="BN984" t="s">
        <v>106</v>
      </c>
      <c r="BO984" t="s">
        <v>418</v>
      </c>
    </row>
    <row r="985" spans="65:67">
      <c r="BM985">
        <v>70</v>
      </c>
      <c r="BN985" t="s">
        <v>131</v>
      </c>
      <c r="BO985" t="s">
        <v>418</v>
      </c>
    </row>
    <row r="986" spans="65:67">
      <c r="BM986">
        <v>71</v>
      </c>
      <c r="BN986" t="s">
        <v>137</v>
      </c>
      <c r="BO986" t="s">
        <v>418</v>
      </c>
    </row>
    <row r="987" spans="65:67">
      <c r="BM987">
        <v>72</v>
      </c>
      <c r="BN987" t="s">
        <v>162</v>
      </c>
      <c r="BO987" t="s">
        <v>418</v>
      </c>
    </row>
    <row r="988" spans="65:67">
      <c r="BM988">
        <v>73</v>
      </c>
      <c r="BN988" t="s">
        <v>108</v>
      </c>
      <c r="BO988" t="s">
        <v>418</v>
      </c>
    </row>
    <row r="989" spans="65:67">
      <c r="BM989">
        <v>74</v>
      </c>
      <c r="BN989" t="s">
        <v>136</v>
      </c>
      <c r="BO989" t="s">
        <v>418</v>
      </c>
    </row>
    <row r="990" spans="65:67">
      <c r="BM990">
        <v>75</v>
      </c>
      <c r="BN990" t="s">
        <v>142</v>
      </c>
      <c r="BO990" t="s">
        <v>418</v>
      </c>
    </row>
    <row r="991" spans="65:67">
      <c r="BM991">
        <v>76</v>
      </c>
      <c r="BN991" t="s">
        <v>152</v>
      </c>
      <c r="BO991" t="s">
        <v>418</v>
      </c>
    </row>
    <row r="992" spans="65:67">
      <c r="BM992">
        <v>77</v>
      </c>
      <c r="BN992" t="s">
        <v>117</v>
      </c>
      <c r="BO992" t="s">
        <v>418</v>
      </c>
    </row>
    <row r="993" spans="65:67">
      <c r="BM993">
        <v>78</v>
      </c>
      <c r="BN993" t="s">
        <v>115</v>
      </c>
      <c r="BO993" t="s">
        <v>418</v>
      </c>
    </row>
    <row r="994" spans="65:67">
      <c r="BM994">
        <v>79</v>
      </c>
      <c r="BN994" t="s">
        <v>143</v>
      </c>
      <c r="BO994" t="s">
        <v>418</v>
      </c>
    </row>
    <row r="995" spans="65:67">
      <c r="BM995">
        <v>80</v>
      </c>
      <c r="BN995" t="s">
        <v>125</v>
      </c>
      <c r="BO995" t="s">
        <v>418</v>
      </c>
    </row>
    <row r="996" spans="65:67">
      <c r="BM996">
        <v>81</v>
      </c>
      <c r="BN996" t="s">
        <v>154</v>
      </c>
      <c r="BO996" t="s">
        <v>418</v>
      </c>
    </row>
    <row r="997" spans="65:67">
      <c r="BM997">
        <v>82</v>
      </c>
      <c r="BN997" t="s">
        <v>169</v>
      </c>
      <c r="BO997" t="s">
        <v>418</v>
      </c>
    </row>
    <row r="998" spans="65:67">
      <c r="BM998">
        <v>83</v>
      </c>
      <c r="BN998" t="s">
        <v>410</v>
      </c>
      <c r="BO998" t="s">
        <v>418</v>
      </c>
    </row>
    <row r="999" spans="65:67">
      <c r="BM999">
        <v>84</v>
      </c>
      <c r="BN999" t="s">
        <v>140</v>
      </c>
      <c r="BO999" t="s">
        <v>418</v>
      </c>
    </row>
    <row r="1000" spans="65:67">
      <c r="BM1000">
        <v>85</v>
      </c>
      <c r="BN1000" t="s">
        <v>100</v>
      </c>
      <c r="BO1000" t="s">
        <v>418</v>
      </c>
    </row>
    <row r="1001" spans="65:67">
      <c r="BM1001">
        <v>86</v>
      </c>
      <c r="BN1001" t="s">
        <v>132</v>
      </c>
      <c r="BO1001" t="s">
        <v>418</v>
      </c>
    </row>
    <row r="1002" spans="65:67">
      <c r="BM1002">
        <v>87</v>
      </c>
      <c r="BN1002" t="s">
        <v>138</v>
      </c>
      <c r="BO1002" t="s">
        <v>418</v>
      </c>
    </row>
    <row r="1003" spans="65:67">
      <c r="BM1003">
        <v>88</v>
      </c>
      <c r="BN1003" t="s">
        <v>134</v>
      </c>
      <c r="BO1003" t="s">
        <v>418</v>
      </c>
    </row>
    <row r="1004" spans="65:67">
      <c r="BM1004">
        <v>89</v>
      </c>
      <c r="BN1004" t="s">
        <v>150</v>
      </c>
      <c r="BO1004" t="s">
        <v>418</v>
      </c>
    </row>
    <row r="1005" spans="65:67">
      <c r="BM1005">
        <v>90</v>
      </c>
      <c r="BN1005" t="s">
        <v>156</v>
      </c>
      <c r="BO1005" t="s">
        <v>418</v>
      </c>
    </row>
    <row r="1006" spans="65:67">
      <c r="BM1006">
        <v>91</v>
      </c>
      <c r="BN1006" t="s">
        <v>146</v>
      </c>
      <c r="BO1006" t="s">
        <v>418</v>
      </c>
    </row>
    <row r="1007" spans="65:67">
      <c r="BM1007">
        <v>92</v>
      </c>
      <c r="BN1007" t="s">
        <v>129</v>
      </c>
      <c r="BO1007" t="s">
        <v>418</v>
      </c>
    </row>
    <row r="1008" spans="65:67">
      <c r="BM1008">
        <v>93</v>
      </c>
      <c r="BN1008" t="s">
        <v>121</v>
      </c>
      <c r="BO1008" t="s">
        <v>418</v>
      </c>
    </row>
    <row r="1009" spans="65:67">
      <c r="BM1009">
        <v>94</v>
      </c>
      <c r="BN1009" t="s">
        <v>123</v>
      </c>
      <c r="BO1009" t="s">
        <v>418</v>
      </c>
    </row>
    <row r="1010" spans="65:67">
      <c r="BM1010">
        <v>95</v>
      </c>
      <c r="BN1010" t="s">
        <v>198</v>
      </c>
      <c r="BO1010" t="s">
        <v>418</v>
      </c>
    </row>
    <row r="1011" spans="65:67">
      <c r="BM1011">
        <v>96</v>
      </c>
      <c r="BN1011" t="s">
        <v>273</v>
      </c>
      <c r="BO1011" t="s">
        <v>418</v>
      </c>
    </row>
    <row r="1012" spans="65:67">
      <c r="BM1012">
        <v>97</v>
      </c>
      <c r="BN1012" t="s">
        <v>135</v>
      </c>
      <c r="BO1012" t="s">
        <v>418</v>
      </c>
    </row>
    <row r="1013" spans="65:67">
      <c r="BM1013">
        <v>98</v>
      </c>
      <c r="BN1013" t="s">
        <v>114</v>
      </c>
      <c r="BO1013" t="s">
        <v>418</v>
      </c>
    </row>
    <row r="1014" spans="65:67">
      <c r="BM1014">
        <v>99</v>
      </c>
      <c r="BN1014" t="s">
        <v>175</v>
      </c>
      <c r="BO1014" t="s">
        <v>418</v>
      </c>
    </row>
    <row r="1015" spans="65:67">
      <c r="BM1015">
        <v>100</v>
      </c>
      <c r="BN1015" t="s">
        <v>94</v>
      </c>
      <c r="BO1015" t="s">
        <v>418</v>
      </c>
    </row>
    <row r="1016" spans="65:67">
      <c r="BM1016">
        <v>101</v>
      </c>
      <c r="BN1016" t="s">
        <v>167</v>
      </c>
      <c r="BO1016" t="s">
        <v>418</v>
      </c>
    </row>
    <row r="1017" spans="65:67">
      <c r="BM1017">
        <v>102</v>
      </c>
      <c r="BN1017" t="s">
        <v>409</v>
      </c>
      <c r="BO1017" t="s">
        <v>418</v>
      </c>
    </row>
    <row r="1018" spans="65:67">
      <c r="BM1018">
        <v>103</v>
      </c>
      <c r="BN1018" t="s">
        <v>178</v>
      </c>
      <c r="BO1018" t="s">
        <v>418</v>
      </c>
    </row>
    <row r="1019" spans="65:67">
      <c r="BM1019">
        <v>104</v>
      </c>
      <c r="BN1019" t="s">
        <v>172</v>
      </c>
      <c r="BO1019" t="s">
        <v>418</v>
      </c>
    </row>
    <row r="1020" spans="65:67">
      <c r="BM1020">
        <v>105</v>
      </c>
      <c r="BN1020" t="s">
        <v>179</v>
      </c>
      <c r="BO1020" t="s">
        <v>418</v>
      </c>
    </row>
    <row r="1021" spans="65:67">
      <c r="BM1021">
        <v>106</v>
      </c>
      <c r="BN1021" t="s">
        <v>113</v>
      </c>
      <c r="BO1021" t="s">
        <v>418</v>
      </c>
    </row>
    <row r="1022" spans="65:67">
      <c r="BM1022">
        <v>107</v>
      </c>
      <c r="BN1022" t="s">
        <v>239</v>
      </c>
      <c r="BO1022" t="s">
        <v>418</v>
      </c>
    </row>
    <row r="1023" spans="65:67">
      <c r="BM1023">
        <v>108</v>
      </c>
      <c r="BN1023" t="s">
        <v>141</v>
      </c>
      <c r="BO1023" t="s">
        <v>418</v>
      </c>
    </row>
    <row r="1024" spans="65:67">
      <c r="BM1024">
        <v>109</v>
      </c>
      <c r="BN1024" t="s">
        <v>160</v>
      </c>
      <c r="BO1024" t="s">
        <v>418</v>
      </c>
    </row>
    <row r="1025" spans="65:67">
      <c r="BM1025">
        <v>110</v>
      </c>
      <c r="BN1025" t="s">
        <v>158</v>
      </c>
      <c r="BO1025" t="s">
        <v>418</v>
      </c>
    </row>
    <row r="1026" spans="65:67">
      <c r="BM1026">
        <v>111</v>
      </c>
      <c r="BN1026" t="s">
        <v>92</v>
      </c>
      <c r="BO1026" t="s">
        <v>418</v>
      </c>
    </row>
    <row r="1027" spans="65:67">
      <c r="BM1027">
        <v>112</v>
      </c>
      <c r="BN1027" t="s">
        <v>145</v>
      </c>
      <c r="BO1027" t="s">
        <v>418</v>
      </c>
    </row>
    <row r="1028" spans="65:67">
      <c r="BM1028">
        <v>113</v>
      </c>
      <c r="BN1028" t="s">
        <v>130</v>
      </c>
      <c r="BO1028" t="s">
        <v>418</v>
      </c>
    </row>
    <row r="1029" spans="65:67">
      <c r="BM1029">
        <v>114</v>
      </c>
      <c r="BN1029" t="s">
        <v>192</v>
      </c>
      <c r="BO1029" t="s">
        <v>418</v>
      </c>
    </row>
    <row r="1030" spans="65:67">
      <c r="BM1030">
        <v>115</v>
      </c>
      <c r="BN1030" t="s">
        <v>164</v>
      </c>
      <c r="BO1030" t="s">
        <v>418</v>
      </c>
    </row>
    <row r="1031" spans="65:67">
      <c r="BM1031">
        <v>116</v>
      </c>
      <c r="BN1031" t="s">
        <v>147</v>
      </c>
      <c r="BO1031" t="s">
        <v>418</v>
      </c>
    </row>
    <row r="1032" spans="65:67">
      <c r="BM1032">
        <v>117</v>
      </c>
      <c r="BN1032" t="s">
        <v>191</v>
      </c>
      <c r="BO1032" t="s">
        <v>418</v>
      </c>
    </row>
    <row r="1033" spans="65:67">
      <c r="BM1033">
        <v>118</v>
      </c>
      <c r="BN1033" t="s">
        <v>157</v>
      </c>
      <c r="BO1033" t="s">
        <v>418</v>
      </c>
    </row>
    <row r="1034" spans="65:67">
      <c r="BM1034">
        <v>119</v>
      </c>
      <c r="BN1034" t="s">
        <v>208</v>
      </c>
      <c r="BO1034" t="s">
        <v>418</v>
      </c>
    </row>
    <row r="1035" spans="65:67">
      <c r="BM1035">
        <v>120</v>
      </c>
      <c r="BN1035" t="s">
        <v>230</v>
      </c>
      <c r="BO1035" t="s">
        <v>418</v>
      </c>
    </row>
    <row r="1036" spans="65:67">
      <c r="BM1036">
        <v>121</v>
      </c>
      <c r="BN1036" t="s">
        <v>170</v>
      </c>
      <c r="BO1036" t="s">
        <v>418</v>
      </c>
    </row>
    <row r="1037" spans="65:67">
      <c r="BM1037">
        <v>122</v>
      </c>
      <c r="BN1037" t="s">
        <v>186</v>
      </c>
      <c r="BO1037" t="s">
        <v>418</v>
      </c>
    </row>
    <row r="1038" spans="65:67">
      <c r="BM1038">
        <v>123</v>
      </c>
      <c r="BN1038" t="s">
        <v>199</v>
      </c>
      <c r="BO1038" t="s">
        <v>418</v>
      </c>
    </row>
    <row r="1039" spans="65:67">
      <c r="BM1039">
        <v>124</v>
      </c>
      <c r="BN1039" t="s">
        <v>144</v>
      </c>
      <c r="BO1039" t="s">
        <v>418</v>
      </c>
    </row>
    <row r="1040" spans="65:67">
      <c r="BM1040">
        <v>125</v>
      </c>
      <c r="BN1040" t="s">
        <v>181</v>
      </c>
      <c r="BO1040" t="s">
        <v>418</v>
      </c>
    </row>
    <row r="1041" spans="65:67">
      <c r="BM1041">
        <v>126</v>
      </c>
      <c r="BN1041" t="s">
        <v>266</v>
      </c>
      <c r="BO1041" t="s">
        <v>418</v>
      </c>
    </row>
    <row r="1042" spans="65:67">
      <c r="BM1042">
        <v>127</v>
      </c>
      <c r="BN1042" t="s">
        <v>190</v>
      </c>
      <c r="BO1042" t="s">
        <v>418</v>
      </c>
    </row>
    <row r="1043" spans="65:67">
      <c r="BM1043">
        <v>128</v>
      </c>
      <c r="BN1043" t="s">
        <v>412</v>
      </c>
      <c r="BO1043" t="s">
        <v>418</v>
      </c>
    </row>
    <row r="1044" spans="65:67">
      <c r="BM1044">
        <v>129</v>
      </c>
      <c r="BN1044" t="s">
        <v>176</v>
      </c>
      <c r="BO1044" t="s">
        <v>418</v>
      </c>
    </row>
    <row r="1045" spans="65:67">
      <c r="BM1045">
        <v>130</v>
      </c>
      <c r="BN1045" t="s">
        <v>265</v>
      </c>
      <c r="BO1045" t="s">
        <v>418</v>
      </c>
    </row>
    <row r="1046" spans="65:67">
      <c r="BM1046">
        <v>1</v>
      </c>
      <c r="BN1046" t="s">
        <v>407</v>
      </c>
      <c r="BO1046" t="s">
        <v>419</v>
      </c>
    </row>
    <row r="1047" spans="65:67">
      <c r="BM1047">
        <v>2</v>
      </c>
      <c r="BN1047" t="s">
        <v>30</v>
      </c>
      <c r="BO1047" t="s">
        <v>419</v>
      </c>
    </row>
    <row r="1048" spans="65:67">
      <c r="BM1048">
        <v>3</v>
      </c>
      <c r="BN1048" t="s">
        <v>408</v>
      </c>
      <c r="BO1048" t="s">
        <v>419</v>
      </c>
    </row>
    <row r="1049" spans="65:67">
      <c r="BM1049">
        <v>4</v>
      </c>
      <c r="BN1049" t="s">
        <v>21</v>
      </c>
      <c r="BO1049" t="s">
        <v>419</v>
      </c>
    </row>
    <row r="1050" spans="65:67">
      <c r="BM1050">
        <v>5</v>
      </c>
      <c r="BN1050" t="s">
        <v>24</v>
      </c>
      <c r="BO1050" t="s">
        <v>419</v>
      </c>
    </row>
    <row r="1051" spans="65:67">
      <c r="BM1051">
        <v>6</v>
      </c>
      <c r="BN1051" t="s">
        <v>41</v>
      </c>
      <c r="BO1051" t="s">
        <v>419</v>
      </c>
    </row>
    <row r="1052" spans="65:67">
      <c r="BM1052">
        <v>7</v>
      </c>
      <c r="BN1052" t="s">
        <v>65</v>
      </c>
      <c r="BO1052" t="s">
        <v>419</v>
      </c>
    </row>
    <row r="1053" spans="65:67">
      <c r="BM1053">
        <v>8</v>
      </c>
      <c r="BN1053" t="s">
        <v>46</v>
      </c>
      <c r="BO1053" t="s">
        <v>419</v>
      </c>
    </row>
    <row r="1054" spans="65:67">
      <c r="BM1054">
        <v>9</v>
      </c>
      <c r="BN1054" t="s">
        <v>74</v>
      </c>
      <c r="BO1054" t="s">
        <v>419</v>
      </c>
    </row>
    <row r="1055" spans="65:67">
      <c r="BM1055">
        <v>10</v>
      </c>
      <c r="BN1055" t="s">
        <v>49</v>
      </c>
      <c r="BO1055" t="s">
        <v>419</v>
      </c>
    </row>
    <row r="1056" spans="65:67">
      <c r="BM1056">
        <v>11</v>
      </c>
      <c r="BN1056" t="s">
        <v>72</v>
      </c>
      <c r="BO1056" t="s">
        <v>419</v>
      </c>
    </row>
    <row r="1057" spans="65:67">
      <c r="BM1057">
        <v>12</v>
      </c>
      <c r="BN1057" t="s">
        <v>60</v>
      </c>
      <c r="BO1057" t="s">
        <v>419</v>
      </c>
    </row>
    <row r="1058" spans="65:67">
      <c r="BM1058">
        <v>13</v>
      </c>
      <c r="BN1058" t="s">
        <v>67</v>
      </c>
      <c r="BO1058" t="s">
        <v>419</v>
      </c>
    </row>
    <row r="1059" spans="65:67">
      <c r="BM1059">
        <v>14</v>
      </c>
      <c r="BN1059" t="s">
        <v>168</v>
      </c>
      <c r="BO1059" t="s">
        <v>419</v>
      </c>
    </row>
    <row r="1060" spans="65:67">
      <c r="BM1060">
        <v>15</v>
      </c>
      <c r="BN1060" t="s">
        <v>64</v>
      </c>
      <c r="BO1060" t="s">
        <v>419</v>
      </c>
    </row>
    <row r="1061" spans="65:67">
      <c r="BM1061">
        <v>16</v>
      </c>
      <c r="BN1061" t="s">
        <v>16</v>
      </c>
      <c r="BO1061" t="s">
        <v>419</v>
      </c>
    </row>
    <row r="1062" spans="65:67">
      <c r="BM1062">
        <v>17</v>
      </c>
      <c r="BN1062" t="s">
        <v>35</v>
      </c>
      <c r="BO1062" t="s">
        <v>419</v>
      </c>
    </row>
    <row r="1063" spans="65:67">
      <c r="BM1063">
        <v>18</v>
      </c>
      <c r="BN1063" t="s">
        <v>52</v>
      </c>
      <c r="BO1063" t="s">
        <v>419</v>
      </c>
    </row>
    <row r="1064" spans="65:67">
      <c r="BM1064">
        <v>19</v>
      </c>
      <c r="BN1064" t="s">
        <v>32</v>
      </c>
      <c r="BO1064" t="s">
        <v>419</v>
      </c>
    </row>
    <row r="1065" spans="65:67">
      <c r="BM1065">
        <v>20</v>
      </c>
      <c r="BN1065" t="s">
        <v>62</v>
      </c>
      <c r="BO1065" t="s">
        <v>419</v>
      </c>
    </row>
    <row r="1066" spans="65:67">
      <c r="BM1066">
        <v>21</v>
      </c>
      <c r="BN1066" t="s">
        <v>66</v>
      </c>
      <c r="BO1066" t="s">
        <v>419</v>
      </c>
    </row>
    <row r="1067" spans="65:67">
      <c r="BM1067">
        <v>22</v>
      </c>
      <c r="BN1067" t="s">
        <v>43</v>
      </c>
      <c r="BO1067" t="s">
        <v>419</v>
      </c>
    </row>
    <row r="1068" spans="65:67">
      <c r="BM1068">
        <v>23</v>
      </c>
      <c r="BN1068" t="s">
        <v>58</v>
      </c>
      <c r="BO1068" t="s">
        <v>419</v>
      </c>
    </row>
    <row r="1069" spans="65:67">
      <c r="BM1069">
        <v>24</v>
      </c>
      <c r="BN1069" t="s">
        <v>40</v>
      </c>
      <c r="BO1069" t="s">
        <v>419</v>
      </c>
    </row>
    <row r="1070" spans="65:67">
      <c r="BM1070">
        <v>25</v>
      </c>
      <c r="BN1070" t="s">
        <v>45</v>
      </c>
      <c r="BO1070" t="s">
        <v>419</v>
      </c>
    </row>
    <row r="1071" spans="65:67">
      <c r="BM1071">
        <v>26</v>
      </c>
      <c r="BN1071" t="s">
        <v>248</v>
      </c>
      <c r="BO1071" t="s">
        <v>419</v>
      </c>
    </row>
    <row r="1072" spans="65:67">
      <c r="BM1072">
        <v>27</v>
      </c>
      <c r="BN1072" t="s">
        <v>83</v>
      </c>
      <c r="BO1072" t="s">
        <v>419</v>
      </c>
    </row>
    <row r="1073" spans="65:67">
      <c r="BM1073">
        <v>28</v>
      </c>
      <c r="BN1073" t="s">
        <v>54</v>
      </c>
      <c r="BO1073" t="s">
        <v>419</v>
      </c>
    </row>
    <row r="1074" spans="65:67">
      <c r="BM1074">
        <v>29</v>
      </c>
      <c r="BN1074" t="s">
        <v>69</v>
      </c>
      <c r="BO1074" t="s">
        <v>419</v>
      </c>
    </row>
    <row r="1075" spans="65:67">
      <c r="BM1075">
        <v>30</v>
      </c>
      <c r="BN1075" t="s">
        <v>96</v>
      </c>
      <c r="BO1075" t="s">
        <v>419</v>
      </c>
    </row>
    <row r="1076" spans="65:67">
      <c r="BM1076">
        <v>31</v>
      </c>
      <c r="BN1076" t="s">
        <v>85</v>
      </c>
      <c r="BO1076" t="s">
        <v>419</v>
      </c>
    </row>
    <row r="1077" spans="65:67">
      <c r="BM1077">
        <v>32</v>
      </c>
      <c r="BN1077" t="s">
        <v>97</v>
      </c>
      <c r="BO1077" t="s">
        <v>419</v>
      </c>
    </row>
    <row r="1078" spans="65:67">
      <c r="BM1078">
        <v>33</v>
      </c>
      <c r="BN1078" t="s">
        <v>101</v>
      </c>
      <c r="BO1078" t="s">
        <v>419</v>
      </c>
    </row>
    <row r="1079" spans="65:67">
      <c r="BM1079">
        <v>34</v>
      </c>
      <c r="BN1079" t="s">
        <v>56</v>
      </c>
      <c r="BO1079" t="s">
        <v>419</v>
      </c>
    </row>
    <row r="1080" spans="65:67">
      <c r="BM1080">
        <v>35</v>
      </c>
      <c r="BN1080" t="s">
        <v>70</v>
      </c>
      <c r="BO1080" t="s">
        <v>419</v>
      </c>
    </row>
    <row r="1081" spans="65:67">
      <c r="BM1081">
        <v>36</v>
      </c>
      <c r="BN1081" t="s">
        <v>51</v>
      </c>
      <c r="BO1081" t="s">
        <v>419</v>
      </c>
    </row>
    <row r="1082" spans="65:67">
      <c r="BM1082">
        <v>37</v>
      </c>
      <c r="BN1082" t="s">
        <v>93</v>
      </c>
      <c r="BO1082" t="s">
        <v>419</v>
      </c>
    </row>
    <row r="1083" spans="65:67">
      <c r="BM1083">
        <v>38</v>
      </c>
      <c r="BN1083" t="s">
        <v>86</v>
      </c>
      <c r="BO1083" t="s">
        <v>419</v>
      </c>
    </row>
    <row r="1084" spans="65:67">
      <c r="BM1084">
        <v>39</v>
      </c>
      <c r="BN1084" t="s">
        <v>102</v>
      </c>
      <c r="BO1084" t="s">
        <v>419</v>
      </c>
    </row>
    <row r="1085" spans="65:67">
      <c r="BM1085">
        <v>40</v>
      </c>
      <c r="BN1085" t="s">
        <v>118</v>
      </c>
      <c r="BO1085" t="s">
        <v>419</v>
      </c>
    </row>
    <row r="1086" spans="65:67">
      <c r="BM1086">
        <v>41</v>
      </c>
      <c r="BN1086" t="s">
        <v>128</v>
      </c>
      <c r="BO1086" t="s">
        <v>419</v>
      </c>
    </row>
    <row r="1087" spans="65:67">
      <c r="BM1087">
        <v>42</v>
      </c>
      <c r="BN1087" t="s">
        <v>78</v>
      </c>
      <c r="BO1087" t="s">
        <v>419</v>
      </c>
    </row>
    <row r="1088" spans="65:67">
      <c r="BM1088">
        <v>43</v>
      </c>
      <c r="BN1088" t="s">
        <v>89</v>
      </c>
      <c r="BO1088" t="s">
        <v>419</v>
      </c>
    </row>
    <row r="1089" spans="65:67">
      <c r="BM1089">
        <v>44</v>
      </c>
      <c r="BN1089" t="s">
        <v>87</v>
      </c>
      <c r="BO1089" t="s">
        <v>419</v>
      </c>
    </row>
    <row r="1090" spans="65:67">
      <c r="BM1090">
        <v>45</v>
      </c>
      <c r="BN1090" t="s">
        <v>122</v>
      </c>
      <c r="BO1090" t="s">
        <v>419</v>
      </c>
    </row>
    <row r="1091" spans="65:67">
      <c r="BM1091">
        <v>46</v>
      </c>
      <c r="BN1091" t="s">
        <v>84</v>
      </c>
      <c r="BO1091" t="s">
        <v>419</v>
      </c>
    </row>
    <row r="1092" spans="65:67">
      <c r="BM1092">
        <v>47</v>
      </c>
      <c r="BN1092" t="s">
        <v>99</v>
      </c>
      <c r="BO1092" t="s">
        <v>419</v>
      </c>
    </row>
    <row r="1093" spans="65:67">
      <c r="BM1093">
        <v>48</v>
      </c>
      <c r="BN1093" t="s">
        <v>148</v>
      </c>
      <c r="BO1093" t="s">
        <v>419</v>
      </c>
    </row>
    <row r="1094" spans="65:67">
      <c r="BM1094">
        <v>49</v>
      </c>
      <c r="BN1094" t="s">
        <v>80</v>
      </c>
      <c r="BO1094" t="s">
        <v>419</v>
      </c>
    </row>
    <row r="1095" spans="65:67">
      <c r="BM1095">
        <v>50</v>
      </c>
      <c r="BN1095" t="s">
        <v>37</v>
      </c>
      <c r="BO1095" t="s">
        <v>419</v>
      </c>
    </row>
    <row r="1096" spans="65:67">
      <c r="BM1096">
        <v>51</v>
      </c>
      <c r="BN1096" t="s">
        <v>76</v>
      </c>
      <c r="BO1096" t="s">
        <v>419</v>
      </c>
    </row>
    <row r="1097" spans="65:67">
      <c r="BM1097">
        <v>52</v>
      </c>
      <c r="BN1097" t="s">
        <v>133</v>
      </c>
      <c r="BO1097" t="s">
        <v>419</v>
      </c>
    </row>
    <row r="1098" spans="65:67">
      <c r="BM1098">
        <v>53</v>
      </c>
      <c r="BN1098" t="s">
        <v>111</v>
      </c>
      <c r="BO1098" t="s">
        <v>419</v>
      </c>
    </row>
    <row r="1099" spans="65:67">
      <c r="BM1099">
        <v>54</v>
      </c>
      <c r="BN1099" t="s">
        <v>81</v>
      </c>
      <c r="BO1099" t="s">
        <v>419</v>
      </c>
    </row>
    <row r="1100" spans="65:67">
      <c r="BM1100">
        <v>55</v>
      </c>
      <c r="BN1100" t="s">
        <v>110</v>
      </c>
      <c r="BO1100" t="s">
        <v>419</v>
      </c>
    </row>
    <row r="1101" spans="65:67">
      <c r="BM1101">
        <v>56</v>
      </c>
      <c r="BN1101" t="s">
        <v>103</v>
      </c>
      <c r="BO1101" t="s">
        <v>419</v>
      </c>
    </row>
    <row r="1102" spans="65:67">
      <c r="BM1102">
        <v>57</v>
      </c>
      <c r="BN1102" t="s">
        <v>159</v>
      </c>
      <c r="BO1102" t="s">
        <v>419</v>
      </c>
    </row>
    <row r="1103" spans="65:67">
      <c r="BM1103">
        <v>58</v>
      </c>
      <c r="BN1103" t="s">
        <v>104</v>
      </c>
      <c r="BO1103" t="s">
        <v>419</v>
      </c>
    </row>
    <row r="1104" spans="65:67">
      <c r="BM1104">
        <v>59</v>
      </c>
      <c r="BN1104" t="s">
        <v>88</v>
      </c>
      <c r="BO1104" t="s">
        <v>419</v>
      </c>
    </row>
    <row r="1105" spans="65:67">
      <c r="BM1105">
        <v>60</v>
      </c>
      <c r="BN1105" t="s">
        <v>163</v>
      </c>
      <c r="BO1105" t="s">
        <v>419</v>
      </c>
    </row>
    <row r="1106" spans="65:67">
      <c r="BM1106">
        <v>61</v>
      </c>
      <c r="BN1106" t="s">
        <v>107</v>
      </c>
      <c r="BO1106" t="s">
        <v>419</v>
      </c>
    </row>
    <row r="1107" spans="65:67">
      <c r="BM1107">
        <v>62</v>
      </c>
      <c r="BN1107" t="s">
        <v>124</v>
      </c>
      <c r="BO1107" t="s">
        <v>419</v>
      </c>
    </row>
    <row r="1108" spans="65:67">
      <c r="BM1108">
        <v>63</v>
      </c>
      <c r="BN1108" t="s">
        <v>90</v>
      </c>
      <c r="BO1108" t="s">
        <v>419</v>
      </c>
    </row>
    <row r="1109" spans="65:67">
      <c r="BM1109">
        <v>64</v>
      </c>
      <c r="BN1109" t="s">
        <v>119</v>
      </c>
      <c r="BO1109" t="s">
        <v>419</v>
      </c>
    </row>
    <row r="1110" spans="65:67">
      <c r="BM1110">
        <v>65</v>
      </c>
      <c r="BN1110" t="s">
        <v>138</v>
      </c>
      <c r="BO1110" t="s">
        <v>419</v>
      </c>
    </row>
    <row r="1111" spans="65:67">
      <c r="BM1111">
        <v>66</v>
      </c>
      <c r="BN1111" t="s">
        <v>171</v>
      </c>
      <c r="BO1111" t="s">
        <v>419</v>
      </c>
    </row>
    <row r="1112" spans="65:67">
      <c r="BM1112">
        <v>67</v>
      </c>
      <c r="BN1112" t="s">
        <v>166</v>
      </c>
      <c r="BO1112" t="s">
        <v>419</v>
      </c>
    </row>
    <row r="1113" spans="65:67">
      <c r="BM1113">
        <v>68</v>
      </c>
      <c r="BN1113" t="s">
        <v>108</v>
      </c>
      <c r="BO1113" t="s">
        <v>419</v>
      </c>
    </row>
    <row r="1114" spans="65:67">
      <c r="BM1114">
        <v>69</v>
      </c>
      <c r="BN1114" t="s">
        <v>154</v>
      </c>
      <c r="BO1114" t="s">
        <v>419</v>
      </c>
    </row>
    <row r="1115" spans="65:67">
      <c r="BM1115">
        <v>70</v>
      </c>
      <c r="BN1115" t="s">
        <v>109</v>
      </c>
      <c r="BO1115" t="s">
        <v>419</v>
      </c>
    </row>
    <row r="1116" spans="65:67">
      <c r="BM1116">
        <v>71</v>
      </c>
      <c r="BN1116" t="s">
        <v>106</v>
      </c>
      <c r="BO1116" t="s">
        <v>419</v>
      </c>
    </row>
    <row r="1117" spans="65:67">
      <c r="BM1117">
        <v>72</v>
      </c>
      <c r="BN1117" t="s">
        <v>126</v>
      </c>
      <c r="BO1117" t="s">
        <v>419</v>
      </c>
    </row>
    <row r="1118" spans="65:67">
      <c r="BM1118">
        <v>73</v>
      </c>
      <c r="BN1118" t="s">
        <v>100</v>
      </c>
      <c r="BO1118" t="s">
        <v>419</v>
      </c>
    </row>
    <row r="1119" spans="65:67">
      <c r="BM1119">
        <v>74</v>
      </c>
      <c r="BN1119" t="s">
        <v>131</v>
      </c>
      <c r="BO1119" t="s">
        <v>419</v>
      </c>
    </row>
    <row r="1120" spans="65:67">
      <c r="BM1120">
        <v>75</v>
      </c>
      <c r="BN1120" t="s">
        <v>136</v>
      </c>
      <c r="BO1120" t="s">
        <v>419</v>
      </c>
    </row>
    <row r="1121" spans="65:67">
      <c r="BM1121">
        <v>76</v>
      </c>
      <c r="BN1121" t="s">
        <v>179</v>
      </c>
      <c r="BO1121" t="s">
        <v>419</v>
      </c>
    </row>
    <row r="1122" spans="65:67">
      <c r="BM1122">
        <v>77</v>
      </c>
      <c r="BN1122" t="s">
        <v>142</v>
      </c>
      <c r="BO1122" t="s">
        <v>419</v>
      </c>
    </row>
    <row r="1123" spans="65:67">
      <c r="BM1123">
        <v>78</v>
      </c>
      <c r="BN1123" t="s">
        <v>115</v>
      </c>
      <c r="BO1123" t="s">
        <v>419</v>
      </c>
    </row>
    <row r="1124" spans="65:67">
      <c r="BM1124">
        <v>79</v>
      </c>
      <c r="BN1124" t="s">
        <v>140</v>
      </c>
      <c r="BO1124" t="s">
        <v>419</v>
      </c>
    </row>
    <row r="1125" spans="65:67">
      <c r="BM1125">
        <v>80</v>
      </c>
      <c r="BN1125" t="s">
        <v>137</v>
      </c>
      <c r="BO1125" t="s">
        <v>419</v>
      </c>
    </row>
    <row r="1126" spans="65:67">
      <c r="BM1126">
        <v>81</v>
      </c>
      <c r="BN1126" t="s">
        <v>156</v>
      </c>
      <c r="BO1126" t="s">
        <v>419</v>
      </c>
    </row>
    <row r="1127" spans="65:67">
      <c r="BM1127">
        <v>82</v>
      </c>
      <c r="BN1127" t="s">
        <v>143</v>
      </c>
      <c r="BO1127" t="s">
        <v>419</v>
      </c>
    </row>
    <row r="1128" spans="65:67">
      <c r="BM1128">
        <v>83</v>
      </c>
      <c r="BN1128" t="s">
        <v>125</v>
      </c>
      <c r="BO1128" t="s">
        <v>419</v>
      </c>
    </row>
    <row r="1129" spans="65:67">
      <c r="BM1129">
        <v>84</v>
      </c>
      <c r="BN1129" t="s">
        <v>169</v>
      </c>
      <c r="BO1129" t="s">
        <v>419</v>
      </c>
    </row>
    <row r="1130" spans="65:67">
      <c r="BM1130">
        <v>85</v>
      </c>
      <c r="BN1130" t="s">
        <v>273</v>
      </c>
      <c r="BO1130" t="s">
        <v>419</v>
      </c>
    </row>
    <row r="1131" spans="65:67">
      <c r="BM1131">
        <v>86</v>
      </c>
      <c r="BN1131" t="s">
        <v>152</v>
      </c>
      <c r="BO1131" t="s">
        <v>419</v>
      </c>
    </row>
    <row r="1132" spans="65:67">
      <c r="BM1132">
        <v>87</v>
      </c>
      <c r="BN1132" t="s">
        <v>410</v>
      </c>
      <c r="BO1132" t="s">
        <v>419</v>
      </c>
    </row>
    <row r="1133" spans="65:67">
      <c r="BM1133">
        <v>88</v>
      </c>
      <c r="BN1133" t="s">
        <v>175</v>
      </c>
      <c r="BO1133" t="s">
        <v>419</v>
      </c>
    </row>
    <row r="1134" spans="65:67">
      <c r="BM1134">
        <v>89</v>
      </c>
      <c r="BN1134" t="s">
        <v>162</v>
      </c>
      <c r="BO1134" t="s">
        <v>419</v>
      </c>
    </row>
    <row r="1135" spans="65:67">
      <c r="BM1135">
        <v>90</v>
      </c>
      <c r="BN1135" t="s">
        <v>117</v>
      </c>
      <c r="BO1135" t="s">
        <v>419</v>
      </c>
    </row>
    <row r="1136" spans="65:67">
      <c r="BM1136">
        <v>91</v>
      </c>
      <c r="BN1136" t="s">
        <v>409</v>
      </c>
      <c r="BO1136" t="s">
        <v>419</v>
      </c>
    </row>
    <row r="1137" spans="65:67">
      <c r="BM1137">
        <v>92</v>
      </c>
      <c r="BN1137" t="s">
        <v>129</v>
      </c>
      <c r="BO1137" t="s">
        <v>419</v>
      </c>
    </row>
    <row r="1138" spans="65:67">
      <c r="BM1138">
        <v>93</v>
      </c>
      <c r="BN1138" t="s">
        <v>123</v>
      </c>
      <c r="BO1138" t="s">
        <v>419</v>
      </c>
    </row>
    <row r="1139" spans="65:67">
      <c r="BM1139">
        <v>94</v>
      </c>
      <c r="BN1139" t="s">
        <v>146</v>
      </c>
      <c r="BO1139" t="s">
        <v>419</v>
      </c>
    </row>
    <row r="1140" spans="65:67">
      <c r="BM1140">
        <v>95</v>
      </c>
      <c r="BN1140" t="s">
        <v>132</v>
      </c>
      <c r="BO1140" t="s">
        <v>419</v>
      </c>
    </row>
    <row r="1141" spans="65:67">
      <c r="BM1141">
        <v>96</v>
      </c>
      <c r="BN1141" t="s">
        <v>199</v>
      </c>
      <c r="BO1141" t="s">
        <v>419</v>
      </c>
    </row>
    <row r="1142" spans="65:67">
      <c r="BM1142">
        <v>97</v>
      </c>
      <c r="BN1142" t="s">
        <v>198</v>
      </c>
      <c r="BO1142" t="s">
        <v>419</v>
      </c>
    </row>
    <row r="1143" spans="65:67">
      <c r="BM1143">
        <v>98</v>
      </c>
      <c r="BN1143" t="s">
        <v>121</v>
      </c>
      <c r="BO1143" t="s">
        <v>419</v>
      </c>
    </row>
    <row r="1144" spans="65:67">
      <c r="BM1144">
        <v>99</v>
      </c>
      <c r="BN1144" t="s">
        <v>94</v>
      </c>
      <c r="BO1144" t="s">
        <v>419</v>
      </c>
    </row>
    <row r="1145" spans="65:67">
      <c r="BM1145">
        <v>100</v>
      </c>
      <c r="BN1145" t="s">
        <v>113</v>
      </c>
      <c r="BO1145" t="s">
        <v>419</v>
      </c>
    </row>
    <row r="1146" spans="65:67">
      <c r="BM1146">
        <v>101</v>
      </c>
      <c r="BN1146" t="s">
        <v>147</v>
      </c>
      <c r="BO1146" t="s">
        <v>419</v>
      </c>
    </row>
    <row r="1147" spans="65:67">
      <c r="BM1147">
        <v>102</v>
      </c>
      <c r="BN1147" t="s">
        <v>158</v>
      </c>
      <c r="BO1147" t="s">
        <v>419</v>
      </c>
    </row>
    <row r="1148" spans="65:67">
      <c r="BM1148">
        <v>103</v>
      </c>
      <c r="BN1148" t="s">
        <v>134</v>
      </c>
      <c r="BO1148" t="s">
        <v>419</v>
      </c>
    </row>
    <row r="1149" spans="65:67">
      <c r="BM1149">
        <v>104</v>
      </c>
      <c r="BN1149" t="s">
        <v>150</v>
      </c>
      <c r="BO1149" t="s">
        <v>419</v>
      </c>
    </row>
    <row r="1150" spans="65:67">
      <c r="BM1150">
        <v>105</v>
      </c>
      <c r="BN1150" t="s">
        <v>178</v>
      </c>
      <c r="BO1150" t="s">
        <v>419</v>
      </c>
    </row>
    <row r="1151" spans="65:67">
      <c r="BM1151">
        <v>106</v>
      </c>
      <c r="BN1151" t="s">
        <v>114</v>
      </c>
      <c r="BO1151" t="s">
        <v>419</v>
      </c>
    </row>
    <row r="1152" spans="65:67">
      <c r="BM1152">
        <v>107</v>
      </c>
      <c r="BN1152" t="s">
        <v>92</v>
      </c>
      <c r="BO1152" t="s">
        <v>419</v>
      </c>
    </row>
    <row r="1153" spans="65:67">
      <c r="BM1153">
        <v>108</v>
      </c>
      <c r="BN1153" t="s">
        <v>170</v>
      </c>
      <c r="BO1153" t="s">
        <v>419</v>
      </c>
    </row>
    <row r="1154" spans="65:67">
      <c r="BM1154">
        <v>109</v>
      </c>
      <c r="BN1154" t="s">
        <v>167</v>
      </c>
      <c r="BO1154" t="s">
        <v>419</v>
      </c>
    </row>
    <row r="1155" spans="65:67">
      <c r="BM1155">
        <v>110</v>
      </c>
      <c r="BN1155" t="s">
        <v>135</v>
      </c>
      <c r="BO1155" t="s">
        <v>419</v>
      </c>
    </row>
    <row r="1156" spans="65:67">
      <c r="BM1156">
        <v>111</v>
      </c>
      <c r="BN1156" t="s">
        <v>141</v>
      </c>
      <c r="BO1156" t="s">
        <v>419</v>
      </c>
    </row>
    <row r="1157" spans="65:67">
      <c r="BM1157">
        <v>112</v>
      </c>
      <c r="BN1157" t="s">
        <v>145</v>
      </c>
      <c r="BO1157" t="s">
        <v>419</v>
      </c>
    </row>
    <row r="1158" spans="65:67">
      <c r="BM1158">
        <v>113</v>
      </c>
      <c r="BN1158" t="s">
        <v>190</v>
      </c>
      <c r="BO1158" t="s">
        <v>419</v>
      </c>
    </row>
    <row r="1159" spans="65:67">
      <c r="BM1159">
        <v>114</v>
      </c>
      <c r="BN1159" t="s">
        <v>186</v>
      </c>
      <c r="BO1159" t="s">
        <v>419</v>
      </c>
    </row>
    <row r="1160" spans="65:67">
      <c r="BM1160">
        <v>115</v>
      </c>
      <c r="BN1160" t="s">
        <v>160</v>
      </c>
      <c r="BO1160" t="s">
        <v>419</v>
      </c>
    </row>
    <row r="1161" spans="65:67">
      <c r="BM1161">
        <v>116</v>
      </c>
      <c r="BN1161" t="s">
        <v>239</v>
      </c>
      <c r="BO1161" t="s">
        <v>419</v>
      </c>
    </row>
    <row r="1162" spans="65:67">
      <c r="BM1162">
        <v>117</v>
      </c>
      <c r="BN1162" t="s">
        <v>130</v>
      </c>
      <c r="BO1162" t="s">
        <v>419</v>
      </c>
    </row>
    <row r="1163" spans="65:67">
      <c r="BM1163">
        <v>118</v>
      </c>
      <c r="BN1163" t="s">
        <v>164</v>
      </c>
      <c r="BO1163" t="s">
        <v>419</v>
      </c>
    </row>
    <row r="1164" spans="65:67">
      <c r="BM1164">
        <v>119</v>
      </c>
      <c r="BN1164" t="s">
        <v>191</v>
      </c>
      <c r="BO1164" t="s">
        <v>419</v>
      </c>
    </row>
    <row r="1165" spans="65:67">
      <c r="BM1165">
        <v>120</v>
      </c>
      <c r="BN1165" t="s">
        <v>268</v>
      </c>
      <c r="BO1165" t="s">
        <v>419</v>
      </c>
    </row>
    <row r="1166" spans="65:67">
      <c r="BM1166">
        <v>121</v>
      </c>
      <c r="BN1166" t="s">
        <v>165</v>
      </c>
      <c r="BO1166" t="s">
        <v>419</v>
      </c>
    </row>
    <row r="1167" spans="65:67">
      <c r="BM1167">
        <v>122</v>
      </c>
      <c r="BN1167" t="s">
        <v>151</v>
      </c>
      <c r="BO1167" t="s">
        <v>419</v>
      </c>
    </row>
    <row r="1168" spans="65:67">
      <c r="BM1168">
        <v>123</v>
      </c>
      <c r="BN1168" t="s">
        <v>172</v>
      </c>
      <c r="BO1168" t="s">
        <v>419</v>
      </c>
    </row>
    <row r="1169" spans="65:67">
      <c r="BM1169">
        <v>124</v>
      </c>
      <c r="BN1169" t="s">
        <v>157</v>
      </c>
      <c r="BO1169" t="s">
        <v>419</v>
      </c>
    </row>
    <row r="1170" spans="65:67">
      <c r="BM1170">
        <v>125</v>
      </c>
      <c r="BN1170" t="s">
        <v>230</v>
      </c>
      <c r="BO1170" t="s">
        <v>419</v>
      </c>
    </row>
    <row r="1171" spans="65:67">
      <c r="BM1171">
        <v>126</v>
      </c>
      <c r="BN1171" t="s">
        <v>187</v>
      </c>
      <c r="BO1171" t="s">
        <v>419</v>
      </c>
    </row>
    <row r="1172" spans="65:67">
      <c r="BM1172">
        <v>127</v>
      </c>
      <c r="BN1172" t="s">
        <v>208</v>
      </c>
      <c r="BO1172" t="s">
        <v>419</v>
      </c>
    </row>
    <row r="1173" spans="65:67">
      <c r="BM1173">
        <v>128</v>
      </c>
      <c r="BN1173" t="s">
        <v>266</v>
      </c>
      <c r="BO1173" t="s">
        <v>419</v>
      </c>
    </row>
    <row r="1174" spans="65:67">
      <c r="BM1174">
        <v>129</v>
      </c>
      <c r="BN1174" t="s">
        <v>219</v>
      </c>
      <c r="BO1174" t="s">
        <v>419</v>
      </c>
    </row>
    <row r="1175" spans="65:67">
      <c r="BM1175">
        <v>130</v>
      </c>
      <c r="BN1175" t="s">
        <v>192</v>
      </c>
      <c r="BO1175" t="s">
        <v>419</v>
      </c>
    </row>
    <row r="1176" spans="65:67">
      <c r="BM1176">
        <v>1</v>
      </c>
      <c r="BN1176" t="s">
        <v>30</v>
      </c>
      <c r="BO1176">
        <v>10.19</v>
      </c>
    </row>
    <row r="1177" spans="65:67">
      <c r="BM1177">
        <v>2</v>
      </c>
      <c r="BN1177" t="s">
        <v>407</v>
      </c>
      <c r="BO1177">
        <v>10.19</v>
      </c>
    </row>
    <row r="1178" spans="65:67">
      <c r="BM1178">
        <v>3</v>
      </c>
      <c r="BN1178" t="s">
        <v>408</v>
      </c>
      <c r="BO1178">
        <v>10.19</v>
      </c>
    </row>
    <row r="1179" spans="65:67">
      <c r="BM1179">
        <v>4</v>
      </c>
      <c r="BN1179" t="s">
        <v>21</v>
      </c>
      <c r="BO1179">
        <v>10.19</v>
      </c>
    </row>
    <row r="1180" spans="65:67">
      <c r="BM1180">
        <v>5</v>
      </c>
      <c r="BN1180" t="s">
        <v>65</v>
      </c>
      <c r="BO1180">
        <v>10.19</v>
      </c>
    </row>
    <row r="1181" spans="65:67">
      <c r="BM1181">
        <v>6</v>
      </c>
      <c r="BN1181" t="s">
        <v>24</v>
      </c>
      <c r="BO1181">
        <v>10.19</v>
      </c>
    </row>
    <row r="1182" spans="65:67">
      <c r="BM1182">
        <v>7</v>
      </c>
      <c r="BN1182" t="s">
        <v>46</v>
      </c>
      <c r="BO1182">
        <v>10.19</v>
      </c>
    </row>
    <row r="1183" spans="65:67">
      <c r="BM1183">
        <v>8</v>
      </c>
      <c r="BN1183" t="s">
        <v>41</v>
      </c>
      <c r="BO1183">
        <v>10.19</v>
      </c>
    </row>
    <row r="1184" spans="65:67">
      <c r="BM1184">
        <v>9</v>
      </c>
      <c r="BN1184" t="s">
        <v>16</v>
      </c>
      <c r="BO1184">
        <v>10.19</v>
      </c>
    </row>
    <row r="1185" spans="65:67">
      <c r="BM1185">
        <v>10</v>
      </c>
      <c r="BN1185" t="s">
        <v>32</v>
      </c>
      <c r="BO1185">
        <v>10.19</v>
      </c>
    </row>
    <row r="1186" spans="65:67">
      <c r="BM1186">
        <v>11</v>
      </c>
      <c r="BN1186" t="s">
        <v>60</v>
      </c>
      <c r="BO1186">
        <v>10.19</v>
      </c>
    </row>
    <row r="1187" spans="65:67">
      <c r="BM1187">
        <v>12</v>
      </c>
      <c r="BN1187" t="s">
        <v>49</v>
      </c>
      <c r="BO1187">
        <v>10.19</v>
      </c>
    </row>
    <row r="1188" spans="65:67">
      <c r="BM1188">
        <v>13</v>
      </c>
      <c r="BN1188" t="s">
        <v>64</v>
      </c>
      <c r="BO1188">
        <v>10.19</v>
      </c>
    </row>
    <row r="1189" spans="65:67">
      <c r="BM1189">
        <v>14</v>
      </c>
      <c r="BN1189" t="s">
        <v>66</v>
      </c>
      <c r="BO1189">
        <v>10.19</v>
      </c>
    </row>
    <row r="1190" spans="65:67">
      <c r="BM1190">
        <v>15</v>
      </c>
      <c r="BN1190" t="s">
        <v>74</v>
      </c>
      <c r="BO1190">
        <v>10.19</v>
      </c>
    </row>
    <row r="1191" spans="65:67">
      <c r="BM1191">
        <v>16</v>
      </c>
      <c r="BN1191" t="s">
        <v>35</v>
      </c>
      <c r="BO1191">
        <v>10.19</v>
      </c>
    </row>
    <row r="1192" spans="65:67">
      <c r="BM1192">
        <v>17</v>
      </c>
      <c r="BN1192" t="s">
        <v>62</v>
      </c>
      <c r="BO1192">
        <v>10.19</v>
      </c>
    </row>
    <row r="1193" spans="65:67">
      <c r="BM1193">
        <v>18</v>
      </c>
      <c r="BN1193" t="s">
        <v>45</v>
      </c>
      <c r="BO1193">
        <v>10.19</v>
      </c>
    </row>
    <row r="1194" spans="65:67">
      <c r="BM1194">
        <v>19</v>
      </c>
      <c r="BN1194" t="s">
        <v>72</v>
      </c>
      <c r="BO1194">
        <v>10.19</v>
      </c>
    </row>
    <row r="1195" spans="65:67">
      <c r="BM1195">
        <v>20</v>
      </c>
      <c r="BN1195" t="s">
        <v>58</v>
      </c>
      <c r="BO1195">
        <v>10.19</v>
      </c>
    </row>
    <row r="1196" spans="65:67">
      <c r="BM1196">
        <v>21</v>
      </c>
      <c r="BN1196" t="s">
        <v>67</v>
      </c>
      <c r="BO1196">
        <v>10.19</v>
      </c>
    </row>
    <row r="1197" spans="65:67">
      <c r="BM1197">
        <v>22</v>
      </c>
      <c r="BN1197" t="s">
        <v>248</v>
      </c>
      <c r="BO1197">
        <v>10.19</v>
      </c>
    </row>
    <row r="1198" spans="65:67">
      <c r="BM1198">
        <v>23</v>
      </c>
      <c r="BN1198" t="s">
        <v>83</v>
      </c>
      <c r="BO1198">
        <v>10.19</v>
      </c>
    </row>
    <row r="1199" spans="65:67">
      <c r="BM1199">
        <v>24</v>
      </c>
      <c r="BN1199" t="s">
        <v>52</v>
      </c>
      <c r="BO1199">
        <v>10.19</v>
      </c>
    </row>
    <row r="1200" spans="65:67">
      <c r="BM1200">
        <v>25</v>
      </c>
      <c r="BN1200" t="s">
        <v>43</v>
      </c>
      <c r="BO1200">
        <v>10.19</v>
      </c>
    </row>
    <row r="1201" spans="65:67">
      <c r="BM1201">
        <v>26</v>
      </c>
      <c r="BN1201" t="s">
        <v>54</v>
      </c>
      <c r="BO1201">
        <v>10.19</v>
      </c>
    </row>
    <row r="1202" spans="65:67">
      <c r="BM1202">
        <v>27</v>
      </c>
      <c r="BN1202" t="s">
        <v>40</v>
      </c>
      <c r="BO1202">
        <v>10.19</v>
      </c>
    </row>
    <row r="1203" spans="65:67">
      <c r="BM1203">
        <v>28</v>
      </c>
      <c r="BN1203" t="s">
        <v>69</v>
      </c>
      <c r="BO1203">
        <v>10.19</v>
      </c>
    </row>
    <row r="1204" spans="65:67">
      <c r="BM1204">
        <v>29</v>
      </c>
      <c r="BN1204" t="s">
        <v>97</v>
      </c>
      <c r="BO1204">
        <v>10.19</v>
      </c>
    </row>
    <row r="1205" spans="65:67">
      <c r="BM1205">
        <v>30</v>
      </c>
      <c r="BN1205" t="s">
        <v>56</v>
      </c>
      <c r="BO1205">
        <v>10.19</v>
      </c>
    </row>
    <row r="1206" spans="65:67">
      <c r="BM1206">
        <v>31</v>
      </c>
      <c r="BN1206" t="s">
        <v>51</v>
      </c>
      <c r="BO1206">
        <v>10.19</v>
      </c>
    </row>
    <row r="1207" spans="65:67">
      <c r="BM1207">
        <v>32</v>
      </c>
      <c r="BN1207" t="s">
        <v>85</v>
      </c>
      <c r="BO1207">
        <v>10.19</v>
      </c>
    </row>
    <row r="1208" spans="65:67">
      <c r="BM1208">
        <v>33</v>
      </c>
      <c r="BN1208" t="s">
        <v>93</v>
      </c>
      <c r="BO1208">
        <v>10.19</v>
      </c>
    </row>
    <row r="1209" spans="65:67">
      <c r="BM1209">
        <v>34</v>
      </c>
      <c r="BN1209" t="s">
        <v>102</v>
      </c>
      <c r="BO1209">
        <v>10.19</v>
      </c>
    </row>
    <row r="1210" spans="65:67">
      <c r="BM1210">
        <v>35</v>
      </c>
      <c r="BN1210" t="s">
        <v>168</v>
      </c>
      <c r="BO1210">
        <v>10.19</v>
      </c>
    </row>
    <row r="1211" spans="65:67">
      <c r="BM1211">
        <v>36</v>
      </c>
      <c r="BN1211" t="s">
        <v>89</v>
      </c>
      <c r="BO1211">
        <v>10.19</v>
      </c>
    </row>
    <row r="1212" spans="65:67">
      <c r="BM1212">
        <v>37</v>
      </c>
      <c r="BN1212" t="s">
        <v>87</v>
      </c>
      <c r="BO1212">
        <v>10.19</v>
      </c>
    </row>
    <row r="1213" spans="65:67">
      <c r="BM1213">
        <v>38</v>
      </c>
      <c r="BN1213" t="s">
        <v>99</v>
      </c>
      <c r="BO1213">
        <v>10.19</v>
      </c>
    </row>
    <row r="1214" spans="65:67">
      <c r="BM1214">
        <v>39</v>
      </c>
      <c r="BN1214" t="s">
        <v>70</v>
      </c>
      <c r="BO1214">
        <v>10.19</v>
      </c>
    </row>
    <row r="1215" spans="65:67">
      <c r="BM1215">
        <v>40</v>
      </c>
      <c r="BN1215" t="s">
        <v>86</v>
      </c>
      <c r="BO1215">
        <v>10.19</v>
      </c>
    </row>
    <row r="1216" spans="65:67">
      <c r="BM1216">
        <v>41</v>
      </c>
      <c r="BN1216" t="s">
        <v>96</v>
      </c>
      <c r="BO1216">
        <v>10.19</v>
      </c>
    </row>
    <row r="1217" spans="65:67">
      <c r="BM1217">
        <v>42</v>
      </c>
      <c r="BN1217" t="s">
        <v>76</v>
      </c>
      <c r="BO1217">
        <v>10.19</v>
      </c>
    </row>
    <row r="1218" spans="65:67">
      <c r="BM1218">
        <v>43</v>
      </c>
      <c r="BN1218" t="s">
        <v>78</v>
      </c>
      <c r="BO1218">
        <v>10.19</v>
      </c>
    </row>
    <row r="1219" spans="65:67">
      <c r="BM1219">
        <v>44</v>
      </c>
      <c r="BN1219" t="s">
        <v>84</v>
      </c>
      <c r="BO1219">
        <v>10.19</v>
      </c>
    </row>
    <row r="1220" spans="65:67">
      <c r="BM1220">
        <v>45</v>
      </c>
      <c r="BN1220" t="s">
        <v>128</v>
      </c>
      <c r="BO1220">
        <v>10.19</v>
      </c>
    </row>
    <row r="1221" spans="65:67">
      <c r="BM1221">
        <v>46</v>
      </c>
      <c r="BN1221" t="s">
        <v>118</v>
      </c>
      <c r="BO1221">
        <v>10.19</v>
      </c>
    </row>
    <row r="1222" spans="65:67">
      <c r="BM1222">
        <v>47</v>
      </c>
      <c r="BN1222" t="s">
        <v>110</v>
      </c>
      <c r="BO1222">
        <v>10.19</v>
      </c>
    </row>
    <row r="1223" spans="65:67">
      <c r="BM1223">
        <v>48</v>
      </c>
      <c r="BN1223" t="s">
        <v>159</v>
      </c>
      <c r="BO1223">
        <v>10.19</v>
      </c>
    </row>
    <row r="1224" spans="65:67">
      <c r="BM1224">
        <v>49</v>
      </c>
      <c r="BN1224" t="s">
        <v>122</v>
      </c>
      <c r="BO1224">
        <v>10.19</v>
      </c>
    </row>
    <row r="1225" spans="65:67">
      <c r="BM1225">
        <v>50</v>
      </c>
      <c r="BN1225" t="s">
        <v>111</v>
      </c>
      <c r="BO1225">
        <v>10.19</v>
      </c>
    </row>
    <row r="1226" spans="65:67">
      <c r="BM1226">
        <v>51</v>
      </c>
      <c r="BN1226" t="s">
        <v>37</v>
      </c>
      <c r="BO1226">
        <v>10.19</v>
      </c>
    </row>
    <row r="1227" spans="65:67">
      <c r="BM1227">
        <v>52</v>
      </c>
      <c r="BN1227" t="s">
        <v>81</v>
      </c>
      <c r="BO1227">
        <v>10.19</v>
      </c>
    </row>
    <row r="1228" spans="65:67">
      <c r="BM1228">
        <v>53</v>
      </c>
      <c r="BN1228" t="s">
        <v>101</v>
      </c>
      <c r="BO1228">
        <v>10.19</v>
      </c>
    </row>
    <row r="1229" spans="65:67">
      <c r="BM1229">
        <v>54</v>
      </c>
      <c r="BN1229" t="s">
        <v>88</v>
      </c>
      <c r="BO1229">
        <v>10.19</v>
      </c>
    </row>
    <row r="1230" spans="65:67">
      <c r="BM1230">
        <v>55</v>
      </c>
      <c r="BN1230" t="s">
        <v>124</v>
      </c>
      <c r="BO1230">
        <v>10.19</v>
      </c>
    </row>
    <row r="1231" spans="65:67">
      <c r="BM1231">
        <v>56</v>
      </c>
      <c r="BN1231" t="s">
        <v>103</v>
      </c>
      <c r="BO1231">
        <v>10.19</v>
      </c>
    </row>
    <row r="1232" spans="65:67">
      <c r="BM1232">
        <v>57</v>
      </c>
      <c r="BN1232" t="s">
        <v>107</v>
      </c>
      <c r="BO1232">
        <v>10.19</v>
      </c>
    </row>
    <row r="1233" spans="65:67">
      <c r="BM1233">
        <v>58</v>
      </c>
      <c r="BN1233" t="s">
        <v>104</v>
      </c>
      <c r="BO1233">
        <v>10.19</v>
      </c>
    </row>
    <row r="1234" spans="65:67">
      <c r="BM1234">
        <v>59</v>
      </c>
      <c r="BN1234" t="s">
        <v>133</v>
      </c>
      <c r="BO1234">
        <v>10.19</v>
      </c>
    </row>
    <row r="1235" spans="65:67">
      <c r="BM1235">
        <v>60</v>
      </c>
      <c r="BN1235" t="s">
        <v>148</v>
      </c>
      <c r="BO1235">
        <v>10.19</v>
      </c>
    </row>
    <row r="1236" spans="65:67">
      <c r="BM1236">
        <v>61</v>
      </c>
      <c r="BN1236" t="s">
        <v>129</v>
      </c>
      <c r="BO1236">
        <v>10.19</v>
      </c>
    </row>
    <row r="1237" spans="65:67">
      <c r="BM1237">
        <v>62</v>
      </c>
      <c r="BN1237" t="s">
        <v>80</v>
      </c>
      <c r="BO1237">
        <v>10.19</v>
      </c>
    </row>
    <row r="1238" spans="65:67">
      <c r="BM1238">
        <v>63</v>
      </c>
      <c r="BN1238" t="s">
        <v>90</v>
      </c>
      <c r="BO1238">
        <v>10.19</v>
      </c>
    </row>
    <row r="1239" spans="65:67">
      <c r="BM1239">
        <v>64</v>
      </c>
      <c r="BN1239" t="s">
        <v>171</v>
      </c>
      <c r="BO1239">
        <v>10.19</v>
      </c>
    </row>
    <row r="1240" spans="65:67">
      <c r="BM1240">
        <v>65</v>
      </c>
      <c r="BN1240" t="s">
        <v>163</v>
      </c>
      <c r="BO1240">
        <v>10.19</v>
      </c>
    </row>
    <row r="1241" spans="65:67">
      <c r="BM1241">
        <v>66</v>
      </c>
      <c r="BN1241" t="s">
        <v>178</v>
      </c>
      <c r="BO1241">
        <v>10.19</v>
      </c>
    </row>
    <row r="1242" spans="65:67">
      <c r="BM1242">
        <v>67</v>
      </c>
      <c r="BN1242" t="s">
        <v>115</v>
      </c>
      <c r="BO1242">
        <v>10.19</v>
      </c>
    </row>
    <row r="1243" spans="65:67">
      <c r="BM1243">
        <v>68</v>
      </c>
      <c r="BN1243" t="s">
        <v>119</v>
      </c>
      <c r="BO1243">
        <v>10.19</v>
      </c>
    </row>
    <row r="1244" spans="65:67">
      <c r="BM1244">
        <v>69</v>
      </c>
      <c r="BN1244" t="s">
        <v>106</v>
      </c>
      <c r="BO1244">
        <v>10.19</v>
      </c>
    </row>
    <row r="1245" spans="65:67">
      <c r="BM1245">
        <v>70</v>
      </c>
      <c r="BN1245" t="s">
        <v>126</v>
      </c>
      <c r="BO1245">
        <v>10.19</v>
      </c>
    </row>
    <row r="1246" spans="65:67">
      <c r="BM1246">
        <v>71</v>
      </c>
      <c r="BN1246" t="s">
        <v>109</v>
      </c>
      <c r="BO1246">
        <v>10.19</v>
      </c>
    </row>
    <row r="1247" spans="65:67">
      <c r="BM1247">
        <v>72</v>
      </c>
      <c r="BN1247" t="s">
        <v>166</v>
      </c>
      <c r="BO1247">
        <v>10.19</v>
      </c>
    </row>
    <row r="1248" spans="65:67">
      <c r="BM1248">
        <v>73</v>
      </c>
      <c r="BN1248" t="s">
        <v>108</v>
      </c>
      <c r="BO1248">
        <v>10.19</v>
      </c>
    </row>
    <row r="1249" spans="65:67">
      <c r="BM1249">
        <v>74</v>
      </c>
      <c r="BN1249" t="s">
        <v>134</v>
      </c>
      <c r="BO1249">
        <v>10.19</v>
      </c>
    </row>
    <row r="1250" spans="65:67">
      <c r="BM1250">
        <v>75</v>
      </c>
      <c r="BN1250" t="s">
        <v>136</v>
      </c>
      <c r="BO1250">
        <v>10.19</v>
      </c>
    </row>
    <row r="1251" spans="65:67">
      <c r="BM1251">
        <v>76</v>
      </c>
      <c r="BN1251" t="s">
        <v>117</v>
      </c>
      <c r="BO1251">
        <v>10.19</v>
      </c>
    </row>
    <row r="1252" spans="65:67">
      <c r="BM1252">
        <v>77</v>
      </c>
      <c r="BN1252" t="s">
        <v>143</v>
      </c>
      <c r="BO1252">
        <v>10.19</v>
      </c>
    </row>
    <row r="1253" spans="65:67">
      <c r="BM1253">
        <v>78</v>
      </c>
      <c r="BN1253" t="s">
        <v>142</v>
      </c>
      <c r="BO1253">
        <v>10.19</v>
      </c>
    </row>
    <row r="1254" spans="65:67">
      <c r="BM1254">
        <v>79</v>
      </c>
      <c r="BN1254" t="s">
        <v>100</v>
      </c>
      <c r="BO1254">
        <v>10.19</v>
      </c>
    </row>
    <row r="1255" spans="65:67">
      <c r="BM1255">
        <v>80</v>
      </c>
      <c r="BN1255" t="s">
        <v>125</v>
      </c>
      <c r="BO1255">
        <v>10.19</v>
      </c>
    </row>
    <row r="1256" spans="65:67">
      <c r="BM1256">
        <v>81</v>
      </c>
      <c r="BN1256" t="s">
        <v>154</v>
      </c>
      <c r="BO1256">
        <v>10.19</v>
      </c>
    </row>
    <row r="1257" spans="65:67">
      <c r="BM1257">
        <v>82</v>
      </c>
      <c r="BN1257" t="s">
        <v>132</v>
      </c>
      <c r="BO1257">
        <v>10.19</v>
      </c>
    </row>
    <row r="1258" spans="65:67">
      <c r="BM1258">
        <v>83</v>
      </c>
      <c r="BN1258" t="s">
        <v>169</v>
      </c>
      <c r="BO1258">
        <v>10.19</v>
      </c>
    </row>
    <row r="1259" spans="65:67">
      <c r="BM1259">
        <v>84</v>
      </c>
      <c r="BN1259" t="s">
        <v>156</v>
      </c>
      <c r="BO1259">
        <v>10.19</v>
      </c>
    </row>
    <row r="1260" spans="65:67">
      <c r="BM1260">
        <v>85</v>
      </c>
      <c r="BN1260" t="s">
        <v>199</v>
      </c>
      <c r="BO1260">
        <v>10.19</v>
      </c>
    </row>
    <row r="1261" spans="65:67">
      <c r="BM1261">
        <v>86</v>
      </c>
      <c r="BN1261" t="s">
        <v>179</v>
      </c>
      <c r="BO1261">
        <v>10.19</v>
      </c>
    </row>
    <row r="1262" spans="65:67">
      <c r="BM1262">
        <v>87</v>
      </c>
      <c r="BN1262" t="s">
        <v>94</v>
      </c>
      <c r="BO1262">
        <v>10.19</v>
      </c>
    </row>
    <row r="1263" spans="65:67">
      <c r="BM1263">
        <v>88</v>
      </c>
      <c r="BN1263" t="s">
        <v>410</v>
      </c>
      <c r="BO1263">
        <v>10.19</v>
      </c>
    </row>
    <row r="1264" spans="65:67">
      <c r="BM1264">
        <v>89</v>
      </c>
      <c r="BN1264" t="s">
        <v>131</v>
      </c>
      <c r="BO1264">
        <v>10.19</v>
      </c>
    </row>
    <row r="1265" spans="65:67">
      <c r="BM1265">
        <v>90</v>
      </c>
      <c r="BN1265" t="s">
        <v>152</v>
      </c>
      <c r="BO1265">
        <v>10.19</v>
      </c>
    </row>
    <row r="1266" spans="65:67">
      <c r="BM1266">
        <v>91</v>
      </c>
      <c r="BN1266" t="s">
        <v>121</v>
      </c>
      <c r="BO1266">
        <v>10.19</v>
      </c>
    </row>
    <row r="1267" spans="65:67">
      <c r="BM1267">
        <v>92</v>
      </c>
      <c r="BN1267" t="s">
        <v>150</v>
      </c>
      <c r="BO1267">
        <v>10.19</v>
      </c>
    </row>
    <row r="1268" spans="65:67">
      <c r="BM1268">
        <v>93</v>
      </c>
      <c r="BN1268" t="s">
        <v>140</v>
      </c>
      <c r="BO1268">
        <v>10.19</v>
      </c>
    </row>
    <row r="1269" spans="65:67">
      <c r="BM1269">
        <v>94</v>
      </c>
      <c r="BN1269" t="s">
        <v>137</v>
      </c>
      <c r="BO1269">
        <v>10.19</v>
      </c>
    </row>
    <row r="1270" spans="65:67">
      <c r="BM1270">
        <v>95</v>
      </c>
      <c r="BN1270" t="s">
        <v>92</v>
      </c>
      <c r="BO1270">
        <v>10.19</v>
      </c>
    </row>
    <row r="1271" spans="65:67">
      <c r="BM1271">
        <v>96</v>
      </c>
      <c r="BN1271" t="s">
        <v>167</v>
      </c>
      <c r="BO1271">
        <v>10.19</v>
      </c>
    </row>
    <row r="1272" spans="65:67">
      <c r="BM1272">
        <v>97</v>
      </c>
      <c r="BN1272" t="s">
        <v>146</v>
      </c>
      <c r="BO1272">
        <v>10.19</v>
      </c>
    </row>
    <row r="1273" spans="65:67">
      <c r="BM1273">
        <v>98</v>
      </c>
      <c r="BN1273" t="s">
        <v>198</v>
      </c>
      <c r="BO1273">
        <v>10.19</v>
      </c>
    </row>
    <row r="1274" spans="65:67">
      <c r="BM1274">
        <v>99</v>
      </c>
      <c r="BN1274" t="s">
        <v>135</v>
      </c>
      <c r="BO1274">
        <v>10.19</v>
      </c>
    </row>
    <row r="1275" spans="65:67">
      <c r="BM1275">
        <v>100</v>
      </c>
      <c r="BN1275" t="s">
        <v>114</v>
      </c>
      <c r="BO1275">
        <v>10.19</v>
      </c>
    </row>
    <row r="1276" spans="65:67">
      <c r="BM1276">
        <v>101</v>
      </c>
      <c r="BN1276" t="s">
        <v>162</v>
      </c>
      <c r="BO1276">
        <v>10.19</v>
      </c>
    </row>
    <row r="1277" spans="65:67">
      <c r="BM1277">
        <v>102</v>
      </c>
      <c r="BN1277" t="s">
        <v>138</v>
      </c>
      <c r="BO1277">
        <v>10.19</v>
      </c>
    </row>
    <row r="1278" spans="65:67">
      <c r="BM1278">
        <v>103</v>
      </c>
      <c r="BN1278" t="s">
        <v>123</v>
      </c>
      <c r="BO1278">
        <v>10.19</v>
      </c>
    </row>
    <row r="1279" spans="65:67">
      <c r="BM1279">
        <v>104</v>
      </c>
      <c r="BN1279" t="s">
        <v>273</v>
      </c>
      <c r="BO1279">
        <v>10.19</v>
      </c>
    </row>
    <row r="1280" spans="65:67">
      <c r="BM1280">
        <v>105</v>
      </c>
      <c r="BN1280" t="s">
        <v>191</v>
      </c>
      <c r="BO1280">
        <v>10.19</v>
      </c>
    </row>
    <row r="1281" spans="65:67">
      <c r="BM1281">
        <v>106</v>
      </c>
      <c r="BN1281" t="s">
        <v>160</v>
      </c>
      <c r="BO1281">
        <v>10.19</v>
      </c>
    </row>
    <row r="1282" spans="65:67">
      <c r="BM1282">
        <v>107</v>
      </c>
      <c r="BN1282" t="s">
        <v>147</v>
      </c>
      <c r="BO1282">
        <v>10.19</v>
      </c>
    </row>
    <row r="1283" spans="65:67">
      <c r="BM1283">
        <v>108</v>
      </c>
      <c r="BN1283" t="s">
        <v>113</v>
      </c>
      <c r="BO1283">
        <v>10.19</v>
      </c>
    </row>
    <row r="1284" spans="65:67">
      <c r="BM1284">
        <v>109</v>
      </c>
      <c r="BN1284" t="s">
        <v>141</v>
      </c>
      <c r="BO1284">
        <v>10.19</v>
      </c>
    </row>
    <row r="1285" spans="65:67">
      <c r="BM1285">
        <v>110</v>
      </c>
      <c r="BN1285" t="s">
        <v>409</v>
      </c>
      <c r="BO1285">
        <v>10.19</v>
      </c>
    </row>
    <row r="1286" spans="65:67">
      <c r="BM1286">
        <v>111</v>
      </c>
      <c r="BN1286" t="s">
        <v>130</v>
      </c>
      <c r="BO1286">
        <v>10.19</v>
      </c>
    </row>
    <row r="1287" spans="65:67">
      <c r="BM1287">
        <v>112</v>
      </c>
      <c r="BN1287" t="s">
        <v>164</v>
      </c>
      <c r="BO1287">
        <v>10.19</v>
      </c>
    </row>
    <row r="1288" spans="65:67">
      <c r="BM1288">
        <v>113</v>
      </c>
      <c r="BN1288" t="s">
        <v>175</v>
      </c>
      <c r="BO1288">
        <v>10.19</v>
      </c>
    </row>
    <row r="1289" spans="65:67">
      <c r="BM1289">
        <v>114</v>
      </c>
      <c r="BN1289" t="s">
        <v>212</v>
      </c>
      <c r="BO1289">
        <v>10.19</v>
      </c>
    </row>
    <row r="1290" spans="65:67">
      <c r="BM1290">
        <v>115</v>
      </c>
      <c r="BN1290" t="s">
        <v>186</v>
      </c>
      <c r="BO1290">
        <v>10.19</v>
      </c>
    </row>
    <row r="1291" spans="65:67">
      <c r="BM1291">
        <v>116</v>
      </c>
      <c r="BN1291" t="s">
        <v>230</v>
      </c>
      <c r="BO1291">
        <v>10.19</v>
      </c>
    </row>
    <row r="1292" spans="65:67">
      <c r="BM1292">
        <v>117</v>
      </c>
      <c r="BN1292" t="s">
        <v>157</v>
      </c>
      <c r="BO1292">
        <v>10.19</v>
      </c>
    </row>
    <row r="1293" spans="65:67">
      <c r="BM1293">
        <v>118</v>
      </c>
      <c r="BN1293" t="s">
        <v>172</v>
      </c>
      <c r="BO1293">
        <v>10.19</v>
      </c>
    </row>
    <row r="1294" spans="65:67">
      <c r="BM1294">
        <v>119</v>
      </c>
      <c r="BN1294" t="s">
        <v>165</v>
      </c>
      <c r="BO1294">
        <v>10.19</v>
      </c>
    </row>
    <row r="1295" spans="65:67">
      <c r="BM1295">
        <v>120</v>
      </c>
      <c r="BN1295" t="s">
        <v>145</v>
      </c>
      <c r="BO1295">
        <v>10.19</v>
      </c>
    </row>
    <row r="1296" spans="65:67">
      <c r="BM1296">
        <v>121</v>
      </c>
      <c r="BN1296" t="s">
        <v>192</v>
      </c>
      <c r="BO1296">
        <v>10.19</v>
      </c>
    </row>
    <row r="1297" spans="65:67">
      <c r="BM1297">
        <v>122</v>
      </c>
      <c r="BN1297" t="s">
        <v>158</v>
      </c>
      <c r="BO1297">
        <v>10.19</v>
      </c>
    </row>
    <row r="1298" spans="65:67">
      <c r="BM1298">
        <v>123</v>
      </c>
      <c r="BN1298" t="s">
        <v>170</v>
      </c>
      <c r="BO1298">
        <v>10.19</v>
      </c>
    </row>
    <row r="1299" spans="65:67">
      <c r="BM1299">
        <v>124</v>
      </c>
      <c r="BN1299" t="s">
        <v>268</v>
      </c>
      <c r="BO1299">
        <v>10.19</v>
      </c>
    </row>
    <row r="1300" spans="65:67">
      <c r="BM1300">
        <v>125</v>
      </c>
      <c r="BN1300" t="s">
        <v>190</v>
      </c>
      <c r="BO1300">
        <v>10.19</v>
      </c>
    </row>
    <row r="1301" spans="65:67">
      <c r="BM1301">
        <v>126</v>
      </c>
      <c r="BN1301" t="s">
        <v>203</v>
      </c>
      <c r="BO1301">
        <v>10.19</v>
      </c>
    </row>
    <row r="1302" spans="65:67">
      <c r="BM1302">
        <v>127</v>
      </c>
      <c r="BN1302" t="s">
        <v>265</v>
      </c>
      <c r="BO1302">
        <v>10.19</v>
      </c>
    </row>
    <row r="1303" spans="65:67">
      <c r="BM1303">
        <v>128</v>
      </c>
      <c r="BN1303" t="s">
        <v>266</v>
      </c>
      <c r="BO1303">
        <v>10.19</v>
      </c>
    </row>
    <row r="1304" spans="65:67">
      <c r="BM1304">
        <v>129</v>
      </c>
      <c r="BN1304" t="s">
        <v>412</v>
      </c>
      <c r="BO1304">
        <v>10.19</v>
      </c>
    </row>
    <row r="1305" spans="65:67">
      <c r="BM1305">
        <v>130</v>
      </c>
      <c r="BN1305" t="s">
        <v>239</v>
      </c>
      <c r="BO1305">
        <v>10.19</v>
      </c>
    </row>
  </sheetData>
  <conditionalFormatting sqref="G25:O25">
    <cfRule type="cellIs" dxfId="4" priority="1" operator="between">
      <formula>0.1</formula>
      <formula>0.25</formula>
    </cfRule>
    <cfRule type="cellIs" dxfId="3" priority="2" operator="lessThan">
      <formula>-0.25</formula>
    </cfRule>
    <cfRule type="cellIs" dxfId="2" priority="3" operator="greaterThan">
      <formula>0.25</formula>
    </cfRule>
  </conditionalFormatting>
  <conditionalFormatting sqref="G37:O37">
    <cfRule type="cellIs" dxfId="1" priority="4" operator="lessThan">
      <formula>-0.25</formula>
    </cfRule>
    <cfRule type="cellIs" dxfId="0" priority="5" operator="greaterThan">
      <formula>0.25</formula>
    </cfRule>
  </conditionalFormatting>
  <hyperlinks>
    <hyperlink ref="G2" r:id="rId1" display="javascript:__doPostBack('ctl00$ContentPlaceHolder1$GridView1','Sort$fgp')" xr:uid="{608333D0-A927-934A-BE1E-5B3954848856}"/>
    <hyperlink ref="H2" r:id="rId2" display="javascript:__doPostBack('ctl00$ContentPlaceHolder1$GridView1','Sort$ftp')" xr:uid="{13E7EE60-245C-2946-AE54-67312935282A}"/>
    <hyperlink ref="I2" r:id="rId3" display="javascript:__doPostBack('ctl00$ContentPlaceHolder1$GridView1','Sort$tgm')" xr:uid="{40B4839E-A3DC-7B4A-88B3-E1F88E173E06}"/>
    <hyperlink ref="J2" r:id="rId4" display="javascript:__doPostBack('ctl00$ContentPlaceHolder1$GridView1','Sort$pts')" xr:uid="{07FCE4D4-3DED-DB43-9C6C-3630E831D89A}"/>
    <hyperlink ref="K2" r:id="rId5" display="javascript:__doPostBack('ctl00$ContentPlaceHolder1$GridView1','Sort$reb')" xr:uid="{96C0786B-3E48-5A46-950C-0865136A5E57}"/>
    <hyperlink ref="L2" r:id="rId6" display="javascript:__doPostBack('ctl00$ContentPlaceHolder1$GridView1','Sort$ast')" xr:uid="{2891B4A1-F413-FE4A-AE8D-EFDDFA6659B0}"/>
    <hyperlink ref="M2" r:id="rId7" display="javascript:__doPostBack('ctl00$ContentPlaceHolder1$GridView1','Sort$stl')" xr:uid="{E91B4A36-D212-584B-94D3-4E6F6DCECCAA}"/>
    <hyperlink ref="N2" r:id="rId8" display="javascript:__doPostBack('ctl00$ContentPlaceHolder1$GridView1','Sort$blk')" xr:uid="{5EE17057-FA3A-F744-A341-2BE0E08090F2}"/>
    <hyperlink ref="O2" r:id="rId9" display="javascript:__doPostBack('ctl00$ContentPlaceHolder1$GridView1','Sort$tur')" xr:uid="{87700A92-A6CA-F64C-988C-62E80D8050A0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A5378993-9683-3947-A388-8ACE2A767581}">
            <x14:iconSet iconSet="3Arrows" custom="1">
              <x14:cfvo type="percent">
                <xm:f>0</xm:f>
              </x14:cfvo>
              <x14:cfvo type="num">
                <xm:f>-0.05</xm:f>
              </x14:cfvo>
              <x14:cfvo type="num">
                <xm:f>0.05</xm:f>
              </x14:cfvo>
              <x14:cfIcon iconSet="3Arrows" iconId="0"/>
              <x14:cfIcon iconSet="NoIcons" iconId="0"/>
              <x14:cfIcon iconSet="3Arrows" iconId="2"/>
            </x14:iconSet>
          </x14:cfRule>
          <xm:sqref>G36:O36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real draft</vt:lpstr>
      <vt:lpstr>2026-2027 means</vt:lpstr>
      <vt:lpstr>2026-2027 projections</vt:lpstr>
      <vt:lpstr>2025-2026 actuals</vt:lpstr>
      <vt:lpstr>shortlist</vt:lpstr>
      <vt:lpstr>team planning</vt:lpstr>
      <vt:lpstr>2026-2027 adp</vt:lpstr>
      <vt:lpstr>202526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Weiss</cp:lastModifiedBy>
  <dcterms:created xsi:type="dcterms:W3CDTF">2024-10-05T03:12:49Z</dcterms:created>
  <dcterms:modified xsi:type="dcterms:W3CDTF">2026-10-12T18:53:58Z</dcterms:modified>
</cp:coreProperties>
</file>